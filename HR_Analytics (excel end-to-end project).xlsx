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8C277A5-283B-4F3B-A2F5-CDECEA966A60}" xr6:coauthVersionLast="47" xr6:coauthVersionMax="47" xr10:uidLastSave="{00000000-0000-0000-0000-000000000000}"/>
  <bookViews>
    <workbookView xWindow="-108" yWindow="-108" windowWidth="23256" windowHeight="12456" activeTab="2" xr2:uid="{14385C46-234E-4F35-8D41-D4C872FFFA6C}"/>
  </bookViews>
  <sheets>
    <sheet name="HR_Analytics" sheetId="1" r:id="rId1"/>
    <sheet name="Analysis" sheetId="5" r:id="rId2"/>
    <sheet name="Dashboard" sheetId="6" r:id="rId3"/>
    <sheet name="Insights" sheetId="8" r:id="rId4"/>
  </sheets>
  <definedNames>
    <definedName name="_xlnm._FilterDatabase" localSheetId="0" hidden="1">HR_Analytics!$A$1:$AL$1471</definedName>
    <definedName name="Slicer_Department">#N/A</definedName>
    <definedName name="Slicer_EducationField">#N/A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1" i="5" l="1"/>
  <c r="A40"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2" i="1"/>
  <c r="D1" i="5"/>
  <c r="B41" i="5"/>
  <c r="L1" i="5"/>
  <c r="H1" i="5"/>
  <c r="B1" i="5"/>
  <c r="E4" i="5"/>
  <c r="J1" i="5"/>
  <c r="B40" i="5"/>
</calcChain>
</file>

<file path=xl/sharedStrings.xml><?xml version="1.0" encoding="utf-8"?>
<sst xmlns="http://schemas.openxmlformats.org/spreadsheetml/2006/main" count="17779" uniqueCount="1582">
  <si>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</si>
  <si>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</si>
  <si>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</si>
  <si>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</si>
  <si>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</si>
  <si>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</si>
  <si>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</si>
  <si>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</si>
  <si>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</si>
  <si>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</si>
  <si>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</si>
  <si>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</si>
  <si>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</si>
  <si>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</si>
  <si>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</si>
  <si>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</si>
  <si>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</si>
  <si>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</si>
  <si>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</si>
  <si>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</si>
  <si>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</si>
  <si>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</si>
  <si>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</si>
  <si>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</si>
  <si>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</si>
  <si>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</si>
  <si>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</si>
  <si>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</si>
  <si>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</si>
  <si>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</si>
  <si>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</si>
  <si>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</si>
  <si>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</si>
  <si>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</si>
  <si>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</si>
  <si>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</si>
  <si>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</si>
  <si>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</si>
  <si>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</si>
  <si>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</si>
  <si>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</si>
  <si>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</si>
  <si>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</si>
  <si>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</si>
  <si>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</si>
  <si>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</si>
  <si>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</si>
  <si>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</si>
  <si>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</si>
  <si>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</si>
  <si>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</si>
  <si>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</si>
  <si>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</si>
  <si>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</si>
  <si>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</si>
  <si>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</si>
  <si>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</si>
  <si>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</si>
  <si>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</si>
  <si>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</si>
  <si>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</si>
  <si>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</si>
  <si>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</si>
  <si>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</si>
  <si>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</si>
  <si>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</si>
  <si>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</si>
  <si>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</si>
  <si>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</si>
  <si>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</si>
  <si>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</si>
  <si>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</si>
  <si>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</si>
  <si>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</si>
  <si>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</si>
  <si>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</si>
  <si>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</si>
  <si>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</si>
  <si>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</si>
  <si>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</si>
  <si>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</si>
  <si>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</si>
  <si>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</si>
  <si>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</si>
  <si>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</si>
  <si>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</si>
  <si>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</si>
  <si>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</si>
  <si>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</si>
  <si>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</si>
  <si>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</si>
  <si>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</si>
  <si>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</si>
  <si>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</si>
  <si>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</si>
  <si>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</si>
  <si>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</si>
  <si>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</si>
  <si>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</si>
  <si>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</si>
  <si>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</si>
  <si>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</si>
  <si>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</si>
  <si>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</si>
  <si>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</si>
  <si>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</si>
  <si>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</si>
  <si>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</si>
  <si>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</si>
  <si>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</si>
  <si>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</si>
  <si>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</si>
  <si>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</si>
  <si>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</si>
  <si>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</si>
  <si>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</si>
  <si>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</si>
  <si>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</si>
  <si>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</si>
  <si>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</si>
  <si>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</si>
  <si>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</si>
  <si>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</si>
  <si>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</si>
  <si>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</si>
  <si>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</si>
  <si>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</si>
  <si>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</si>
  <si>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</si>
  <si>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</si>
  <si>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</si>
  <si>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</si>
  <si>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</si>
  <si>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</si>
  <si>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</si>
  <si>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</si>
  <si>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</si>
  <si>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</si>
  <si>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</si>
  <si>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</si>
  <si>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</si>
  <si>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</si>
  <si>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</si>
  <si>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</si>
  <si>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</si>
  <si>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</si>
  <si>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</si>
  <si>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</si>
  <si>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</si>
  <si>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</si>
  <si>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</si>
  <si>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</si>
  <si>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</si>
  <si>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</si>
  <si>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</si>
  <si>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</si>
  <si>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</si>
  <si>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</si>
  <si>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</si>
  <si>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</si>
  <si>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</si>
  <si>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</si>
  <si>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</si>
  <si>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</si>
  <si>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</si>
  <si>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</si>
  <si>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</si>
  <si>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</si>
  <si>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</si>
  <si>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</si>
  <si>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</si>
  <si>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</si>
  <si>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</si>
  <si>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</si>
  <si>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</si>
  <si>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</si>
  <si>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</si>
  <si>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</si>
  <si>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</si>
  <si>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</si>
  <si>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</si>
  <si>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</si>
  <si>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</si>
  <si>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</si>
  <si>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</si>
  <si>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</si>
  <si>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</si>
  <si>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</si>
  <si>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</si>
  <si>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</si>
  <si>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</si>
  <si>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</si>
  <si>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</si>
  <si>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</si>
  <si>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</si>
  <si>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</si>
  <si>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</si>
  <si>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</si>
  <si>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</si>
  <si>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</si>
  <si>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</si>
  <si>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</si>
  <si>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</si>
  <si>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</si>
  <si>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</si>
  <si>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</si>
  <si>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</si>
  <si>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</si>
  <si>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</si>
  <si>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</si>
  <si>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</si>
  <si>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</si>
  <si>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</si>
  <si>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</si>
  <si>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</si>
  <si>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</si>
  <si>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</si>
  <si>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</si>
  <si>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</si>
  <si>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</si>
  <si>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</si>
  <si>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</si>
  <si>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</si>
  <si>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</si>
  <si>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</si>
  <si>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</si>
  <si>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</si>
  <si>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</si>
  <si>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</si>
  <si>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</si>
  <si>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</si>
  <si>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</si>
  <si>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</si>
  <si>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</si>
  <si>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</si>
  <si>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</si>
  <si>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</si>
  <si>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</si>
  <si>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</si>
  <si>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</si>
  <si>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</si>
  <si>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</si>
  <si>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</si>
  <si>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</si>
  <si>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</si>
  <si>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</si>
  <si>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</si>
  <si>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</si>
  <si>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</si>
  <si>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</si>
  <si>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</si>
  <si>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</si>
  <si>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</si>
  <si>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</si>
  <si>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</si>
  <si>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</si>
  <si>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</si>
  <si>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</si>
  <si>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</si>
  <si>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</si>
  <si>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</si>
  <si>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</si>
  <si>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</si>
  <si>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</si>
  <si>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</si>
  <si>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</si>
  <si>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</si>
  <si>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</si>
  <si>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</si>
  <si>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</si>
  <si>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</si>
  <si>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</si>
  <si>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</si>
  <si>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</si>
  <si>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</si>
  <si>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</si>
  <si>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</si>
  <si>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</si>
  <si>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</si>
  <si>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</si>
  <si>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</si>
  <si>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</si>
  <si>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</si>
  <si>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</si>
  <si>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</si>
  <si>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</si>
  <si>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</si>
  <si>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</si>
  <si>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</si>
  <si>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</si>
  <si>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</si>
  <si>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</si>
  <si>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</si>
  <si>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</si>
  <si>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</si>
  <si>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</si>
  <si>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</si>
  <si>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</si>
  <si>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</si>
  <si>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</si>
  <si>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</si>
  <si>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</si>
  <si>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</si>
  <si>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</si>
  <si>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</si>
  <si>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</si>
  <si>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</si>
  <si>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</si>
  <si>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</si>
  <si>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</si>
  <si>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</si>
  <si>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</si>
  <si>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</si>
  <si>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</si>
  <si>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</si>
  <si>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</si>
  <si>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</si>
  <si>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</si>
  <si>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</si>
  <si>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</si>
  <si>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</si>
  <si>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</si>
  <si>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</si>
  <si>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</si>
  <si>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</si>
  <si>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</si>
  <si>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</si>
  <si>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</si>
  <si>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</si>
  <si>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</si>
  <si>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</si>
  <si>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</si>
  <si>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</si>
  <si>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</si>
  <si>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</si>
  <si>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</si>
  <si>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</si>
  <si>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</si>
  <si>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</si>
  <si>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</si>
  <si>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</si>
  <si>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</si>
  <si>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</si>
  <si>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</si>
  <si>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</si>
  <si>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</si>
  <si>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</si>
  <si>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</si>
  <si>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</si>
  <si>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</si>
  <si>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</si>
  <si>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</si>
  <si>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</si>
  <si>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</si>
  <si>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</si>
  <si>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</si>
  <si>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</si>
  <si>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</si>
  <si>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</si>
  <si>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</si>
  <si>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</si>
  <si>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</si>
  <si>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</si>
  <si>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</si>
  <si>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</si>
  <si>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</si>
  <si>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</si>
  <si>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</si>
  <si>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</si>
  <si>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</si>
  <si>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</si>
  <si>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</si>
  <si>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</si>
  <si>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</si>
  <si>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</si>
  <si>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</si>
  <si>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</si>
  <si>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</si>
  <si>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</si>
  <si>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</si>
  <si>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</si>
  <si>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</si>
  <si>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</si>
  <si>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</si>
  <si>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</si>
  <si>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</si>
  <si>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</si>
  <si>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</si>
  <si>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</si>
  <si>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</si>
  <si>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</si>
  <si>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</si>
  <si>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</si>
  <si>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</si>
  <si>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</si>
  <si>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</si>
  <si>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</si>
  <si>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</si>
  <si>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</si>
  <si>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</si>
  <si>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</si>
  <si>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</si>
  <si>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</si>
  <si>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</si>
  <si>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</si>
  <si>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</si>
  <si>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</si>
  <si>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</si>
  <si>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</si>
  <si>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</si>
  <si>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</si>
  <si>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</si>
  <si>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</si>
  <si>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</si>
  <si>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</si>
  <si>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</si>
  <si>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</si>
  <si>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</si>
  <si>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</si>
  <si>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</si>
  <si>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</si>
  <si>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</si>
  <si>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</si>
  <si>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</si>
  <si>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</si>
  <si>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</si>
  <si>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</si>
  <si>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</si>
  <si>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</si>
  <si>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</si>
  <si>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</si>
  <si>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</si>
  <si>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</si>
  <si>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</si>
  <si>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</si>
  <si>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</si>
  <si>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</si>
  <si>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</si>
  <si>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</si>
  <si>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</si>
  <si>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</si>
  <si>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</si>
  <si>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</si>
  <si>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</si>
  <si>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</si>
  <si>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</si>
  <si>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</si>
  <si>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</si>
  <si>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</si>
  <si>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</si>
  <si>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</si>
  <si>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</si>
  <si>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</si>
  <si>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</si>
  <si>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</si>
  <si>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</si>
  <si>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</si>
  <si>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</si>
  <si>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</si>
  <si>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</si>
  <si>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</si>
  <si>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</si>
  <si>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</si>
  <si>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</si>
  <si>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</si>
  <si>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</si>
  <si>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</si>
  <si>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</si>
  <si>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</si>
  <si>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</si>
  <si>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</si>
  <si>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</si>
  <si>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</si>
  <si>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</si>
  <si>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</si>
  <si>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</si>
  <si>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</si>
  <si>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</si>
  <si>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</si>
  <si>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</si>
  <si>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</si>
  <si>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</si>
  <si>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</si>
  <si>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</si>
  <si>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</si>
  <si>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</si>
  <si>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</si>
  <si>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</si>
  <si>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</si>
  <si>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</si>
  <si>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</si>
  <si>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</si>
  <si>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</si>
  <si>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</si>
  <si>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</si>
  <si>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</si>
  <si>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</si>
  <si>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</si>
  <si>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</si>
  <si>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</si>
  <si>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</si>
  <si>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</si>
  <si>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</si>
  <si>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</si>
  <si>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</si>
  <si>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</si>
  <si>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</si>
  <si>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</si>
  <si>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</si>
  <si>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</si>
  <si>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</si>
  <si>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</si>
  <si>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</si>
  <si>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</si>
  <si>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</si>
  <si>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</si>
  <si>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</si>
  <si>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</si>
  <si>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</si>
  <si>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</si>
  <si>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</si>
  <si>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</si>
  <si>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</si>
  <si>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</si>
  <si>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</si>
  <si>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</si>
  <si>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</si>
  <si>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</si>
  <si>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</si>
  <si>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</si>
  <si>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</si>
  <si>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</si>
  <si>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</si>
  <si>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</si>
  <si>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</si>
  <si>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</si>
  <si>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</si>
  <si>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</si>
  <si>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</si>
  <si>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</si>
  <si>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</si>
  <si>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</si>
  <si>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</si>
  <si>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</si>
  <si>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</si>
  <si>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</si>
  <si>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</si>
  <si>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</si>
  <si>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</si>
  <si>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</si>
  <si>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</si>
  <si>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</si>
  <si>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</si>
  <si>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</si>
  <si>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</si>
  <si>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</si>
  <si>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</si>
  <si>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</si>
  <si>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</si>
  <si>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</si>
  <si>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</si>
  <si>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</si>
  <si>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</si>
  <si>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</si>
  <si>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</si>
  <si>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</si>
  <si>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</si>
  <si>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</si>
  <si>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</si>
  <si>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</si>
  <si>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</si>
  <si>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</si>
  <si>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</si>
  <si>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</si>
  <si>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</si>
  <si>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</si>
  <si>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</si>
  <si>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</si>
  <si>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</si>
  <si>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</si>
  <si>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</si>
  <si>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</si>
  <si>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</si>
  <si>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</si>
  <si>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</si>
  <si>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</si>
  <si>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</si>
  <si>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</si>
  <si>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</si>
  <si>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</si>
  <si>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</si>
  <si>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</si>
  <si>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</si>
  <si>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</si>
  <si>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</si>
  <si>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</si>
  <si>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</si>
  <si>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</si>
  <si>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</si>
  <si>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</si>
  <si>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</si>
  <si>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</si>
  <si>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</si>
  <si>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</si>
  <si>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</si>
  <si>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</si>
  <si>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</si>
  <si>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</si>
  <si>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</si>
  <si>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</si>
  <si>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</si>
  <si>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</si>
  <si>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</si>
  <si>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</si>
  <si>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</si>
  <si>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</si>
  <si>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</si>
  <si>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</si>
  <si>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</si>
  <si>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</si>
  <si>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</si>
  <si>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</si>
  <si>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</si>
  <si>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</si>
  <si>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</si>
  <si>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</si>
  <si>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</si>
  <si>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</si>
  <si>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</si>
  <si>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</si>
  <si>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</si>
  <si>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</si>
  <si>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</si>
  <si>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</si>
  <si>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</si>
  <si>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</si>
  <si>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</si>
  <si>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</si>
  <si>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</si>
  <si>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</si>
  <si>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</si>
  <si>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</si>
  <si>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</si>
  <si>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</si>
  <si>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</si>
  <si>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</si>
  <si>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</si>
  <si>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</si>
  <si>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</si>
  <si>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</si>
  <si>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</si>
  <si>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</si>
  <si>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</si>
  <si>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</si>
  <si>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</si>
  <si>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</si>
  <si>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</si>
  <si>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</si>
  <si>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</si>
  <si>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</si>
  <si>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</si>
  <si>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</si>
  <si>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</si>
  <si>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</si>
  <si>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</si>
  <si>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</si>
  <si>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</si>
  <si>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</si>
  <si>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</si>
  <si>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</si>
  <si>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</si>
  <si>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</si>
  <si>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</si>
  <si>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</si>
  <si>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</si>
  <si>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</si>
  <si>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</si>
  <si>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</si>
  <si>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</si>
  <si>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</si>
  <si>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</si>
  <si>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</si>
  <si>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</si>
  <si>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</si>
  <si>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</si>
  <si>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</si>
  <si>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</si>
  <si>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</si>
  <si>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</si>
  <si>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</si>
  <si>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</si>
  <si>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</si>
  <si>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</si>
  <si>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</si>
  <si>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</si>
  <si>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</si>
  <si>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</si>
  <si>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</si>
  <si>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</si>
  <si>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</si>
  <si>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</si>
  <si>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</si>
  <si>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</si>
  <si>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</si>
  <si>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</si>
  <si>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</si>
  <si>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</si>
  <si>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</si>
  <si>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</si>
  <si>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</si>
  <si>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</si>
  <si>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</si>
  <si>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</si>
  <si>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</si>
  <si>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</si>
  <si>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</si>
  <si>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</si>
  <si>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</si>
  <si>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</si>
  <si>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</si>
  <si>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</si>
  <si>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</si>
  <si>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</si>
  <si>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</si>
  <si>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</si>
  <si>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</si>
  <si>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</si>
  <si>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</si>
  <si>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</si>
  <si>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</si>
  <si>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</si>
  <si>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</si>
  <si>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</si>
  <si>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</si>
  <si>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</si>
  <si>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</si>
  <si>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</si>
  <si>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</si>
  <si>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</si>
  <si>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</si>
  <si>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</si>
  <si>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</si>
  <si>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</si>
  <si>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</si>
  <si>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</si>
  <si>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</si>
  <si>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</si>
  <si>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</si>
  <si>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</si>
  <si>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</si>
  <si>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</si>
  <si>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</si>
  <si>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</si>
  <si>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</si>
  <si>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</si>
  <si>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</si>
  <si>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</si>
  <si>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</si>
  <si>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</si>
  <si>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</si>
  <si>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</si>
  <si>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</si>
  <si>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</si>
  <si>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</si>
  <si>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</si>
  <si>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</si>
  <si>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</si>
  <si>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</si>
  <si>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</si>
  <si>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</si>
  <si>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</si>
  <si>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</si>
  <si>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</si>
  <si>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</si>
  <si>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</si>
  <si>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</si>
  <si>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</si>
  <si>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</si>
  <si>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</si>
  <si>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</si>
  <si>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</si>
  <si>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</si>
  <si>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</si>
  <si>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</si>
  <si>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</si>
  <si>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</si>
  <si>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</si>
  <si>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</si>
  <si>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</si>
  <si>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</si>
  <si>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</si>
  <si>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</si>
  <si>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</si>
  <si>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</si>
  <si>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</si>
  <si>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</si>
  <si>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</si>
  <si>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</si>
  <si>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</si>
  <si>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</si>
  <si>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</si>
  <si>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</si>
  <si>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</si>
  <si>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</si>
  <si>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</si>
  <si>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</si>
  <si>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</si>
  <si>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</si>
  <si>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</si>
  <si>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</si>
  <si>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</si>
  <si>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</si>
  <si>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</si>
  <si>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</si>
  <si>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</si>
  <si>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</si>
  <si>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</si>
  <si>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</si>
  <si>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</si>
  <si>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</si>
  <si>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</si>
  <si>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</si>
  <si>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</si>
  <si>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</si>
  <si>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</si>
  <si>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</si>
  <si>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</si>
  <si>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</si>
  <si>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</si>
  <si>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</si>
  <si>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</si>
  <si>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</si>
  <si>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</si>
  <si>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</si>
  <si>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</si>
  <si>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</si>
  <si>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</si>
  <si>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</si>
  <si>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</si>
  <si>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</si>
  <si>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</si>
  <si>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</si>
  <si>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</si>
  <si>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</si>
  <si>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</si>
  <si>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</si>
  <si>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</si>
  <si>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</si>
  <si>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</si>
  <si>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</si>
  <si>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</si>
  <si>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</si>
  <si>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</si>
  <si>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</si>
  <si>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</si>
  <si>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</si>
  <si>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</si>
  <si>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</si>
  <si>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</si>
  <si>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</si>
  <si>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</si>
  <si>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</si>
  <si>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</si>
  <si>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</si>
  <si>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</si>
  <si>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</si>
  <si>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</si>
  <si>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</si>
  <si>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</si>
  <si>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</si>
  <si>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</si>
  <si>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</si>
  <si>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</si>
  <si>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</si>
  <si>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</si>
  <si>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</si>
  <si>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</si>
  <si>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</si>
  <si>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</si>
  <si>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</si>
  <si>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</si>
  <si>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</si>
  <si>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</si>
  <si>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</si>
  <si>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</si>
  <si>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</si>
  <si>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</si>
  <si>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</si>
  <si>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</si>
  <si>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</si>
  <si>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</si>
  <si>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</si>
  <si>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</si>
  <si>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</si>
  <si>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</si>
  <si>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</si>
  <si>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</si>
  <si>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</si>
  <si>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</si>
  <si>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</si>
  <si>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</si>
  <si>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</si>
  <si>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</si>
  <si>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</si>
  <si>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</si>
  <si>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</si>
  <si>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</si>
  <si>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</si>
  <si>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</si>
  <si>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</si>
  <si>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</si>
  <si>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</si>
  <si>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</si>
  <si>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</si>
  <si>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</si>
  <si>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</si>
  <si>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</si>
  <si>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</si>
  <si>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</si>
  <si>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</si>
  <si>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</si>
  <si>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</si>
  <si>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</si>
  <si>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</si>
  <si>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</si>
  <si>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</si>
  <si>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</si>
  <si>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</si>
  <si>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</si>
  <si>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</si>
  <si>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</si>
  <si>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</si>
  <si>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</si>
  <si>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</si>
  <si>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</si>
  <si>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</si>
  <si>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</si>
  <si>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</si>
  <si>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</si>
  <si>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</si>
  <si>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</si>
  <si>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</si>
  <si>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</si>
  <si>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</si>
  <si>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</si>
  <si>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</si>
  <si>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</si>
  <si>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</si>
  <si>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</si>
  <si>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</si>
  <si>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</si>
  <si>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</si>
  <si>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</si>
  <si>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</si>
  <si>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</si>
  <si>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</si>
  <si>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</si>
  <si>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</si>
  <si>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</si>
  <si>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</si>
  <si>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</si>
  <si>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</si>
  <si>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</si>
  <si>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</si>
  <si>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</si>
  <si>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</si>
  <si>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</si>
  <si>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</si>
  <si>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</si>
  <si>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</si>
  <si>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</si>
  <si>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</si>
  <si>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</si>
  <si>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</si>
  <si>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</si>
  <si>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</si>
  <si>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</si>
  <si>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</si>
  <si>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</si>
  <si>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</si>
  <si>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</si>
  <si>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</si>
  <si>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</si>
  <si>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</si>
  <si>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</si>
  <si>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</si>
  <si>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</si>
  <si>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</si>
  <si>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</si>
  <si>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</si>
  <si>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</si>
  <si>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</si>
  <si>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</si>
  <si>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</si>
  <si>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</si>
  <si>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</si>
  <si>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</si>
  <si>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</si>
  <si>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</si>
  <si>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</si>
  <si>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</si>
  <si>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</si>
  <si>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</si>
  <si>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</si>
  <si>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</si>
  <si>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</si>
  <si>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</si>
  <si>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</si>
  <si>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</si>
  <si>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</si>
  <si>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</si>
  <si>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</si>
  <si>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</si>
  <si>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</si>
  <si>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</si>
  <si>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</si>
  <si>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</si>
  <si>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</si>
  <si>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</si>
  <si>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</si>
  <si>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</si>
  <si>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</si>
  <si>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</si>
  <si>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</si>
  <si>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</si>
  <si>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</si>
  <si>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</si>
  <si>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</si>
  <si>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</si>
  <si>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</si>
  <si>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</si>
  <si>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</si>
  <si>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</si>
  <si>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</si>
  <si>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</si>
  <si>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</si>
  <si>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</si>
  <si>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</si>
  <si>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</si>
  <si>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</si>
  <si>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</si>
  <si>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</si>
  <si>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</si>
  <si>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</si>
  <si>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</si>
  <si>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</si>
  <si>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</si>
  <si>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</si>
  <si>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</si>
  <si>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</si>
  <si>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</si>
  <si>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</si>
  <si>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</si>
  <si>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</si>
  <si>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</si>
  <si>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</si>
  <si>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</si>
  <si>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</si>
  <si>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</si>
  <si>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</si>
  <si>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</si>
  <si>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</si>
  <si>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</si>
  <si>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</si>
  <si>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</si>
  <si>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</si>
  <si>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</si>
  <si>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</si>
  <si>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</si>
  <si>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</si>
  <si>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</si>
  <si>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</si>
  <si>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</si>
  <si>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</si>
  <si>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</si>
  <si>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</si>
  <si>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</si>
  <si>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</si>
  <si>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</si>
  <si>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</si>
  <si>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</si>
  <si>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</si>
  <si>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</si>
  <si>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</si>
  <si>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</si>
  <si>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</si>
  <si>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</si>
  <si>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</si>
  <si>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</si>
  <si>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</si>
  <si>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</si>
  <si>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</si>
  <si>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</si>
  <si>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</si>
  <si>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</si>
  <si>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</si>
  <si>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</si>
  <si>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</si>
  <si>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</si>
  <si>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</si>
  <si>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</si>
  <si>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</si>
  <si>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</si>
  <si>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</si>
  <si>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</si>
  <si>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</si>
  <si>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</si>
  <si>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</si>
  <si>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</si>
  <si>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</si>
  <si>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</si>
  <si>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</si>
  <si>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</si>
  <si>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</si>
  <si>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</si>
  <si>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</si>
  <si>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</si>
  <si>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</si>
  <si>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</si>
  <si>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</si>
  <si>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</si>
  <si>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</si>
  <si>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</si>
  <si>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</si>
  <si>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</si>
  <si>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</si>
  <si>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</si>
  <si>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</si>
  <si>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</si>
  <si>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</si>
  <si>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</si>
  <si>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</si>
  <si>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</si>
  <si>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</si>
  <si>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</si>
  <si>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</si>
  <si>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</si>
  <si>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</si>
  <si>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</si>
  <si>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</si>
  <si>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</si>
  <si>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</si>
  <si>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</si>
  <si>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</si>
  <si>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</si>
  <si>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</si>
  <si>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</si>
  <si>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</si>
  <si>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</si>
  <si>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</si>
  <si>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</si>
  <si>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</si>
  <si>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</si>
  <si>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</si>
  <si>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</si>
  <si>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</si>
  <si>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</si>
  <si>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</si>
  <si>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</si>
  <si>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</si>
  <si>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</si>
  <si>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</si>
  <si>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</si>
  <si>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</si>
  <si>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</si>
  <si>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</si>
  <si>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</si>
  <si>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</si>
  <si>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</si>
  <si>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</si>
  <si>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</si>
  <si>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</si>
  <si>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</si>
  <si>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</si>
  <si>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</si>
  <si>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</si>
  <si>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</si>
  <si>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</si>
  <si>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</si>
  <si>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</si>
  <si>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</si>
  <si>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</si>
  <si>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</si>
  <si>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</si>
  <si>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</si>
  <si>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</si>
  <si>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</si>
  <si>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</si>
  <si>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</si>
  <si>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</si>
  <si>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</si>
  <si>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</si>
  <si>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</si>
  <si>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</si>
  <si>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</si>
  <si>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</si>
  <si>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</si>
  <si>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</si>
  <si>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</si>
  <si>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</si>
  <si>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</si>
  <si>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</si>
  <si>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</si>
  <si>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</si>
  <si>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</si>
  <si>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</si>
  <si>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</si>
  <si>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</si>
  <si>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</si>
  <si>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</si>
  <si>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</si>
  <si>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</si>
  <si>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</si>
  <si>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</si>
  <si>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</si>
  <si>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</si>
  <si>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</si>
  <si>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</si>
  <si>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</si>
  <si>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</si>
  <si>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</si>
  <si>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</si>
  <si>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</si>
  <si>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</si>
  <si>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</si>
  <si>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</si>
  <si>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</si>
  <si>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</si>
  <si>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</si>
  <si>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</si>
  <si>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</si>
  <si>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</si>
  <si>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</si>
  <si>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</si>
  <si>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</si>
  <si>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</si>
  <si>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</si>
  <si>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</si>
  <si>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</si>
  <si>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</si>
  <si>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</si>
  <si>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</si>
  <si>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</si>
  <si>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</si>
  <si>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</si>
  <si>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</si>
  <si>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</si>
  <si>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</si>
  <si>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</si>
  <si>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</si>
  <si>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</si>
  <si>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</si>
  <si>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</si>
  <si>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</si>
  <si>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</si>
  <si>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</si>
  <si>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</si>
  <si>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</si>
  <si>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</si>
  <si>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</si>
  <si>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</si>
  <si>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</si>
  <si>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</si>
  <si>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</si>
  <si>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</si>
  <si>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</si>
  <si>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</si>
  <si>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</si>
  <si>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</si>
  <si>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</si>
  <si>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</si>
  <si>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</si>
  <si>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</si>
  <si>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</si>
  <si>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</si>
  <si>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</si>
  <si>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</si>
  <si>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</si>
  <si>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</si>
  <si>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</si>
  <si>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</si>
  <si>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</si>
  <si>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</si>
  <si>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</si>
  <si>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</si>
  <si>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</si>
  <si>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</si>
  <si>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</si>
  <si>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</si>
  <si>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</si>
  <si>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</si>
  <si>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</si>
  <si>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</si>
  <si>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</si>
  <si>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</si>
  <si>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</si>
  <si>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</si>
  <si>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</si>
  <si>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</si>
  <si>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</si>
  <si>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</si>
  <si>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</si>
  <si>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</si>
  <si>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</si>
  <si>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</si>
  <si>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</si>
  <si>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</si>
  <si>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</si>
  <si>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</si>
  <si>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</si>
  <si>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</si>
  <si>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</si>
  <si>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</si>
  <si>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</si>
  <si>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</si>
  <si>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</si>
  <si>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</si>
  <si>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</si>
  <si>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</si>
  <si>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</si>
  <si>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</si>
  <si>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</si>
  <si>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</si>
  <si>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</si>
  <si>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</si>
  <si>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</si>
  <si>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</si>
  <si>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</si>
  <si>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</si>
  <si>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</si>
  <si>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</si>
  <si>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</si>
  <si>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</si>
  <si>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</si>
  <si>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</si>
  <si>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</si>
  <si>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</si>
  <si>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</si>
  <si>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</si>
  <si>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</si>
  <si>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</si>
  <si>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</si>
  <si>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</si>
  <si>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</si>
  <si>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</si>
  <si>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</si>
  <si>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</si>
  <si>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</si>
  <si>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</si>
  <si>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</si>
  <si>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</si>
  <si>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</si>
  <si>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</si>
  <si>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</si>
  <si>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</si>
  <si>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</si>
  <si>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</si>
  <si>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</si>
  <si>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</si>
  <si>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</si>
  <si>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</si>
  <si>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</si>
  <si>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</si>
  <si>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</si>
  <si>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</si>
  <si>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</si>
  <si>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</si>
  <si>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</si>
  <si>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</si>
  <si>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</si>
  <si>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</si>
  <si>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</si>
  <si>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</si>
  <si>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</si>
  <si>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</si>
  <si>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</si>
  <si>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</si>
  <si>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</si>
  <si>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</si>
  <si>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</si>
  <si>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</si>
  <si>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</si>
  <si>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</si>
  <si>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</si>
  <si>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</si>
  <si>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</si>
  <si>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</si>
  <si>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</si>
  <si>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</si>
  <si>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</si>
  <si>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</si>
  <si>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</si>
  <si>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</si>
  <si>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</si>
  <si>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</si>
  <si>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</si>
  <si>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</si>
  <si>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</si>
  <si>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</si>
  <si>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</si>
  <si>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</si>
  <si>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</si>
  <si>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</si>
  <si>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</si>
  <si>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</si>
  <si>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</si>
  <si>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</si>
  <si>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</si>
  <si>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</si>
  <si>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</si>
  <si>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</si>
  <si>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</si>
  <si>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</si>
  <si>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</si>
  <si>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</si>
  <si>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</si>
  <si>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</si>
  <si>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</si>
  <si>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</si>
  <si>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</si>
  <si>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</si>
  <si>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</si>
  <si>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</si>
  <si>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</si>
  <si>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</si>
  <si>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</si>
  <si>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</si>
  <si>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</si>
  <si>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</si>
  <si>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</si>
  <si>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</si>
  <si>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</si>
  <si>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</si>
  <si>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</si>
  <si>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</si>
  <si>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</si>
  <si>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</si>
  <si>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</si>
  <si>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</si>
  <si>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</si>
  <si>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</si>
  <si>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</si>
  <si>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</si>
  <si>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</si>
  <si>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</si>
  <si>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</si>
  <si>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</si>
  <si>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</si>
  <si>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</si>
  <si>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</si>
  <si>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</si>
  <si>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</si>
  <si>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</si>
  <si>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</si>
  <si>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</si>
  <si>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</si>
  <si>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</si>
  <si>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</si>
  <si>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</si>
  <si>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</si>
  <si>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</si>
  <si>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</si>
  <si>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</si>
  <si>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</si>
  <si>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</si>
  <si>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</si>
  <si>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</si>
  <si>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</si>
  <si>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</si>
  <si>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</si>
  <si>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</si>
  <si>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</si>
  <si>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</si>
  <si>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</si>
  <si>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</si>
  <si>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</si>
  <si>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</si>
  <si>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</si>
  <si>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</si>
  <si>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</si>
  <si>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</si>
  <si>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</si>
  <si>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</si>
  <si>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</si>
  <si>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</si>
  <si>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</si>
  <si>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</si>
  <si>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</si>
  <si>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</si>
  <si>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</si>
  <si>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</si>
  <si>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</si>
  <si>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</si>
  <si>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</si>
  <si>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</si>
  <si>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</si>
  <si>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</si>
  <si>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</si>
  <si>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</si>
  <si>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</si>
  <si>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</si>
  <si>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</si>
  <si>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</si>
  <si>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</si>
  <si>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</si>
  <si>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</si>
  <si>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</si>
  <si>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</si>
  <si>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</si>
  <si>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</si>
  <si>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</si>
  <si>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</si>
  <si>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</si>
  <si>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</si>
  <si>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</si>
  <si>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</si>
  <si>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</si>
  <si>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</si>
  <si>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</si>
  <si>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</si>
  <si>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</si>
  <si>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</si>
  <si>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</si>
  <si>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</si>
  <si>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</si>
  <si>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</si>
  <si>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</si>
  <si>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</si>
  <si>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</si>
  <si>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</si>
  <si>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</si>
  <si>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</si>
  <si>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</si>
  <si>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</si>
  <si>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</si>
  <si>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</si>
  <si>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</si>
  <si>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</si>
  <si>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</si>
  <si>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</si>
  <si>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</si>
  <si>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</si>
  <si>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</si>
  <si>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EmpID</t>
  </si>
  <si>
    <t>Attrition Count</t>
  </si>
  <si>
    <t>Sum of Attrition Count</t>
  </si>
  <si>
    <t>Attrition Rate</t>
  </si>
  <si>
    <t>Total Employee</t>
  </si>
  <si>
    <t>Average of Age</t>
  </si>
  <si>
    <t>Avg Age</t>
  </si>
  <si>
    <t>Average of MonthlyIncome</t>
  </si>
  <si>
    <t>Average of YearsAtCompany</t>
  </si>
  <si>
    <t>Avg Salary</t>
  </si>
  <si>
    <t>Avg YearsAtCompany</t>
  </si>
  <si>
    <t>Row Labels</t>
  </si>
  <si>
    <t>Grand Total</t>
  </si>
  <si>
    <t>Column Labels</t>
  </si>
  <si>
    <t>Job Satisfaction Vs Attrition by Department</t>
  </si>
  <si>
    <t>Work-Life Balance vs. Job Satisfaction</t>
  </si>
  <si>
    <t>Overtime vs. Attrition</t>
  </si>
  <si>
    <t>Distance from Home vs. Attrition</t>
  </si>
  <si>
    <t>Overtime</t>
  </si>
  <si>
    <t>Education vs. Attrition</t>
  </si>
  <si>
    <t>Attrition by Department</t>
  </si>
  <si>
    <r>
      <t>Attrition by Job Role</t>
    </r>
    <r>
      <rPr>
        <sz val="11"/>
        <color theme="1"/>
        <rFont val="Calibri"/>
        <family val="2"/>
        <scheme val="minor"/>
      </rPr>
      <t xml:space="preserve"> </t>
    </r>
  </si>
  <si>
    <r>
      <t>Attrition by Age Group</t>
    </r>
    <r>
      <rPr>
        <sz val="11"/>
        <color theme="1"/>
        <rFont val="Calibri"/>
        <family val="2"/>
        <scheme val="minor"/>
      </rPr>
      <t xml:space="preserve"> </t>
    </r>
  </si>
  <si>
    <r>
      <t>Attrition by Gender</t>
    </r>
    <r>
      <rPr>
        <sz val="11"/>
        <color theme="1"/>
        <rFont val="Calibri"/>
        <family val="2"/>
        <scheme val="minor"/>
      </rPr>
      <t xml:space="preserve"> </t>
    </r>
  </si>
  <si>
    <t>Average of Attrition Count</t>
  </si>
  <si>
    <t>Average of JobSatisfaction</t>
  </si>
  <si>
    <t>Attrition by Salary</t>
  </si>
  <si>
    <t>The company’s overall attrition rate is high (&gt;15%), signaling potential retention challenges.</t>
  </si>
  <si>
    <t>Sales and HR departments (especially female employees) experience the highest attrition, suggesting possible workload pressure or limited career development opportunities.</t>
  </si>
  <si>
    <t>The Laboratory Technician role records the highest number of exits.</t>
  </si>
  <si>
    <t>Employees aged 18–25 show the greatest attrition, likely due to early-career job changes and exploration.</t>
  </si>
  <si>
    <t>Departments with lower job satisfaction have noticeably higher attrition, confirming that engagement and satisfaction strongly influence retention.</t>
  </si>
  <si>
    <t>Lower-salary employees tend to leave more often, indicating compensation may be a key factor.</t>
  </si>
  <si>
    <t>Employees with Life Sciences and Medical educational backgrounds show higher attrition, possibly because they have broader job opportunities.</t>
  </si>
  <si>
    <t>Attrition increases significantly for employees living 11–27 km from work, implying that longer commutes contribute to turnover.</t>
  </si>
  <si>
    <t>Around 75% of employees who left were doing overtime, highlighting workload and burnout concerns.</t>
  </si>
  <si>
    <t xml:space="preserve"> Insights Summary</t>
  </si>
  <si>
    <t>For males, job satisfaction rises with better work-life balance (highest at rating 4). For females, satisfaction peaks at rating 2, suggesting other factors like career growth or role engagement may influence satisfaction more than balance alone.</t>
  </si>
  <si>
    <t>Male attrition is slightly higher than female, possibly due to lower average salaries and longer overtime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</si>
</sst>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0" xfId="0" pivotButton="1"/>
    <xf numFmtId="164" fontId="0" fillId="0" borderId="0" xfId="42" applyNumberFormat="1" applyFont="1"/>
    <xf numFmtId="0" fontId="0" fillId="33" borderId="0" xfId="0" applyFill="1"/>
    <xf numFmtId="1" fontId="0" fillId="0" borderId="0" xfId="0" applyNumberFormat="1"/>
    <xf numFmtId="165" fontId="0" fillId="0" borderId="0" xfId="0" applyNumberFormat="1"/>
    <xf numFmtId="0" fontId="0" fillId="0" borderId="0" xfId="0" applyAlignment="1">
      <alignment horizontal="left"/>
    </xf>
    <xf numFmtId="0" fontId="0" fillId="33" borderId="0" xfId="0" applyFill="1" applyAlignment="1">
      <alignment horizontal="left"/>
    </xf>
    <xf numFmtId="0" fontId="0" fillId="34" borderId="0" xfId="0" applyFill="1"/>
    <xf numFmtId="0" fontId="0" fillId="35" borderId="0" xfId="0" applyFill="1"/>
    <xf numFmtId="0" fontId="16" fillId="33" borderId="0" xfId="0" quotePrefix="1" applyFont="1" applyFill="1" applyAlignment="1">
      <alignment horizontal="left" vertical="center" indent="1"/>
    </xf>
    <xf numFmtId="0" fontId="0" fillId="0" borderId="0" xfId="0" quotePrefix="1" applyAlignment="1">
      <alignment horizontal="left"/>
    </xf>
    <xf numFmtId="164" fontId="0" fillId="0" borderId="0" xfId="0" applyNumberFormat="1"/>
    <xf numFmtId="2" fontId="0" fillId="0" borderId="0" xfId="0" applyNumberFormat="1"/>
    <xf numFmtId="0" fontId="20" fillId="36" borderId="0" xfId="0" applyFont="1" applyFill="1"/>
    <xf numFmtId="0" fontId="0" fillId="36" borderId="0" xfId="0" applyFill="1"/>
    <xf numFmtId="0" fontId="19" fillId="36" borderId="0" xfId="0" applyFont="1" applyFill="1"/>
    <xf numFmtId="0" fontId="18" fillId="36" borderId="0" xfId="0" applyFont="1" applyFill="1"/>
    <xf numFmtId="0" fontId="20" fillId="36" borderId="0" xfId="0" quotePrefix="1"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E39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project).xlsx]Analysis!PivotTable42</c:name>
    <c:fmtId val="17"/>
  </c:pivotSource>
  <c:chart>
    <c:title>
      <c:tx>
        <c:rich>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r>
              <a:rPr lang="en-US" sz="1400"/>
              <a:t>Attrition by Department</a:t>
            </a:r>
          </a:p>
        </c:rich>
      </c:tx>
      <c:layout>
        <c:manualLayout>
          <c:xMode val="edge"/>
          <c:yMode val="edge"/>
          <c:x val="0.18147843459866025"/>
          <c:y val="3.9138934793644622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5025937661836"/>
          <c:y val="0.26530758226037193"/>
          <c:w val="0.49096899769150421"/>
          <c:h val="0.65600858369098713"/>
        </c:manualLayout>
      </c:layout>
      <c:barChart>
        <c:barDir val="bar"/>
        <c:grouping val="clustered"/>
        <c:varyColors val="0"/>
        <c:ser>
          <c:idx val="0"/>
          <c:order val="0"/>
          <c:tx>
            <c:strRef>
              <c:f>Analysis!$B$9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Human Resources</c:v>
                </c:pt>
                <c:pt idx="1">
                  <c:v>Sales</c:v>
                </c:pt>
                <c:pt idx="2">
                  <c:v>Research &amp; Development</c:v>
                </c:pt>
              </c:strCache>
            </c:strRef>
          </c:cat>
          <c:val>
            <c:numRef>
              <c:f>Analysis!$B$10:$B$13</c:f>
              <c:numCache>
                <c:formatCode>General</c:formatCode>
                <c:ptCount val="3"/>
                <c:pt idx="0">
                  <c:v>12</c:v>
                </c:pt>
                <c:pt idx="1">
                  <c:v>92</c:v>
                </c:pt>
                <c:pt idx="2">
                  <c:v>133</c:v>
                </c:pt>
              </c:numCache>
            </c:numRef>
          </c:val>
          <c:extLst>
            <c:ext xmlns:c16="http://schemas.microsoft.com/office/drawing/2014/chart" uri="{C3380CC4-5D6E-409C-BE32-E72D297353CC}">
              <c16:uniqueId val="{00000000-A78F-49FF-81B0-4281EB6EE22E}"/>
            </c:ext>
          </c:extLst>
        </c:ser>
        <c:dLbls>
          <c:dLblPos val="outEnd"/>
          <c:showLegendKey val="0"/>
          <c:showVal val="1"/>
          <c:showCatName val="0"/>
          <c:showSerName val="0"/>
          <c:showPercent val="0"/>
          <c:showBubbleSize val="0"/>
        </c:dLbls>
        <c:gapWidth val="115"/>
        <c:overlap val="-20"/>
        <c:axId val="1535678288"/>
        <c:axId val="1535672048"/>
      </c:barChart>
      <c:catAx>
        <c:axId val="1535678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2048"/>
        <c:crosses val="autoZero"/>
        <c:auto val="1"/>
        <c:lblAlgn val="ctr"/>
        <c:lblOffset val="100"/>
        <c:noMultiLvlLbl val="0"/>
      </c:catAx>
      <c:valAx>
        <c:axId val="15356720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56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project).xlsx]Analysis!PivotTable41</c:name>
    <c:fmtId val="12"/>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r>
              <a:rPr lang="en-US" sz="1400" b="1"/>
              <a:t>Attrition by Job Role</a:t>
            </a:r>
          </a:p>
        </c:rich>
      </c:tx>
      <c:layout>
        <c:manualLayout>
          <c:xMode val="edge"/>
          <c:yMode val="edge"/>
          <c:x val="0.1989071038251366"/>
          <c:y val="4.255319148936170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Analysis!$D$10:$D$19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Analysis!$E$10:$E$19</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3DD-47BA-B31A-86987F163BE4}"/>
            </c:ext>
          </c:extLst>
        </c:ser>
        <c:dLbls>
          <c:dLblPos val="outEnd"/>
          <c:showLegendKey val="0"/>
          <c:showVal val="1"/>
          <c:showCatName val="0"/>
          <c:showSerName val="0"/>
          <c:showPercent val="0"/>
          <c:showBubbleSize val="0"/>
        </c:dLbls>
        <c:gapWidth val="182"/>
        <c:axId val="1535710448"/>
        <c:axId val="1535717648"/>
      </c:barChart>
      <c:catAx>
        <c:axId val="153571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crossAx val="1535717648"/>
        <c:crosses val="autoZero"/>
        <c:auto val="1"/>
        <c:lblAlgn val="ctr"/>
        <c:lblOffset val="100"/>
        <c:noMultiLvlLbl val="0"/>
      </c:catAx>
      <c:valAx>
        <c:axId val="15357176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57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project).xlsx]Analysis!PivotTable40</c:name>
    <c:fmtId val="4"/>
  </c:pivotSource>
  <c:chart>
    <c:title>
      <c:tx>
        <c:rich>
          <a:bodyPr rot="0" spcFirstLastPara="1" vertOverflow="ellipsis" vert="horz" wrap="square" anchor="ctr" anchorCtr="1"/>
          <a:lstStyle/>
          <a:p>
            <a:pPr algn="ctr" rtl="0">
              <a:defRPr sz="1400" b="1" i="0" u="none" strike="noStrike" kern="1200" baseline="0">
                <a:solidFill>
                  <a:srgbClr val="002060"/>
                </a:solidFill>
                <a:effectLst/>
                <a:latin typeface="+mn-lt"/>
                <a:ea typeface="+mn-ea"/>
                <a:cs typeface="+mn-cs"/>
              </a:defRPr>
            </a:pPr>
            <a:r>
              <a:rPr lang="en-US" sz="1400" b="1"/>
              <a:t>Attrition by Age Group</a:t>
            </a:r>
          </a:p>
        </c:rich>
      </c:tx>
      <c:layout>
        <c:manualLayout>
          <c:xMode val="edge"/>
          <c:yMode val="edge"/>
          <c:x val="0.13401723675185637"/>
          <c:y val="4.7841702980458568E-2"/>
        </c:manualLayout>
      </c:layout>
      <c:overlay val="0"/>
      <c:spPr>
        <a:noFill/>
        <a:ln>
          <a:noFill/>
        </a:ln>
        <a:effectLst/>
      </c:spPr>
      <c:txPr>
        <a:bodyPr rot="0" spcFirstLastPara="1" vertOverflow="ellipsis" vert="horz" wrap="square" anchor="ctr" anchorCtr="1"/>
        <a:lstStyle/>
        <a:p>
          <a:pPr algn="ctr" rtl="0">
            <a:defRPr sz="1400" b="1" i="0" u="none" strike="noStrike" kern="1200" baseline="0">
              <a:solidFill>
                <a:srgbClr val="002060"/>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5.5556649168854912E-3"/>
              <c:y val="7.00320793234179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055555555555549E-2"/>
                  <c:h val="7.0393700787401578E-2"/>
                </c:manualLayout>
              </c15:layout>
            </c:ext>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5.5556649168854912E-3"/>
              <c:y val="7.00320793234179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055555555555549E-2"/>
                  <c:h val="7.0393700787401578E-2"/>
                </c:manualLayout>
              </c15:layout>
            </c:ext>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8324410524504219E-2"/>
              <c:y val="6.6485980032637754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2593046770793"/>
                  <c:h val="6.3301502205841298E-2"/>
                </c:manualLayout>
              </c15:layout>
            </c:ext>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0.1163790696375719"/>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39475399969906E-2"/>
          <c:y val="0.17090328698012375"/>
          <c:w val="0.92587391544209841"/>
          <c:h val="0.65975372567862167"/>
        </c:manualLayout>
      </c:layout>
      <c:barChart>
        <c:barDir val="col"/>
        <c:grouping val="clustered"/>
        <c:varyColors val="0"/>
        <c:ser>
          <c:idx val="0"/>
          <c:order val="0"/>
          <c:tx>
            <c:strRef>
              <c:f>Analysis!$H$9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Analysis!$G$10:$G$15</c:f>
              <c:strCache>
                <c:ptCount val="5"/>
                <c:pt idx="0">
                  <c:v>18-25</c:v>
                </c:pt>
                <c:pt idx="1">
                  <c:v>26-35</c:v>
                </c:pt>
                <c:pt idx="2">
                  <c:v>55+</c:v>
                </c:pt>
                <c:pt idx="3">
                  <c:v>46-55</c:v>
                </c:pt>
                <c:pt idx="4">
                  <c:v>36-45</c:v>
                </c:pt>
              </c:strCache>
            </c:strRef>
          </c:cat>
          <c:val>
            <c:numRef>
              <c:f>Analysis!$H$10:$H$15</c:f>
              <c:numCache>
                <c:formatCode>0.0%</c:formatCode>
                <c:ptCount val="5"/>
                <c:pt idx="0">
                  <c:v>0.35772357723577236</c:v>
                </c:pt>
                <c:pt idx="1">
                  <c:v>0.19141914191419143</c:v>
                </c:pt>
                <c:pt idx="2">
                  <c:v>0.1702127659574468</c:v>
                </c:pt>
                <c:pt idx="3">
                  <c:v>0.11504424778761062</c:v>
                </c:pt>
                <c:pt idx="4">
                  <c:v>9.1880341880341887E-2</c:v>
                </c:pt>
              </c:numCache>
            </c:numRef>
          </c:val>
          <c:extLst>
            <c:ext xmlns:c16="http://schemas.microsoft.com/office/drawing/2014/chart" uri="{C3380CC4-5D6E-409C-BE32-E72D297353CC}">
              <c16:uniqueId val="{00000004-ED4A-445D-8311-876943D3D382}"/>
            </c:ext>
          </c:extLst>
        </c:ser>
        <c:dLbls>
          <c:dLblPos val="inEnd"/>
          <c:showLegendKey val="0"/>
          <c:showVal val="1"/>
          <c:showCatName val="0"/>
          <c:showSerName val="0"/>
          <c:showPercent val="0"/>
          <c:showBubbleSize val="0"/>
        </c:dLbls>
        <c:gapWidth val="41"/>
        <c:axId val="1535723888"/>
        <c:axId val="1535707568"/>
      </c:barChart>
      <c:catAx>
        <c:axId val="153572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effectLst/>
                <a:latin typeface="+mn-lt"/>
                <a:ea typeface="+mn-ea"/>
                <a:cs typeface="+mn-cs"/>
              </a:defRPr>
            </a:pPr>
            <a:endParaRPr lang="en-US"/>
          </a:p>
        </c:txPr>
        <c:crossAx val="1535707568"/>
        <c:crosses val="autoZero"/>
        <c:auto val="1"/>
        <c:lblAlgn val="ctr"/>
        <c:lblOffset val="100"/>
        <c:noMultiLvlLbl val="0"/>
      </c:catAx>
      <c:valAx>
        <c:axId val="1535707568"/>
        <c:scaling>
          <c:orientation val="minMax"/>
        </c:scaling>
        <c:delete val="1"/>
        <c:axPos val="l"/>
        <c:numFmt formatCode="0.0%" sourceLinked="1"/>
        <c:majorTickMark val="none"/>
        <c:minorTickMark val="none"/>
        <c:tickLblPos val="nextTo"/>
        <c:crossAx val="153572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project).xlsx]Analysis!PivotTable46</c:name>
    <c:fmtId val="4"/>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b="1"/>
              <a:t>Distance from Home Vs Attrition </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Analysis!$G$35</c:f>
              <c:strCache>
                <c:ptCount val="1"/>
                <c:pt idx="0">
                  <c:v>Total</c:v>
                </c:pt>
              </c:strCache>
            </c:strRef>
          </c:tx>
          <c:spPr>
            <a:solidFill>
              <a:schemeClr val="accent1">
                <a:lumMod val="40000"/>
                <a:lumOff val="60000"/>
              </a:schemeClr>
            </a:solidFill>
            <a:ln>
              <a:solidFill>
                <a:srgbClr val="002060"/>
              </a:solidFill>
            </a:ln>
            <a:effectLst/>
          </c:spPr>
          <c:cat>
            <c:strRef>
              <c:f>Analysis!$F$36:$F$65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Analysis!$G$36:$G$65</c:f>
              <c:numCache>
                <c:formatCode>0.00</c:formatCode>
                <c:ptCount val="29"/>
                <c:pt idx="0">
                  <c:v>0.125</c:v>
                </c:pt>
                <c:pt idx="1">
                  <c:v>0.13270142180094788</c:v>
                </c:pt>
                <c:pt idx="2">
                  <c:v>0.16666666666666666</c:v>
                </c:pt>
                <c:pt idx="3">
                  <c:v>0.140625</c:v>
                </c:pt>
                <c:pt idx="4">
                  <c:v>0.15384615384615385</c:v>
                </c:pt>
                <c:pt idx="5">
                  <c:v>0.11864406779661017</c:v>
                </c:pt>
                <c:pt idx="6">
                  <c:v>0.13095238095238096</c:v>
                </c:pt>
                <c:pt idx="7">
                  <c:v>0.125</c:v>
                </c:pt>
                <c:pt idx="8">
                  <c:v>0.21176470588235294</c:v>
                </c:pt>
                <c:pt idx="9">
                  <c:v>0.12790697674418605</c:v>
                </c:pt>
                <c:pt idx="10">
                  <c:v>0.13793103448275862</c:v>
                </c:pt>
                <c:pt idx="11">
                  <c:v>0.3</c:v>
                </c:pt>
                <c:pt idx="12">
                  <c:v>0.31578947368421051</c:v>
                </c:pt>
                <c:pt idx="13">
                  <c:v>0.19047619047619047</c:v>
                </c:pt>
                <c:pt idx="14">
                  <c:v>0.19230769230769232</c:v>
                </c:pt>
                <c:pt idx="15">
                  <c:v>0.21875</c:v>
                </c:pt>
                <c:pt idx="16">
                  <c:v>0.25</c:v>
                </c:pt>
                <c:pt idx="17">
                  <c:v>0.15384615384615385</c:v>
                </c:pt>
                <c:pt idx="18">
                  <c:v>0.13636363636363635</c:v>
                </c:pt>
                <c:pt idx="19">
                  <c:v>0.16</c:v>
                </c:pt>
                <c:pt idx="20">
                  <c:v>0.16666666666666666</c:v>
                </c:pt>
                <c:pt idx="21">
                  <c:v>0.31578947368421051</c:v>
                </c:pt>
                <c:pt idx="22">
                  <c:v>0.18518518518518517</c:v>
                </c:pt>
                <c:pt idx="23">
                  <c:v>0.42857142857142855</c:v>
                </c:pt>
                <c:pt idx="24">
                  <c:v>0.24</c:v>
                </c:pt>
                <c:pt idx="25">
                  <c:v>0.12</c:v>
                </c:pt>
                <c:pt idx="26">
                  <c:v>0.25</c:v>
                </c:pt>
                <c:pt idx="27">
                  <c:v>8.6956521739130432E-2</c:v>
                </c:pt>
                <c:pt idx="28">
                  <c:v>0.18518518518518517</c:v>
                </c:pt>
              </c:numCache>
            </c:numRef>
          </c:val>
          <c:extLst>
            <c:ext xmlns:c16="http://schemas.microsoft.com/office/drawing/2014/chart" uri="{C3380CC4-5D6E-409C-BE32-E72D297353CC}">
              <c16:uniqueId val="{00000000-33C0-4FDA-8913-043BDFA57984}"/>
            </c:ext>
          </c:extLst>
        </c:ser>
        <c:dLbls>
          <c:showLegendKey val="0"/>
          <c:showVal val="0"/>
          <c:showCatName val="0"/>
          <c:showSerName val="0"/>
          <c:showPercent val="0"/>
          <c:showBubbleSize val="0"/>
        </c:dLbls>
        <c:axId val="1535671088"/>
        <c:axId val="1535678288"/>
      </c:areaChart>
      <c:catAx>
        <c:axId val="153567108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Distance From Home </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8288"/>
        <c:crosses val="autoZero"/>
        <c:auto val="1"/>
        <c:lblAlgn val="ctr"/>
        <c:lblOffset val="100"/>
        <c:noMultiLvlLbl val="0"/>
      </c:catAx>
      <c:valAx>
        <c:axId val="1535678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1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project).xlsx]Analysis!PivotTable39</c:name>
    <c:fmtId val="19"/>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b="1"/>
              <a:t>Attrition by Gender</a:t>
            </a:r>
          </a:p>
        </c:rich>
      </c:tx>
      <c:layout>
        <c:manualLayout>
          <c:xMode val="edge"/>
          <c:yMode val="edge"/>
          <c:x val="0.14043421202784434"/>
          <c:y val="2.1851789802870385E-2"/>
        </c:manualLayout>
      </c:layout>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noFill/>
          </a:ln>
          <a:effectLst/>
        </c:spPr>
        <c:dLbl>
          <c:idx val="0"/>
          <c:layout>
            <c:manualLayout>
              <c:x val="0.15444058784708792"/>
              <c:y val="0.3065475663663412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19050">
            <a:noFill/>
          </a:ln>
          <a:effectLst/>
        </c:spPr>
        <c:dLbl>
          <c:idx val="0"/>
          <c:layout>
            <c:manualLayout>
              <c:x val="-0.1603806104565913"/>
              <c:y val="-0.292923230083392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051073904638784"/>
          <c:y val="0.26459641122108918"/>
          <c:w val="0.59611926698534812"/>
          <c:h val="0.68174230528835178"/>
        </c:manualLayout>
      </c:layout>
      <c:doughnutChart>
        <c:varyColors val="1"/>
        <c:ser>
          <c:idx val="0"/>
          <c:order val="0"/>
          <c:tx>
            <c:strRef>
              <c:f>Analysis!$K$9</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6-8C67-4187-812C-2997B5F76644}"/>
              </c:ext>
            </c:extLst>
          </c:dPt>
          <c:dPt>
            <c:idx val="1"/>
            <c:bubble3D val="0"/>
            <c:spPr>
              <a:solidFill>
                <a:schemeClr val="accent2"/>
              </a:solidFill>
              <a:ln w="19050">
                <a:noFill/>
              </a:ln>
              <a:effectLst/>
            </c:spPr>
            <c:extLst>
              <c:ext xmlns:c16="http://schemas.microsoft.com/office/drawing/2014/chart" uri="{C3380CC4-5D6E-409C-BE32-E72D297353CC}">
                <c16:uniqueId val="{00000007-8C67-4187-812C-2997B5F76644}"/>
              </c:ext>
            </c:extLst>
          </c:dPt>
          <c:dLbls>
            <c:dLbl>
              <c:idx val="0"/>
              <c:layout>
                <c:manualLayout>
                  <c:x val="0.15444058784708792"/>
                  <c:y val="0.306547566366341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C67-4187-812C-2997B5F76644}"/>
                </c:ext>
              </c:extLst>
            </c:dLbl>
            <c:dLbl>
              <c:idx val="1"/>
              <c:layout>
                <c:manualLayout>
                  <c:x val="-0.1603806104565913"/>
                  <c:y val="-0.292923230083392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C67-4187-812C-2997B5F7664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Analysis!$J$10:$J$12</c:f>
              <c:strCache>
                <c:ptCount val="2"/>
                <c:pt idx="0">
                  <c:v>Female</c:v>
                </c:pt>
                <c:pt idx="1">
                  <c:v>Male</c:v>
                </c:pt>
              </c:strCache>
            </c:strRef>
          </c:cat>
          <c:val>
            <c:numRef>
              <c:f>Analysis!$K$10:$K$12</c:f>
              <c:numCache>
                <c:formatCode>0.00</c:formatCode>
                <c:ptCount val="2"/>
                <c:pt idx="0">
                  <c:v>0.14795918367346939</c:v>
                </c:pt>
                <c:pt idx="1">
                  <c:v>0.17006802721088435</c:v>
                </c:pt>
              </c:numCache>
            </c:numRef>
          </c:val>
          <c:extLst>
            <c:ext xmlns:c16="http://schemas.microsoft.com/office/drawing/2014/chart" uri="{C3380CC4-5D6E-409C-BE32-E72D297353CC}">
              <c16:uniqueId val="{00000004-8C67-4187-812C-2997B5F7664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2060"/>
                </a:solidFill>
                <a:effectLst/>
                <a:latin typeface="+mn-lt"/>
                <a:ea typeface="+mn-ea"/>
                <a:cs typeface="+mn-cs"/>
              </a:defRPr>
            </a:pPr>
            <a:r>
              <a:rPr lang="en-US" sz="1400" b="1" i="0" u="none" strike="noStrike" kern="1200" spc="0" baseline="0">
                <a:solidFill>
                  <a:srgbClr val="002060"/>
                </a:solidFill>
                <a:effectLst/>
                <a:latin typeface="+mn-lt"/>
                <a:ea typeface="+mn-ea"/>
                <a:cs typeface="+mn-cs"/>
              </a:rPr>
              <a:t> Attrition by Overtime</a:t>
            </a:r>
          </a:p>
        </c:rich>
      </c:tx>
      <c:layout>
        <c:manualLayout>
          <c:xMode val="edge"/>
          <c:yMode val="edge"/>
          <c:x val="0.10706738886938495"/>
          <c:y val="3.184718966985314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effectLst/>
              <a:latin typeface="+mn-lt"/>
              <a:ea typeface="+mn-ea"/>
              <a:cs typeface="+mn-cs"/>
            </a:defRPr>
          </a:pPr>
          <a:endParaRPr lang="en-US"/>
        </a:p>
      </c:txPr>
    </c:title>
    <c:autoTitleDeleted val="0"/>
    <c:plotArea>
      <c:layout>
        <c:manualLayout>
          <c:layoutTarget val="inner"/>
          <c:xMode val="edge"/>
          <c:yMode val="edge"/>
          <c:x val="0.1580608926661021"/>
          <c:y val="0.23477239637378636"/>
          <c:w val="0.704263002651073"/>
          <c:h val="0.76522760362621367"/>
        </c:manualLayout>
      </c:layout>
      <c:pieChart>
        <c:varyColors val="1"/>
        <c:ser>
          <c:idx val="0"/>
          <c:order val="0"/>
          <c:tx>
            <c:strRef>
              <c:f>Analysis!$B$39</c:f>
              <c:strCache>
                <c:ptCount val="1"/>
                <c:pt idx="0">
                  <c:v>Attrition</c:v>
                </c:pt>
              </c:strCache>
            </c:strRef>
          </c:tx>
          <c:spPr>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ED50-4351-9BF7-6D9C7F1A29CD}"/>
              </c:ext>
            </c:extLst>
          </c:dPt>
          <c:dPt>
            <c:idx val="1"/>
            <c:bubble3D val="0"/>
            <c:spPr>
              <a:solidFill>
                <a:schemeClr val="accent2"/>
              </a:solidFill>
              <a:ln w="19050">
                <a:noFill/>
              </a:ln>
              <a:effectLst/>
            </c:spPr>
            <c:extLst>
              <c:ext xmlns:c16="http://schemas.microsoft.com/office/drawing/2014/chart" uri="{C3380CC4-5D6E-409C-BE32-E72D297353CC}">
                <c16:uniqueId val="{00000003-ED50-4351-9BF7-6D9C7F1A29CD}"/>
              </c:ext>
            </c:extLst>
          </c:dPt>
          <c:dLbls>
            <c:dLbl>
              <c:idx val="0"/>
              <c:layout>
                <c:manualLayout>
                  <c:x val="-0.14267416498574945"/>
                  <c:y val="0.180150743663376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50-4351-9BF7-6D9C7F1A29CD}"/>
                </c:ext>
              </c:extLst>
            </c:dLbl>
            <c:dLbl>
              <c:idx val="1"/>
              <c:layout>
                <c:manualLayout>
                  <c:x val="0.21403658793923075"/>
                  <c:y val="-0.1157792846781480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50-4351-9BF7-6D9C7F1A29CD}"/>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Analysis!$A$40:$A$41</c:f>
              <c:strCache>
                <c:ptCount val="2"/>
                <c:pt idx="0">
                  <c:v>No</c:v>
                </c:pt>
                <c:pt idx="1">
                  <c:v>Yes</c:v>
                </c:pt>
              </c:strCache>
            </c:strRef>
          </c:cat>
          <c:val>
            <c:numRef>
              <c:f>Analysis!$B$40:$B$41</c:f>
              <c:numCache>
                <c:formatCode>0.0%</c:formatCode>
                <c:ptCount val="2"/>
                <c:pt idx="0">
                  <c:v>0.10436432637571158</c:v>
                </c:pt>
                <c:pt idx="1">
                  <c:v>0.30528846153846156</c:v>
                </c:pt>
              </c:numCache>
            </c:numRef>
          </c:val>
          <c:extLst>
            <c:ext xmlns:c16="http://schemas.microsoft.com/office/drawing/2014/chart" uri="{C3380CC4-5D6E-409C-BE32-E72D297353CC}">
              <c16:uniqueId val="{00000004-ED50-4351-9BF7-6D9C7F1A29C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project).xlsx]Analysis!PivotTable47</c:name>
    <c:fmtId val="14"/>
  </c:pivotSource>
  <c:chart>
    <c:title>
      <c:tx>
        <c:rich>
          <a:bodyPr rot="0" spcFirstLastPara="1" vertOverflow="ellipsis" vert="horz" wrap="square" anchor="ctr" anchorCtr="1"/>
          <a:lstStyle/>
          <a:p>
            <a:pPr algn="ctr" rtl="0">
              <a:defRPr lang="en-US" sz="1600" b="1" i="0" u="none" strike="noStrike" kern="1200" baseline="0">
                <a:solidFill>
                  <a:srgbClr val="002060"/>
                </a:solidFill>
                <a:effectLst/>
                <a:latin typeface="+mn-lt"/>
                <a:ea typeface="+mn-ea"/>
                <a:cs typeface="+mn-cs"/>
              </a:defRPr>
            </a:pPr>
            <a:r>
              <a:rPr lang="en-US" sz="1600" b="1" i="0" u="none" strike="noStrike" kern="1200" baseline="0">
                <a:solidFill>
                  <a:srgbClr val="002060"/>
                </a:solidFill>
                <a:latin typeface="+mn-lt"/>
                <a:ea typeface="+mn-ea"/>
                <a:cs typeface="+mn-cs"/>
              </a:rPr>
              <a:t>Work-Life Balance Vs Job Satisfaction</a:t>
            </a:r>
          </a:p>
        </c:rich>
      </c:tx>
      <c:layout>
        <c:manualLayout>
          <c:xMode val="edge"/>
          <c:yMode val="edge"/>
          <c:x val="0.14592077272465934"/>
          <c:y val="0"/>
        </c:manualLayout>
      </c:layout>
      <c:overlay val="0"/>
      <c:spPr>
        <a:noFill/>
        <a:ln>
          <a:noFill/>
        </a:ln>
        <a:effectLst/>
      </c:spPr>
      <c:txPr>
        <a:bodyPr rot="0" spcFirstLastPara="1" vertOverflow="ellipsis" vert="horz" wrap="square" anchor="ctr" anchorCtr="1"/>
        <a:lstStyle/>
        <a:p>
          <a:pPr algn="ctr" rtl="0">
            <a:defRPr lang="en-US" sz="1600" b="1" i="0" u="none" strike="noStrike" kern="1200" baseline="0">
              <a:solidFill>
                <a:srgbClr val="002060"/>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6946090821842E-2"/>
          <c:y val="0.15078040854320307"/>
          <c:w val="0.97807017543859653"/>
          <c:h val="0.68788221044423092"/>
        </c:manualLayout>
      </c:layout>
      <c:barChart>
        <c:barDir val="col"/>
        <c:grouping val="clustered"/>
        <c:varyColors val="0"/>
        <c:ser>
          <c:idx val="0"/>
          <c:order val="0"/>
          <c:tx>
            <c:strRef>
              <c:f>Analysis!$J$37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Analysis!$I$38:$I$42</c:f>
              <c:strCache>
                <c:ptCount val="4"/>
                <c:pt idx="0">
                  <c:v>2</c:v>
                </c:pt>
                <c:pt idx="1">
                  <c:v>4</c:v>
                </c:pt>
                <c:pt idx="2">
                  <c:v>3</c:v>
                </c:pt>
                <c:pt idx="3">
                  <c:v>1</c:v>
                </c:pt>
              </c:strCache>
            </c:strRef>
          </c:cat>
          <c:val>
            <c:numRef>
              <c:f>Analysis!$J$38:$J$42</c:f>
              <c:numCache>
                <c:formatCode>0.00</c:formatCode>
                <c:ptCount val="4"/>
                <c:pt idx="0">
                  <c:v>2.8372093023255816</c:v>
                </c:pt>
                <c:pt idx="1">
                  <c:v>2.7450980392156863</c:v>
                </c:pt>
                <c:pt idx="2">
                  <c:v>2.6909294512877939</c:v>
                </c:pt>
                <c:pt idx="3">
                  <c:v>2.65</c:v>
                </c:pt>
              </c:numCache>
            </c:numRef>
          </c:val>
          <c:extLst>
            <c:ext xmlns:c16="http://schemas.microsoft.com/office/drawing/2014/chart" uri="{C3380CC4-5D6E-409C-BE32-E72D297353CC}">
              <c16:uniqueId val="{00000000-B08B-4260-AEFD-67891D65EC3F}"/>
            </c:ext>
          </c:extLst>
        </c:ser>
        <c:dLbls>
          <c:dLblPos val="inEnd"/>
          <c:showLegendKey val="0"/>
          <c:showVal val="1"/>
          <c:showCatName val="0"/>
          <c:showSerName val="0"/>
          <c:showPercent val="0"/>
          <c:showBubbleSize val="0"/>
        </c:dLbls>
        <c:gapWidth val="41"/>
        <c:axId val="1535710448"/>
        <c:axId val="1535717648"/>
      </c:barChart>
      <c:catAx>
        <c:axId val="15357104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Work-Life Balance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35717648"/>
        <c:crosses val="autoZero"/>
        <c:auto val="1"/>
        <c:lblAlgn val="ctr"/>
        <c:lblOffset val="100"/>
        <c:noMultiLvlLbl val="0"/>
      </c:catAx>
      <c:valAx>
        <c:axId val="1535717648"/>
        <c:scaling>
          <c:orientation val="minMax"/>
        </c:scaling>
        <c:delete val="1"/>
        <c:axPos val="l"/>
        <c:numFmt formatCode="0.00" sourceLinked="1"/>
        <c:majorTickMark val="none"/>
        <c:minorTickMark val="none"/>
        <c:tickLblPos val="nextTo"/>
        <c:crossAx val="15357104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project).xlsx]Analysis!PivotTable43</c:name>
    <c:fmtId val="10"/>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b="1"/>
              <a:t>Job Satisfaction Vs Attrition by Department </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Analysis!$B$23:$B$24</c:f>
              <c:strCache>
                <c:ptCount val="1"/>
                <c:pt idx="0">
                  <c:v>1</c:v>
                </c:pt>
              </c:strCache>
            </c:strRef>
          </c:tx>
          <c:spPr>
            <a:solidFill>
              <a:schemeClr val="accent1"/>
            </a:solidFill>
            <a:ln>
              <a:noFill/>
            </a:ln>
            <a:effectLst/>
          </c:spPr>
          <c:invertIfNegative val="0"/>
          <c:cat>
            <c:strRef>
              <c:f>Analysis!$A$25:$A$28</c:f>
              <c:strCache>
                <c:ptCount val="3"/>
                <c:pt idx="0">
                  <c:v>Human Resources</c:v>
                </c:pt>
                <c:pt idx="1">
                  <c:v>Research &amp; Development</c:v>
                </c:pt>
                <c:pt idx="2">
                  <c:v>Sales</c:v>
                </c:pt>
              </c:strCache>
            </c:strRef>
          </c:cat>
          <c:val>
            <c:numRef>
              <c:f>Analysis!$B$25:$B$28</c:f>
              <c:numCache>
                <c:formatCode>0.00</c:formatCode>
                <c:ptCount val="3"/>
                <c:pt idx="0">
                  <c:v>0.45454545454545453</c:v>
                </c:pt>
                <c:pt idx="1">
                  <c:v>0.19791666666666666</c:v>
                </c:pt>
                <c:pt idx="2">
                  <c:v>0.26744186046511625</c:v>
                </c:pt>
              </c:numCache>
            </c:numRef>
          </c:val>
          <c:extLst>
            <c:ext xmlns:c16="http://schemas.microsoft.com/office/drawing/2014/chart" uri="{C3380CC4-5D6E-409C-BE32-E72D297353CC}">
              <c16:uniqueId val="{00000000-B6C8-4C7D-8EB3-BCB1A96537D7}"/>
            </c:ext>
          </c:extLst>
        </c:ser>
        <c:ser>
          <c:idx val="1"/>
          <c:order val="1"/>
          <c:tx>
            <c:strRef>
              <c:f>Analysis!$C$23:$C$24</c:f>
              <c:strCache>
                <c:ptCount val="1"/>
                <c:pt idx="0">
                  <c:v>2</c:v>
                </c:pt>
              </c:strCache>
            </c:strRef>
          </c:tx>
          <c:spPr>
            <a:solidFill>
              <a:schemeClr val="accent2"/>
            </a:solidFill>
            <a:ln>
              <a:noFill/>
            </a:ln>
            <a:effectLst/>
          </c:spPr>
          <c:invertIfNegative val="0"/>
          <c:cat>
            <c:strRef>
              <c:f>Analysis!$A$25:$A$28</c:f>
              <c:strCache>
                <c:ptCount val="3"/>
                <c:pt idx="0">
                  <c:v>Human Resources</c:v>
                </c:pt>
                <c:pt idx="1">
                  <c:v>Research &amp; Development</c:v>
                </c:pt>
                <c:pt idx="2">
                  <c:v>Sales</c:v>
                </c:pt>
              </c:strCache>
            </c:strRef>
          </c:cat>
          <c:val>
            <c:numRef>
              <c:f>Analysis!$C$25:$C$28</c:f>
              <c:numCache>
                <c:formatCode>0.00</c:formatCode>
                <c:ptCount val="3"/>
                <c:pt idx="0">
                  <c:v>0.1</c:v>
                </c:pt>
                <c:pt idx="1">
                  <c:v>0.13793103448275862</c:v>
                </c:pt>
                <c:pt idx="2">
                  <c:v>0.23255813953488372</c:v>
                </c:pt>
              </c:numCache>
            </c:numRef>
          </c:val>
          <c:extLst>
            <c:ext xmlns:c16="http://schemas.microsoft.com/office/drawing/2014/chart" uri="{C3380CC4-5D6E-409C-BE32-E72D297353CC}">
              <c16:uniqueId val="{00000001-B6C8-4C7D-8EB3-BCB1A96537D7}"/>
            </c:ext>
          </c:extLst>
        </c:ser>
        <c:ser>
          <c:idx val="2"/>
          <c:order val="2"/>
          <c:tx>
            <c:strRef>
              <c:f>Analysis!$D$23:$D$24</c:f>
              <c:strCache>
                <c:ptCount val="1"/>
                <c:pt idx="0">
                  <c:v>3</c:v>
                </c:pt>
              </c:strCache>
            </c:strRef>
          </c:tx>
          <c:spPr>
            <a:solidFill>
              <a:schemeClr val="accent3"/>
            </a:solidFill>
            <a:ln>
              <a:noFill/>
            </a:ln>
            <a:effectLst/>
          </c:spPr>
          <c:invertIfNegative val="0"/>
          <c:cat>
            <c:strRef>
              <c:f>Analysis!$A$25:$A$28</c:f>
              <c:strCache>
                <c:ptCount val="3"/>
                <c:pt idx="0">
                  <c:v>Human Resources</c:v>
                </c:pt>
                <c:pt idx="1">
                  <c:v>Research &amp; Development</c:v>
                </c:pt>
                <c:pt idx="2">
                  <c:v>Sales</c:v>
                </c:pt>
              </c:strCache>
            </c:strRef>
          </c:cat>
          <c:val>
            <c:numRef>
              <c:f>Analysis!$D$25:$D$28</c:f>
              <c:numCache>
                <c:formatCode>0.00</c:formatCode>
                <c:ptCount val="3"/>
                <c:pt idx="0">
                  <c:v>0.2</c:v>
                </c:pt>
                <c:pt idx="1">
                  <c:v>0.14333333333333334</c:v>
                </c:pt>
                <c:pt idx="2">
                  <c:v>0.2125984251968504</c:v>
                </c:pt>
              </c:numCache>
            </c:numRef>
          </c:val>
          <c:extLst>
            <c:ext xmlns:c16="http://schemas.microsoft.com/office/drawing/2014/chart" uri="{C3380CC4-5D6E-409C-BE32-E72D297353CC}">
              <c16:uniqueId val="{00000002-B6C8-4C7D-8EB3-BCB1A96537D7}"/>
            </c:ext>
          </c:extLst>
        </c:ser>
        <c:ser>
          <c:idx val="3"/>
          <c:order val="3"/>
          <c:tx>
            <c:strRef>
              <c:f>Analysis!$E$23:$E$24</c:f>
              <c:strCache>
                <c:ptCount val="1"/>
                <c:pt idx="0">
                  <c:v>4</c:v>
                </c:pt>
              </c:strCache>
            </c:strRef>
          </c:tx>
          <c:spPr>
            <a:solidFill>
              <a:schemeClr val="accent4"/>
            </a:solidFill>
            <a:ln>
              <a:noFill/>
            </a:ln>
            <a:effectLst/>
          </c:spPr>
          <c:invertIfNegative val="0"/>
          <c:cat>
            <c:strRef>
              <c:f>Analysis!$A$25:$A$28</c:f>
              <c:strCache>
                <c:ptCount val="3"/>
                <c:pt idx="0">
                  <c:v>Human Resources</c:v>
                </c:pt>
                <c:pt idx="1">
                  <c:v>Research &amp; Development</c:v>
                </c:pt>
                <c:pt idx="2">
                  <c:v>Sales</c:v>
                </c:pt>
              </c:strCache>
            </c:strRef>
          </c:cat>
          <c:val>
            <c:numRef>
              <c:f>Analysis!$E$25:$E$28</c:f>
              <c:numCache>
                <c:formatCode>0.00</c:formatCode>
                <c:ptCount val="3"/>
                <c:pt idx="0">
                  <c:v>0.11764705882352941</c:v>
                </c:pt>
                <c:pt idx="1">
                  <c:v>9.4915254237288138E-2</c:v>
                </c:pt>
                <c:pt idx="2">
                  <c:v>0.14965986394557823</c:v>
                </c:pt>
              </c:numCache>
            </c:numRef>
          </c:val>
          <c:extLst>
            <c:ext xmlns:c16="http://schemas.microsoft.com/office/drawing/2014/chart" uri="{C3380CC4-5D6E-409C-BE32-E72D297353CC}">
              <c16:uniqueId val="{00000003-B6C8-4C7D-8EB3-BCB1A96537D7}"/>
            </c:ext>
          </c:extLst>
        </c:ser>
        <c:dLbls>
          <c:showLegendKey val="0"/>
          <c:showVal val="0"/>
          <c:showCatName val="0"/>
          <c:showSerName val="0"/>
          <c:showPercent val="0"/>
          <c:showBubbleSize val="0"/>
        </c:dLbls>
        <c:gapWidth val="219"/>
        <c:overlap val="-27"/>
        <c:axId val="1745369072"/>
        <c:axId val="1745373872"/>
      </c:barChart>
      <c:catAx>
        <c:axId val="174536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73872"/>
        <c:crosses val="autoZero"/>
        <c:auto val="1"/>
        <c:lblAlgn val="ctr"/>
        <c:lblOffset val="100"/>
        <c:noMultiLvlLbl val="0"/>
      </c:catAx>
      <c:valAx>
        <c:axId val="174537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Avg 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6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project).xlsx]Analysis!PivotTable44</c:name>
    <c:fmtId val="22"/>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t>Attrition by Salary</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7826048159399"/>
          <c:y val="0.19361769380862207"/>
          <c:w val="0.77969069839153238"/>
          <c:h val="0.75057365501435469"/>
        </c:manualLayout>
      </c:layout>
      <c:barChart>
        <c:barDir val="bar"/>
        <c:grouping val="clustered"/>
        <c:varyColors val="0"/>
        <c:ser>
          <c:idx val="0"/>
          <c:order val="0"/>
          <c:tx>
            <c:strRef>
              <c:f>Analysis!$J$22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Analysis!$I$23:$I$27</c:f>
              <c:strCache>
                <c:ptCount val="4"/>
                <c:pt idx="0">
                  <c:v>15k+</c:v>
                </c:pt>
                <c:pt idx="1">
                  <c:v>10k-15k</c:v>
                </c:pt>
                <c:pt idx="2">
                  <c:v>5k-10k</c:v>
                </c:pt>
                <c:pt idx="3">
                  <c:v>Upto 5k</c:v>
                </c:pt>
              </c:strCache>
            </c:strRef>
          </c:cat>
          <c:val>
            <c:numRef>
              <c:f>Analysis!$J$23:$J$27</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0-FFD7-4445-9F90-3D1178F053A6}"/>
            </c:ext>
          </c:extLst>
        </c:ser>
        <c:dLbls>
          <c:dLblPos val="outEnd"/>
          <c:showLegendKey val="0"/>
          <c:showVal val="1"/>
          <c:showCatName val="0"/>
          <c:showSerName val="0"/>
          <c:showPercent val="0"/>
          <c:showBubbleSize val="0"/>
        </c:dLbls>
        <c:gapWidth val="115"/>
        <c:overlap val="-20"/>
        <c:axId val="1745369072"/>
        <c:axId val="1745373872"/>
      </c:barChart>
      <c:catAx>
        <c:axId val="174536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73872"/>
        <c:crosses val="autoZero"/>
        <c:auto val="1"/>
        <c:lblAlgn val="ctr"/>
        <c:lblOffset val="100"/>
        <c:noMultiLvlLbl val="0"/>
      </c:catAx>
      <c:valAx>
        <c:axId val="17453738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4536907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project).xlsx]Analysis!PivotTable51</c:name>
    <c:fmtId val="2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t>Attrition by Education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w="19050">
            <a:noFill/>
          </a:ln>
          <a:effectLst/>
        </c:spPr>
        <c:dLbl>
          <c:idx val="0"/>
          <c:layout>
            <c:manualLayout>
              <c:x val="0.17524737354007422"/>
              <c:y val="0.231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53710677469666"/>
                  <c:h val="0.24700754490328208"/>
                </c:manualLayout>
              </c15:layout>
            </c:ext>
          </c:extLst>
        </c:dLbl>
      </c:pivotFmt>
      <c:pivotFmt>
        <c:idx val="86"/>
        <c:spPr>
          <a:solidFill>
            <a:schemeClr val="accent1"/>
          </a:solidFill>
          <a:ln w="19050">
            <a:noFill/>
          </a:ln>
          <a:effectLst/>
        </c:spPr>
        <c:dLbl>
          <c:idx val="0"/>
          <c:layout>
            <c:manualLayout>
              <c:x val="-0.23734177215189872"/>
              <c:y val="6.8565608491976363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027010864148311"/>
                  <c:h val="0.19084894847004882"/>
                </c:manualLayout>
              </c15:layout>
            </c:ext>
          </c:extLst>
        </c:dLbl>
      </c:pivotFmt>
      <c:pivotFmt>
        <c:idx val="87"/>
        <c:spPr>
          <a:solidFill>
            <a:schemeClr val="accent1"/>
          </a:solidFill>
          <a:ln w="19050">
            <a:noFill/>
          </a:ln>
          <a:effectLst/>
        </c:spPr>
        <c:dLbl>
          <c:idx val="0"/>
          <c:layout>
            <c:manualLayout>
              <c:x val="-9.7573632014352638E-2"/>
              <c:y val="-0.1239449400312303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04915445695871"/>
                  <c:h val="0.1644776404531712"/>
                </c:manualLayout>
              </c15:layout>
            </c:ext>
          </c:extLst>
        </c:dLbl>
      </c:pivotFmt>
      <c:pivotFmt>
        <c:idx val="88"/>
        <c:spPr>
          <a:solidFill>
            <a:schemeClr val="accent1"/>
          </a:solidFill>
          <a:ln w="19050">
            <a:noFill/>
          </a:ln>
          <a:effectLst/>
        </c:spPr>
        <c:dLbl>
          <c:idx val="0"/>
          <c:layout>
            <c:manualLayout>
              <c:x val="-0.20710910512225911"/>
              <c:y val="-0.1004814702649348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solidFill>
            <a:schemeClr val="accent1"/>
          </a:solidFill>
          <a:ln w="19050">
            <a:noFill/>
          </a:ln>
          <a:effectLst/>
        </c:spPr>
        <c:dLbl>
          <c:idx val="0"/>
          <c:layout>
            <c:manualLayout>
              <c:x val="8.2431075067363566E-2"/>
              <c:y val="-0.19541804069363125"/>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1"/>
          </a:solidFill>
          <a:ln w="19050">
            <a:noFill/>
          </a:ln>
          <a:effectLst/>
        </c:spPr>
        <c:dLbl>
          <c:idx val="0"/>
          <c:layout>
            <c:manualLayout>
              <c:x val="0.17013660522052038"/>
              <c:y val="-4.8550261345536937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solidFill>
            <a:schemeClr val="accent1"/>
          </a:solidFill>
          <a:ln w="19050">
            <a:noFill/>
          </a:ln>
          <a:effectLst/>
        </c:spPr>
        <c:dLbl>
          <c:idx val="0"/>
          <c:layout>
            <c:manualLayout>
              <c:x val="-0.12631479084229241"/>
              <c:y val="-0.1290765316099278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1"/>
          </a:solidFill>
          <a:ln w="19050">
            <a:noFill/>
          </a:ln>
          <a:effectLst/>
        </c:spPr>
        <c:dLbl>
          <c:idx val="0"/>
          <c:layout>
            <c:manualLayout>
              <c:x val="-0.30793716309729485"/>
              <c:y val="7.228288308297045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04126094348885"/>
                  <c:h val="0.18745088480048624"/>
                </c:manualLayout>
              </c15:layout>
            </c:ext>
          </c:extLst>
        </c:dLbl>
      </c:pivotFmt>
      <c:pivotFmt>
        <c:idx val="94"/>
        <c:spPr>
          <a:solidFill>
            <a:schemeClr val="accent1"/>
          </a:solidFill>
          <a:ln w="19050">
            <a:noFill/>
          </a:ln>
          <a:effectLst/>
        </c:spPr>
        <c:dLbl>
          <c:idx val="0"/>
          <c:layout>
            <c:manualLayout>
              <c:x val="0.29805492871474104"/>
              <c:y val="-0.118436262172673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63660560726217"/>
                  <c:h val="0.13686695909751906"/>
                </c:manualLayout>
              </c15:layout>
            </c:ext>
          </c:extLst>
        </c:dLbl>
      </c:pivotFmt>
      <c:pivotFmt>
        <c:idx val="95"/>
        <c:spPr>
          <a:solidFill>
            <a:schemeClr val="accent1"/>
          </a:solidFill>
          <a:ln w="19050">
            <a:noFill/>
          </a:ln>
          <a:effectLst/>
        </c:spPr>
        <c:dLbl>
          <c:idx val="0"/>
          <c:layout>
            <c:manualLayout>
              <c:x val="0.20832836031007182"/>
              <c:y val="-6.711979643716253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63102921689419"/>
                  <c:h val="0.18745083403766435"/>
                </c:manualLayout>
              </c15:layout>
            </c:ext>
          </c:extLst>
        </c:dLbl>
      </c:pivotFmt>
      <c:pivotFmt>
        <c:idx val="96"/>
        <c:spPr>
          <a:solidFill>
            <a:schemeClr val="accent1"/>
          </a:solidFill>
          <a:ln w="19050">
            <a:noFill/>
          </a:ln>
          <a:effectLst/>
        </c:spPr>
        <c:dLbl>
          <c:idx val="0"/>
          <c:layout>
            <c:manualLayout>
              <c:x val="0.15761680412767914"/>
              <c:y val="0.154994127086736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22735213790928"/>
                  <c:h val="0.20435109386743583"/>
                </c:manualLayout>
              </c15:layout>
            </c:ext>
          </c:extLst>
        </c:dLbl>
      </c:pivotFmt>
      <c:pivotFmt>
        <c:idx val="97"/>
        <c:spPr>
          <a:solidFill>
            <a:schemeClr val="accent1"/>
          </a:solidFill>
          <a:ln w="19050">
            <a:noFill/>
          </a:ln>
          <a:effectLst/>
        </c:spPr>
        <c:dLbl>
          <c:idx val="0"/>
          <c:layout>
            <c:manualLayout>
              <c:x val="0.17251489129524272"/>
              <c:y val="-1.011678514059344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9"/>
        <c:spPr>
          <a:solidFill>
            <a:schemeClr val="accent1"/>
          </a:solidFill>
          <a:ln w="19050">
            <a:noFill/>
          </a:ln>
          <a:effectLst/>
        </c:spPr>
        <c:dLbl>
          <c:idx val="0"/>
          <c:layout>
            <c:manualLayout>
              <c:x val="-0.30793716309729485"/>
              <c:y val="7.228288308297045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04126094348885"/>
                  <c:h val="0.18745088480048624"/>
                </c:manualLayout>
              </c15:layout>
            </c:ext>
          </c:extLst>
        </c:dLbl>
      </c:pivotFmt>
      <c:pivotFmt>
        <c:idx val="100"/>
        <c:spPr>
          <a:solidFill>
            <a:schemeClr val="accent1"/>
          </a:solidFill>
          <a:ln w="19050">
            <a:noFill/>
          </a:ln>
          <a:effectLst/>
        </c:spPr>
        <c:dLbl>
          <c:idx val="0"/>
          <c:layout>
            <c:manualLayout>
              <c:x val="-0.12631479084229241"/>
              <c:y val="-0.1290765316099278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solidFill>
            <a:schemeClr val="accent1"/>
          </a:solidFill>
          <a:ln w="19050">
            <a:noFill/>
          </a:ln>
          <a:effectLst/>
        </c:spPr>
        <c:dLbl>
          <c:idx val="0"/>
          <c:layout>
            <c:manualLayout>
              <c:x val="0.29805492871474104"/>
              <c:y val="-0.118436262172673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63660560726217"/>
                  <c:h val="0.13686695909751906"/>
                </c:manualLayout>
              </c15:layout>
            </c:ext>
          </c:extLst>
        </c:dLbl>
      </c:pivotFmt>
      <c:pivotFmt>
        <c:idx val="102"/>
        <c:spPr>
          <a:solidFill>
            <a:schemeClr val="accent1"/>
          </a:solidFill>
          <a:ln w="19050">
            <a:noFill/>
          </a:ln>
          <a:effectLst/>
        </c:spPr>
        <c:dLbl>
          <c:idx val="0"/>
          <c:layout>
            <c:manualLayout>
              <c:x val="0.20832836031007182"/>
              <c:y val="-6.711979643716253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63102921689419"/>
                  <c:h val="0.18745083403766435"/>
                </c:manualLayout>
              </c15:layout>
            </c:ext>
          </c:extLst>
        </c:dLbl>
      </c:pivotFmt>
      <c:pivotFmt>
        <c:idx val="103"/>
        <c:spPr>
          <a:solidFill>
            <a:schemeClr val="accent1"/>
          </a:solidFill>
          <a:ln w="19050">
            <a:noFill/>
          </a:ln>
          <a:effectLst/>
        </c:spPr>
        <c:dLbl>
          <c:idx val="0"/>
          <c:layout>
            <c:manualLayout>
              <c:x val="0.17251489129524272"/>
              <c:y val="-1.011678514059344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4"/>
        <c:spPr>
          <a:solidFill>
            <a:schemeClr val="accent1"/>
          </a:solidFill>
          <a:ln w="19050">
            <a:noFill/>
          </a:ln>
          <a:effectLst/>
        </c:spPr>
        <c:dLbl>
          <c:idx val="0"/>
          <c:layout>
            <c:manualLayout>
              <c:x val="0.15761680412767914"/>
              <c:y val="0.154994127086736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22735213790928"/>
                  <c:h val="0.20435109386743583"/>
                </c:manualLayout>
              </c15:layout>
            </c:ext>
          </c:extLst>
        </c:dLbl>
      </c:pivotFmt>
      <c:pivotFmt>
        <c:idx val="10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solidFill>
            <a:schemeClr val="accent1"/>
          </a:solidFill>
          <a:ln w="19050">
            <a:noFill/>
          </a:ln>
          <a:effectLst/>
        </c:spPr>
        <c:dLbl>
          <c:idx val="0"/>
          <c:layout>
            <c:manualLayout>
              <c:x val="-0.30793716309729485"/>
              <c:y val="7.228288308297045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04126094348885"/>
                  <c:h val="0.18745088480048624"/>
                </c:manualLayout>
              </c15:layout>
            </c:ext>
          </c:extLst>
        </c:dLbl>
      </c:pivotFmt>
      <c:pivotFmt>
        <c:idx val="107"/>
        <c:spPr>
          <a:solidFill>
            <a:schemeClr val="accent1"/>
          </a:solidFill>
          <a:ln w="19050">
            <a:noFill/>
          </a:ln>
          <a:effectLst/>
        </c:spPr>
        <c:dLbl>
          <c:idx val="0"/>
          <c:layout>
            <c:manualLayout>
              <c:x val="-0.12631479084229241"/>
              <c:y val="-0.1290765316099278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solidFill>
            <a:schemeClr val="accent1"/>
          </a:solidFill>
          <a:ln w="19050">
            <a:noFill/>
          </a:ln>
          <a:effectLst/>
        </c:spPr>
        <c:dLbl>
          <c:idx val="0"/>
          <c:layout>
            <c:manualLayout>
              <c:x val="0.29805492871474104"/>
              <c:y val="-0.118436262172673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63660560726217"/>
                  <c:h val="0.13686695909751906"/>
                </c:manualLayout>
              </c15:layout>
            </c:ext>
          </c:extLst>
        </c:dLbl>
      </c:pivotFmt>
      <c:pivotFmt>
        <c:idx val="109"/>
        <c:spPr>
          <a:solidFill>
            <a:schemeClr val="accent1"/>
          </a:solidFill>
          <a:ln w="19050">
            <a:noFill/>
          </a:ln>
          <a:effectLst/>
        </c:spPr>
        <c:dLbl>
          <c:idx val="0"/>
          <c:layout>
            <c:manualLayout>
              <c:x val="0.20832836031007182"/>
              <c:y val="-6.711979643716253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63102921689419"/>
                  <c:h val="0.18745083403766435"/>
                </c:manualLayout>
              </c15:layout>
            </c:ext>
          </c:extLst>
        </c:dLbl>
      </c:pivotFmt>
      <c:pivotFmt>
        <c:idx val="110"/>
        <c:spPr>
          <a:solidFill>
            <a:schemeClr val="accent1"/>
          </a:solidFill>
          <a:ln w="19050">
            <a:noFill/>
          </a:ln>
          <a:effectLst/>
        </c:spPr>
        <c:dLbl>
          <c:idx val="0"/>
          <c:layout>
            <c:manualLayout>
              <c:x val="0.17251489129524272"/>
              <c:y val="-1.011678514059344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1"/>
          </a:solidFill>
          <a:ln w="19050">
            <a:noFill/>
          </a:ln>
          <a:effectLst/>
        </c:spPr>
        <c:dLbl>
          <c:idx val="0"/>
          <c:layout>
            <c:manualLayout>
              <c:x val="0.15761680412767914"/>
              <c:y val="0.154994127086736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22735213790928"/>
                  <c:h val="0.20435109386743583"/>
                </c:manualLayout>
              </c15:layout>
            </c:ext>
          </c:extLst>
        </c:dLbl>
      </c:pivotFmt>
    </c:pivotFmts>
    <c:plotArea>
      <c:layout>
        <c:manualLayout>
          <c:layoutTarget val="inner"/>
          <c:xMode val="edge"/>
          <c:yMode val="edge"/>
          <c:x val="0.16510555745749175"/>
          <c:y val="0.24253819761558018"/>
          <c:w val="0.59249457948191264"/>
          <c:h val="0.64078567373435691"/>
        </c:manualLayout>
      </c:layout>
      <c:doughnutChart>
        <c:varyColors val="1"/>
        <c:ser>
          <c:idx val="0"/>
          <c:order val="0"/>
          <c:tx>
            <c:strRef>
              <c:f>Analysis!$B$44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005-4714-AEB8-70673BD2F23C}"/>
              </c:ext>
            </c:extLst>
          </c:dPt>
          <c:dPt>
            <c:idx val="1"/>
            <c:bubble3D val="0"/>
            <c:spPr>
              <a:solidFill>
                <a:schemeClr val="accent2"/>
              </a:solidFill>
              <a:ln w="19050">
                <a:noFill/>
              </a:ln>
              <a:effectLst/>
            </c:spPr>
            <c:extLst>
              <c:ext xmlns:c16="http://schemas.microsoft.com/office/drawing/2014/chart" uri="{C3380CC4-5D6E-409C-BE32-E72D297353CC}">
                <c16:uniqueId val="{00000003-A005-4714-AEB8-70673BD2F23C}"/>
              </c:ext>
            </c:extLst>
          </c:dPt>
          <c:dPt>
            <c:idx val="2"/>
            <c:bubble3D val="0"/>
            <c:spPr>
              <a:solidFill>
                <a:schemeClr val="accent3"/>
              </a:solidFill>
              <a:ln w="19050">
                <a:noFill/>
              </a:ln>
              <a:effectLst/>
            </c:spPr>
            <c:extLst>
              <c:ext xmlns:c16="http://schemas.microsoft.com/office/drawing/2014/chart" uri="{C3380CC4-5D6E-409C-BE32-E72D297353CC}">
                <c16:uniqueId val="{00000005-A005-4714-AEB8-70673BD2F23C}"/>
              </c:ext>
            </c:extLst>
          </c:dPt>
          <c:dPt>
            <c:idx val="3"/>
            <c:bubble3D val="0"/>
            <c:spPr>
              <a:solidFill>
                <a:schemeClr val="accent4"/>
              </a:solidFill>
              <a:ln w="19050">
                <a:noFill/>
              </a:ln>
              <a:effectLst/>
            </c:spPr>
            <c:extLst>
              <c:ext xmlns:c16="http://schemas.microsoft.com/office/drawing/2014/chart" uri="{C3380CC4-5D6E-409C-BE32-E72D297353CC}">
                <c16:uniqueId val="{00000007-A005-4714-AEB8-70673BD2F23C}"/>
              </c:ext>
            </c:extLst>
          </c:dPt>
          <c:dPt>
            <c:idx val="4"/>
            <c:bubble3D val="0"/>
            <c:spPr>
              <a:solidFill>
                <a:schemeClr val="accent5"/>
              </a:solidFill>
              <a:ln w="19050">
                <a:noFill/>
              </a:ln>
              <a:effectLst/>
            </c:spPr>
            <c:extLst>
              <c:ext xmlns:c16="http://schemas.microsoft.com/office/drawing/2014/chart" uri="{C3380CC4-5D6E-409C-BE32-E72D297353CC}">
                <c16:uniqueId val="{00000009-A005-4714-AEB8-70673BD2F23C}"/>
              </c:ext>
            </c:extLst>
          </c:dPt>
          <c:dPt>
            <c:idx val="5"/>
            <c:bubble3D val="0"/>
            <c:spPr>
              <a:solidFill>
                <a:schemeClr val="accent6"/>
              </a:solidFill>
              <a:ln w="19050">
                <a:noFill/>
              </a:ln>
              <a:effectLst/>
            </c:spPr>
            <c:extLst>
              <c:ext xmlns:c16="http://schemas.microsoft.com/office/drawing/2014/chart" uri="{C3380CC4-5D6E-409C-BE32-E72D297353CC}">
                <c16:uniqueId val="{0000000B-A005-4714-AEB8-70673BD2F23C}"/>
              </c:ext>
            </c:extLst>
          </c:dPt>
          <c:dLbls>
            <c:dLbl>
              <c:idx val="0"/>
              <c:layout>
                <c:manualLayout>
                  <c:x val="-0.30793716309729485"/>
                  <c:y val="7.2282883082970456E-2"/>
                </c:manualLayout>
              </c:layout>
              <c:showLegendKey val="0"/>
              <c:showVal val="0"/>
              <c:showCatName val="1"/>
              <c:showSerName val="0"/>
              <c:showPercent val="1"/>
              <c:showBubbleSize val="0"/>
              <c:extLst>
                <c:ext xmlns:c15="http://schemas.microsoft.com/office/drawing/2012/chart" uri="{CE6537A1-D6FC-4f65-9D91-7224C49458BB}">
                  <c15:layout>
                    <c:manualLayout>
                      <c:w val="0.27504126094348885"/>
                      <c:h val="0.18745088480048624"/>
                    </c:manualLayout>
                  </c15:layout>
                </c:ext>
                <c:ext xmlns:c16="http://schemas.microsoft.com/office/drawing/2014/chart" uri="{C3380CC4-5D6E-409C-BE32-E72D297353CC}">
                  <c16:uniqueId val="{00000001-A005-4714-AEB8-70673BD2F23C}"/>
                </c:ext>
              </c:extLst>
            </c:dLbl>
            <c:dLbl>
              <c:idx val="1"/>
              <c:layout>
                <c:manualLayout>
                  <c:x val="-0.12631479084229241"/>
                  <c:y val="-0.129076531609927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05-4714-AEB8-70673BD2F23C}"/>
                </c:ext>
              </c:extLst>
            </c:dLbl>
            <c:dLbl>
              <c:idx val="2"/>
              <c:layout>
                <c:manualLayout>
                  <c:x val="0.29805492871474104"/>
                  <c:y val="-0.118436262172673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63660560726217"/>
                      <c:h val="0.13686695909751906"/>
                    </c:manualLayout>
                  </c15:layout>
                </c:ext>
                <c:ext xmlns:c16="http://schemas.microsoft.com/office/drawing/2014/chart" uri="{C3380CC4-5D6E-409C-BE32-E72D297353CC}">
                  <c16:uniqueId val="{00000005-A005-4714-AEB8-70673BD2F23C}"/>
                </c:ext>
              </c:extLst>
            </c:dLbl>
            <c:dLbl>
              <c:idx val="3"/>
              <c:layout>
                <c:manualLayout>
                  <c:x val="0.20832836031007182"/>
                  <c:y val="-6.7119796437162538E-2"/>
                </c:manualLayout>
              </c:layout>
              <c:showLegendKey val="0"/>
              <c:showVal val="0"/>
              <c:showCatName val="1"/>
              <c:showSerName val="0"/>
              <c:showPercent val="1"/>
              <c:showBubbleSize val="0"/>
              <c:extLst>
                <c:ext xmlns:c15="http://schemas.microsoft.com/office/drawing/2012/chart" uri="{CE6537A1-D6FC-4f65-9D91-7224C49458BB}">
                  <c15:layout>
                    <c:manualLayout>
                      <c:w val="0.20663102921689419"/>
                      <c:h val="0.18745083403766435"/>
                    </c:manualLayout>
                  </c15:layout>
                </c:ext>
                <c:ext xmlns:c16="http://schemas.microsoft.com/office/drawing/2014/chart" uri="{C3380CC4-5D6E-409C-BE32-E72D297353CC}">
                  <c16:uniqueId val="{00000007-A005-4714-AEB8-70673BD2F23C}"/>
                </c:ext>
              </c:extLst>
            </c:dLbl>
            <c:dLbl>
              <c:idx val="4"/>
              <c:layout>
                <c:manualLayout>
                  <c:x val="0.17251489129524272"/>
                  <c:y val="-1.01167851405934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005-4714-AEB8-70673BD2F23C}"/>
                </c:ext>
              </c:extLst>
            </c:dLbl>
            <c:dLbl>
              <c:idx val="5"/>
              <c:layout>
                <c:manualLayout>
                  <c:x val="0.15761680412767914"/>
                  <c:y val="0.154994127086736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22735213790928"/>
                      <c:h val="0.20435109386743583"/>
                    </c:manualLayout>
                  </c15:layout>
                </c:ext>
                <c:ext xmlns:c16="http://schemas.microsoft.com/office/drawing/2014/chart" uri="{C3380CC4-5D6E-409C-BE32-E72D297353CC}">
                  <c16:uniqueId val="{0000000B-A005-4714-AEB8-70673BD2F23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Analysis!$A$45:$A$51</c:f>
              <c:strCache>
                <c:ptCount val="6"/>
                <c:pt idx="0">
                  <c:v>Life Sciences</c:v>
                </c:pt>
                <c:pt idx="1">
                  <c:v>Medical</c:v>
                </c:pt>
                <c:pt idx="2">
                  <c:v>Marketing</c:v>
                </c:pt>
                <c:pt idx="3">
                  <c:v>Technical Degree</c:v>
                </c:pt>
                <c:pt idx="4">
                  <c:v>Other</c:v>
                </c:pt>
                <c:pt idx="5">
                  <c:v>Human Resources</c:v>
                </c:pt>
              </c:strCache>
            </c:strRef>
          </c:cat>
          <c:val>
            <c:numRef>
              <c:f>Analysis!$B$45:$B$51</c:f>
              <c:numCache>
                <c:formatCode>General</c:formatCode>
                <c:ptCount val="6"/>
                <c:pt idx="0">
                  <c:v>89</c:v>
                </c:pt>
                <c:pt idx="1">
                  <c:v>63</c:v>
                </c:pt>
                <c:pt idx="2">
                  <c:v>35</c:v>
                </c:pt>
                <c:pt idx="3">
                  <c:v>32</c:v>
                </c:pt>
                <c:pt idx="4">
                  <c:v>11</c:v>
                </c:pt>
                <c:pt idx="5">
                  <c:v>7</c:v>
                </c:pt>
              </c:numCache>
            </c:numRef>
          </c:val>
          <c:extLst>
            <c:ext xmlns:c16="http://schemas.microsoft.com/office/drawing/2014/chart" uri="{C3380CC4-5D6E-409C-BE32-E72D297353CC}">
              <c16:uniqueId val="{0000000C-A005-4714-AEB8-70673BD2F23C}"/>
            </c:ext>
          </c:extLst>
        </c:ser>
        <c:dLbls>
          <c:showLegendKey val="0"/>
          <c:showVal val="0"/>
          <c:showCatName val="0"/>
          <c:showSerName val="0"/>
          <c:showPercent val="0"/>
          <c:showBubbleSize val="0"/>
          <c:showLeaderLines val="1"/>
        </c:dLbls>
        <c:firstSliceAng val="116"/>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83819</xdr:colOff>
      <xdr:row>0</xdr:row>
      <xdr:rowOff>22860</xdr:rowOff>
    </xdr:from>
    <xdr:to>
      <xdr:col>15</xdr:col>
      <xdr:colOff>591844</xdr:colOff>
      <xdr:row>3</xdr:row>
      <xdr:rowOff>99060</xdr:rowOff>
    </xdr:to>
    <xdr:sp macro="" textlink="">
      <xdr:nvSpPr>
        <xdr:cNvPr id="2" name="Rectangle: Rounded Corners 1">
          <a:extLst>
            <a:ext uri="{FF2B5EF4-FFF2-40B4-BE49-F238E27FC236}">
              <a16:creationId xmlns:a16="http://schemas.microsoft.com/office/drawing/2014/main" id="{A300F856-3ED0-B9AE-3690-258B596B7A47}"/>
            </a:ext>
          </a:extLst>
        </xdr:cNvPr>
        <xdr:cNvSpPr/>
      </xdr:nvSpPr>
      <xdr:spPr>
        <a:xfrm>
          <a:off x="1252712" y="22860"/>
          <a:ext cx="8394355" cy="631054"/>
        </a:xfrm>
        <a:prstGeom prst="roundRect">
          <a:avLst>
            <a:gd name="adj" fmla="val 1056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002060"/>
              </a:solidFill>
            </a:rPr>
            <a:t>HR Analytics</a:t>
          </a:r>
          <a:r>
            <a:rPr lang="en-US" sz="2800" b="1" baseline="0">
              <a:solidFill>
                <a:srgbClr val="002060"/>
              </a:solidFill>
            </a:rPr>
            <a:t> Dashboard</a:t>
          </a:r>
          <a:endParaRPr lang="en-US" sz="2800" b="1">
            <a:solidFill>
              <a:srgbClr val="002060"/>
            </a:solidFill>
          </a:endParaRPr>
        </a:p>
      </xdr:txBody>
    </xdr:sp>
    <xdr:clientData/>
  </xdr:twoCellAnchor>
  <xdr:twoCellAnchor>
    <xdr:from>
      <xdr:col>2</xdr:col>
      <xdr:colOff>106680</xdr:colOff>
      <xdr:row>3</xdr:row>
      <xdr:rowOff>163830</xdr:rowOff>
    </xdr:from>
    <xdr:to>
      <xdr:col>4</xdr:col>
      <xdr:colOff>281940</xdr:colOff>
      <xdr:row>7</xdr:row>
      <xdr:rowOff>57150</xdr:rowOff>
    </xdr:to>
    <xdr:sp macro="" textlink="">
      <xdr:nvSpPr>
        <xdr:cNvPr id="3" name="Rectangle: Rounded Corners 2">
          <a:extLst>
            <a:ext uri="{FF2B5EF4-FFF2-40B4-BE49-F238E27FC236}">
              <a16:creationId xmlns:a16="http://schemas.microsoft.com/office/drawing/2014/main" id="{6E7157B4-3A18-4EC0-9712-091FD37018FB}"/>
            </a:ext>
          </a:extLst>
        </xdr:cNvPr>
        <xdr:cNvSpPr/>
      </xdr:nvSpPr>
      <xdr:spPr>
        <a:xfrm>
          <a:off x="1645920" y="712470"/>
          <a:ext cx="1394460" cy="624840"/>
        </a:xfrm>
        <a:prstGeom prst="roundRect">
          <a:avLst>
            <a:gd name="adj" fmla="val 105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537972</xdr:colOff>
      <xdr:row>4</xdr:row>
      <xdr:rowOff>3810</xdr:rowOff>
    </xdr:from>
    <xdr:to>
      <xdr:col>8</xdr:col>
      <xdr:colOff>594360</xdr:colOff>
      <xdr:row>7</xdr:row>
      <xdr:rowOff>80010</xdr:rowOff>
    </xdr:to>
    <xdr:sp macro="" textlink="">
      <xdr:nvSpPr>
        <xdr:cNvPr id="4" name="Rectangle: Rounded Corners 3">
          <a:extLst>
            <a:ext uri="{FF2B5EF4-FFF2-40B4-BE49-F238E27FC236}">
              <a16:creationId xmlns:a16="http://schemas.microsoft.com/office/drawing/2014/main" id="{BFE304D7-03C5-43FE-84CC-1BE7781FC390}"/>
            </a:ext>
          </a:extLst>
        </xdr:cNvPr>
        <xdr:cNvSpPr/>
      </xdr:nvSpPr>
      <xdr:spPr>
        <a:xfrm>
          <a:off x="4515612" y="735330"/>
          <a:ext cx="1275588"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440436</xdr:colOff>
      <xdr:row>3</xdr:row>
      <xdr:rowOff>179070</xdr:rowOff>
    </xdr:from>
    <xdr:to>
      <xdr:col>6</xdr:col>
      <xdr:colOff>365760</xdr:colOff>
      <xdr:row>7</xdr:row>
      <xdr:rowOff>72390</xdr:rowOff>
    </xdr:to>
    <xdr:sp macro="" textlink="">
      <xdr:nvSpPr>
        <xdr:cNvPr id="5" name="Rectangle: Rounded Corners 4">
          <a:extLst>
            <a:ext uri="{FF2B5EF4-FFF2-40B4-BE49-F238E27FC236}">
              <a16:creationId xmlns:a16="http://schemas.microsoft.com/office/drawing/2014/main" id="{14C0489C-18C0-46EB-8C1A-E0DA3E4CEE47}"/>
            </a:ext>
          </a:extLst>
        </xdr:cNvPr>
        <xdr:cNvSpPr/>
      </xdr:nvSpPr>
      <xdr:spPr>
        <a:xfrm>
          <a:off x="3198876" y="727710"/>
          <a:ext cx="1144524"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147828</xdr:colOff>
      <xdr:row>4</xdr:row>
      <xdr:rowOff>19050</xdr:rowOff>
    </xdr:from>
    <xdr:to>
      <xdr:col>10</xdr:col>
      <xdr:colOff>525780</xdr:colOff>
      <xdr:row>7</xdr:row>
      <xdr:rowOff>95250</xdr:rowOff>
    </xdr:to>
    <xdr:sp macro="" textlink="">
      <xdr:nvSpPr>
        <xdr:cNvPr id="6" name="Rectangle: Rounded Corners 5">
          <a:extLst>
            <a:ext uri="{FF2B5EF4-FFF2-40B4-BE49-F238E27FC236}">
              <a16:creationId xmlns:a16="http://schemas.microsoft.com/office/drawing/2014/main" id="{0E0B5300-9389-4894-B297-6AC468CC8076}"/>
            </a:ext>
          </a:extLst>
        </xdr:cNvPr>
        <xdr:cNvSpPr/>
      </xdr:nvSpPr>
      <xdr:spPr>
        <a:xfrm>
          <a:off x="5954268" y="750570"/>
          <a:ext cx="987552"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100584</xdr:colOff>
      <xdr:row>4</xdr:row>
      <xdr:rowOff>3810</xdr:rowOff>
    </xdr:from>
    <xdr:to>
      <xdr:col>13</xdr:col>
      <xdr:colOff>99060</xdr:colOff>
      <xdr:row>7</xdr:row>
      <xdr:rowOff>80010</xdr:rowOff>
    </xdr:to>
    <xdr:sp macro="" textlink="">
      <xdr:nvSpPr>
        <xdr:cNvPr id="7" name="Rectangle: Rounded Corners 6">
          <a:extLst>
            <a:ext uri="{FF2B5EF4-FFF2-40B4-BE49-F238E27FC236}">
              <a16:creationId xmlns:a16="http://schemas.microsoft.com/office/drawing/2014/main" id="{3662DEE2-25D0-4062-8E4A-11BD734F3C05}"/>
            </a:ext>
          </a:extLst>
        </xdr:cNvPr>
        <xdr:cNvSpPr/>
      </xdr:nvSpPr>
      <xdr:spPr>
        <a:xfrm>
          <a:off x="7126224" y="735330"/>
          <a:ext cx="1217676"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274320</xdr:colOff>
      <xdr:row>4</xdr:row>
      <xdr:rowOff>3810</xdr:rowOff>
    </xdr:from>
    <xdr:to>
      <xdr:col>15</xdr:col>
      <xdr:colOff>584447</xdr:colOff>
      <xdr:row>7</xdr:row>
      <xdr:rowOff>80010</xdr:rowOff>
    </xdr:to>
    <xdr:sp macro="" textlink="">
      <xdr:nvSpPr>
        <xdr:cNvPr id="8" name="Rectangle: Rounded Corners 7">
          <a:extLst>
            <a:ext uri="{FF2B5EF4-FFF2-40B4-BE49-F238E27FC236}">
              <a16:creationId xmlns:a16="http://schemas.microsoft.com/office/drawing/2014/main" id="{A17EA909-0FEE-476A-A0B5-3762AAB14C4A}"/>
            </a:ext>
          </a:extLst>
        </xdr:cNvPr>
        <xdr:cNvSpPr/>
      </xdr:nvSpPr>
      <xdr:spPr>
        <a:xfrm>
          <a:off x="8116262" y="743616"/>
          <a:ext cx="1523408" cy="631054"/>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91440</xdr:colOff>
      <xdr:row>7</xdr:row>
      <xdr:rowOff>114300</xdr:rowOff>
    </xdr:from>
    <xdr:to>
      <xdr:col>6</xdr:col>
      <xdr:colOff>441960</xdr:colOff>
      <xdr:row>20</xdr:row>
      <xdr:rowOff>91440</xdr:rowOff>
    </xdr:to>
    <xdr:sp macro="" textlink="">
      <xdr:nvSpPr>
        <xdr:cNvPr id="9" name="Rectangle: Rounded Corners 8">
          <a:extLst>
            <a:ext uri="{FF2B5EF4-FFF2-40B4-BE49-F238E27FC236}">
              <a16:creationId xmlns:a16="http://schemas.microsoft.com/office/drawing/2014/main" id="{FD79FC40-9568-409C-A36F-07621A2784CE}"/>
            </a:ext>
          </a:extLst>
        </xdr:cNvPr>
        <xdr:cNvSpPr/>
      </xdr:nvSpPr>
      <xdr:spPr>
        <a:xfrm>
          <a:off x="1260333" y="1408960"/>
          <a:ext cx="2777083" cy="2381509"/>
        </a:xfrm>
        <a:prstGeom prst="roundRect">
          <a:avLst>
            <a:gd name="adj" fmla="val 25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502920</xdr:colOff>
      <xdr:row>7</xdr:row>
      <xdr:rowOff>155360</xdr:rowOff>
    </xdr:from>
    <xdr:to>
      <xdr:col>12</xdr:col>
      <xdr:colOff>7620</xdr:colOff>
      <xdr:row>20</xdr:row>
      <xdr:rowOff>91441</xdr:rowOff>
    </xdr:to>
    <xdr:sp macro="" textlink="">
      <xdr:nvSpPr>
        <xdr:cNvPr id="10" name="Rectangle: Rounded Corners 9">
          <a:extLst>
            <a:ext uri="{FF2B5EF4-FFF2-40B4-BE49-F238E27FC236}">
              <a16:creationId xmlns:a16="http://schemas.microsoft.com/office/drawing/2014/main" id="{E3F2723D-F368-423A-B6B4-A89BCF057949}"/>
            </a:ext>
          </a:extLst>
        </xdr:cNvPr>
        <xdr:cNvSpPr/>
      </xdr:nvSpPr>
      <xdr:spPr>
        <a:xfrm>
          <a:off x="4098376" y="1450020"/>
          <a:ext cx="3144545" cy="2340450"/>
        </a:xfrm>
        <a:prstGeom prst="roundRect">
          <a:avLst>
            <a:gd name="adj" fmla="val 27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0</xdr:row>
      <xdr:rowOff>38100</xdr:rowOff>
    </xdr:from>
    <xdr:to>
      <xdr:col>23</xdr:col>
      <xdr:colOff>259080</xdr:colOff>
      <xdr:row>12</xdr:row>
      <xdr:rowOff>137160</xdr:rowOff>
    </xdr:to>
    <xdr:sp macro="" textlink="">
      <xdr:nvSpPr>
        <xdr:cNvPr id="11" name="Rectangle: Rounded Corners 10">
          <a:extLst>
            <a:ext uri="{FF2B5EF4-FFF2-40B4-BE49-F238E27FC236}">
              <a16:creationId xmlns:a16="http://schemas.microsoft.com/office/drawing/2014/main" id="{BEF0CE3B-CA4E-440C-9E87-D7675F581DC3}"/>
            </a:ext>
          </a:extLst>
        </xdr:cNvPr>
        <xdr:cNvSpPr/>
      </xdr:nvSpPr>
      <xdr:spPr>
        <a:xfrm>
          <a:off x="9699964" y="38100"/>
          <a:ext cx="4467466" cy="2318477"/>
        </a:xfrm>
        <a:prstGeom prst="roundRect">
          <a:avLst>
            <a:gd name="adj" fmla="val 269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68580</xdr:colOff>
      <xdr:row>7</xdr:row>
      <xdr:rowOff>147962</xdr:rowOff>
    </xdr:from>
    <xdr:to>
      <xdr:col>16</xdr:col>
      <xdr:colOff>0</xdr:colOff>
      <xdr:row>20</xdr:row>
      <xdr:rowOff>91441</xdr:rowOff>
    </xdr:to>
    <xdr:sp macro="" textlink="">
      <xdr:nvSpPr>
        <xdr:cNvPr id="12" name="Rectangle: Rounded Corners 11">
          <a:extLst>
            <a:ext uri="{FF2B5EF4-FFF2-40B4-BE49-F238E27FC236}">
              <a16:creationId xmlns:a16="http://schemas.microsoft.com/office/drawing/2014/main" id="{41D929C4-A5F1-4F02-BA97-29E0076D2E70}"/>
            </a:ext>
          </a:extLst>
        </xdr:cNvPr>
        <xdr:cNvSpPr/>
      </xdr:nvSpPr>
      <xdr:spPr>
        <a:xfrm>
          <a:off x="7303881" y="1442622"/>
          <a:ext cx="2357983" cy="2347848"/>
        </a:xfrm>
        <a:prstGeom prst="roundRect">
          <a:avLst>
            <a:gd name="adj" fmla="val 27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83820</xdr:colOff>
      <xdr:row>20</xdr:row>
      <xdr:rowOff>144780</xdr:rowOff>
    </xdr:from>
    <xdr:to>
      <xdr:col>6</xdr:col>
      <xdr:colOff>458680</xdr:colOff>
      <xdr:row>34</xdr:row>
      <xdr:rowOff>91440</xdr:rowOff>
    </xdr:to>
    <xdr:sp macro="" textlink="">
      <xdr:nvSpPr>
        <xdr:cNvPr id="13" name="Rectangle: Rounded Corners 12">
          <a:extLst>
            <a:ext uri="{FF2B5EF4-FFF2-40B4-BE49-F238E27FC236}">
              <a16:creationId xmlns:a16="http://schemas.microsoft.com/office/drawing/2014/main" id="{6EC07027-E020-49B2-94A4-2C41C142519D}"/>
            </a:ext>
          </a:extLst>
        </xdr:cNvPr>
        <xdr:cNvSpPr/>
      </xdr:nvSpPr>
      <xdr:spPr>
        <a:xfrm>
          <a:off x="1252713" y="3843809"/>
          <a:ext cx="2801423" cy="2535981"/>
        </a:xfrm>
        <a:prstGeom prst="roundRect">
          <a:avLst>
            <a:gd name="adj" fmla="val 26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517864</xdr:colOff>
      <xdr:row>20</xdr:row>
      <xdr:rowOff>152622</xdr:rowOff>
    </xdr:from>
    <xdr:to>
      <xdr:col>12</xdr:col>
      <xdr:colOff>14796</xdr:colOff>
      <xdr:row>34</xdr:row>
      <xdr:rowOff>68802</xdr:rowOff>
    </xdr:to>
    <xdr:sp macro="" textlink="">
      <xdr:nvSpPr>
        <xdr:cNvPr id="14" name="Rectangle: Rounded Corners 13">
          <a:extLst>
            <a:ext uri="{FF2B5EF4-FFF2-40B4-BE49-F238E27FC236}">
              <a16:creationId xmlns:a16="http://schemas.microsoft.com/office/drawing/2014/main" id="{979CB247-51F9-4051-9CB1-5338A683C6F7}"/>
            </a:ext>
          </a:extLst>
        </xdr:cNvPr>
        <xdr:cNvSpPr/>
      </xdr:nvSpPr>
      <xdr:spPr>
        <a:xfrm>
          <a:off x="4113320" y="3851651"/>
          <a:ext cx="3136777" cy="2505501"/>
        </a:xfrm>
        <a:prstGeom prst="roundRect">
          <a:avLst>
            <a:gd name="adj" fmla="val 291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66582</xdr:colOff>
      <xdr:row>20</xdr:row>
      <xdr:rowOff>160020</xdr:rowOff>
    </xdr:from>
    <xdr:to>
      <xdr:col>16</xdr:col>
      <xdr:colOff>38100</xdr:colOff>
      <xdr:row>34</xdr:row>
      <xdr:rowOff>83820</xdr:rowOff>
    </xdr:to>
    <xdr:sp macro="" textlink="">
      <xdr:nvSpPr>
        <xdr:cNvPr id="15" name="Rectangle: Rounded Corners 14">
          <a:extLst>
            <a:ext uri="{FF2B5EF4-FFF2-40B4-BE49-F238E27FC236}">
              <a16:creationId xmlns:a16="http://schemas.microsoft.com/office/drawing/2014/main" id="{A320BC3A-7211-4151-819C-160ACCEB08DB}"/>
            </a:ext>
          </a:extLst>
        </xdr:cNvPr>
        <xdr:cNvSpPr/>
      </xdr:nvSpPr>
      <xdr:spPr>
        <a:xfrm>
          <a:off x="7301883" y="3859049"/>
          <a:ext cx="2398081" cy="2513121"/>
        </a:xfrm>
        <a:prstGeom prst="roundRect">
          <a:avLst>
            <a:gd name="adj" fmla="val 30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76200</xdr:colOff>
      <xdr:row>13</xdr:row>
      <xdr:rowOff>7398</xdr:rowOff>
    </xdr:from>
    <xdr:to>
      <xdr:col>23</xdr:col>
      <xdr:colOff>251460</xdr:colOff>
      <xdr:row>24</xdr:row>
      <xdr:rowOff>30480</xdr:rowOff>
    </xdr:to>
    <xdr:sp macro="" textlink="">
      <xdr:nvSpPr>
        <xdr:cNvPr id="16" name="Rectangle: Rounded Corners 15">
          <a:extLst>
            <a:ext uri="{FF2B5EF4-FFF2-40B4-BE49-F238E27FC236}">
              <a16:creationId xmlns:a16="http://schemas.microsoft.com/office/drawing/2014/main" id="{313EEF8B-257C-42EB-840B-641F334EDCC4}"/>
            </a:ext>
          </a:extLst>
        </xdr:cNvPr>
        <xdr:cNvSpPr/>
      </xdr:nvSpPr>
      <xdr:spPr>
        <a:xfrm>
          <a:off x="9738064" y="2411767"/>
          <a:ext cx="4421746" cy="2057548"/>
        </a:xfrm>
        <a:prstGeom prst="roundRect">
          <a:avLst>
            <a:gd name="adj" fmla="val 32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318117</xdr:colOff>
      <xdr:row>5</xdr:row>
      <xdr:rowOff>30480</xdr:rowOff>
    </xdr:from>
    <xdr:to>
      <xdr:col>4</xdr:col>
      <xdr:colOff>133165</xdr:colOff>
      <xdr:row>7</xdr:row>
      <xdr:rowOff>83820</xdr:rowOff>
    </xdr:to>
    <xdr:sp macro="" textlink="Analysis!B1">
      <xdr:nvSpPr>
        <xdr:cNvPr id="17" name="TextBox 16">
          <a:extLst>
            <a:ext uri="{FF2B5EF4-FFF2-40B4-BE49-F238E27FC236}">
              <a16:creationId xmlns:a16="http://schemas.microsoft.com/office/drawing/2014/main" id="{5683BAA8-B487-86AF-A960-8FAF5EB3811A}"/>
            </a:ext>
          </a:extLst>
        </xdr:cNvPr>
        <xdr:cNvSpPr txBox="1"/>
      </xdr:nvSpPr>
      <xdr:spPr>
        <a:xfrm>
          <a:off x="1487010" y="955237"/>
          <a:ext cx="1028330"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C57DCF-BA1A-4166-B7A3-88B2CB876FE2}" type="TxLink">
            <a:rPr lang="en-US" sz="2800" b="0" i="0" u="none" strike="noStrike">
              <a:solidFill>
                <a:srgbClr val="002060"/>
              </a:solidFill>
              <a:latin typeface="Calibri"/>
              <a:ea typeface="Calibri"/>
              <a:cs typeface="Calibri"/>
            </a:rPr>
            <a:pPr algn="ctr"/>
            <a:t>1470</a:t>
          </a:fld>
          <a:endParaRPr lang="en-US" sz="2800">
            <a:solidFill>
              <a:srgbClr val="002060"/>
            </a:solidFill>
          </a:endParaRPr>
        </a:p>
      </xdr:txBody>
    </xdr:sp>
    <xdr:clientData/>
  </xdr:twoCellAnchor>
  <xdr:twoCellAnchor>
    <xdr:from>
      <xdr:col>4</xdr:col>
      <xdr:colOff>569650</xdr:colOff>
      <xdr:row>5</xdr:row>
      <xdr:rowOff>34290</xdr:rowOff>
    </xdr:from>
    <xdr:to>
      <xdr:col>6</xdr:col>
      <xdr:colOff>266330</xdr:colOff>
      <xdr:row>7</xdr:row>
      <xdr:rowOff>87630</xdr:rowOff>
    </xdr:to>
    <xdr:sp macro="" textlink="Analysis!D1">
      <xdr:nvSpPr>
        <xdr:cNvPr id="18" name="TextBox 17">
          <a:extLst>
            <a:ext uri="{FF2B5EF4-FFF2-40B4-BE49-F238E27FC236}">
              <a16:creationId xmlns:a16="http://schemas.microsoft.com/office/drawing/2014/main" id="{5CDBAA69-1091-438F-AFF9-95ABDDFE1F58}"/>
            </a:ext>
          </a:extLst>
        </xdr:cNvPr>
        <xdr:cNvSpPr txBox="1"/>
      </xdr:nvSpPr>
      <xdr:spPr>
        <a:xfrm>
          <a:off x="2951825" y="959047"/>
          <a:ext cx="909961"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FC213A-7332-47E3-BB79-9C87F5C123F3}" type="TxLink">
            <a:rPr lang="en-US" sz="2800" b="0" i="0" u="none" strike="noStrike">
              <a:solidFill>
                <a:srgbClr val="002060"/>
              </a:solidFill>
              <a:latin typeface="Calibri"/>
              <a:ea typeface="Calibri"/>
              <a:cs typeface="Calibri"/>
            </a:rPr>
            <a:pPr marL="0" indent="0" algn="ctr"/>
            <a:t>237</a:t>
          </a:fld>
          <a:endParaRPr lang="en-US" sz="2800" b="0" i="0" u="none" strike="noStrike">
            <a:solidFill>
              <a:srgbClr val="002060"/>
            </a:solidFill>
            <a:latin typeface="Calibri"/>
            <a:ea typeface="Calibri"/>
            <a:cs typeface="Calibri"/>
          </a:endParaRPr>
        </a:p>
      </xdr:txBody>
    </xdr:sp>
    <xdr:clientData/>
  </xdr:twoCellAnchor>
  <xdr:twoCellAnchor>
    <xdr:from>
      <xdr:col>7</xdr:col>
      <xdr:colOff>14795</xdr:colOff>
      <xdr:row>5</xdr:row>
      <xdr:rowOff>57150</xdr:rowOff>
    </xdr:from>
    <xdr:to>
      <xdr:col>8</xdr:col>
      <xdr:colOff>495669</xdr:colOff>
      <xdr:row>7</xdr:row>
      <xdr:rowOff>110490</xdr:rowOff>
    </xdr:to>
    <xdr:sp macro="" textlink="Analysis!E4">
      <xdr:nvSpPr>
        <xdr:cNvPr id="19" name="TextBox 18">
          <a:extLst>
            <a:ext uri="{FF2B5EF4-FFF2-40B4-BE49-F238E27FC236}">
              <a16:creationId xmlns:a16="http://schemas.microsoft.com/office/drawing/2014/main" id="{49910FBC-8950-4B66-B150-1B551A986A7A}"/>
            </a:ext>
          </a:extLst>
        </xdr:cNvPr>
        <xdr:cNvSpPr txBox="1"/>
      </xdr:nvSpPr>
      <xdr:spPr>
        <a:xfrm>
          <a:off x="4216892" y="981907"/>
          <a:ext cx="1087515"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2651CE-5A7B-4AA4-9BB2-917F0ECA6DDF}" type="TxLink">
            <a:rPr lang="en-US" sz="2800" b="0" i="0" u="none" strike="noStrike">
              <a:solidFill>
                <a:srgbClr val="002060"/>
              </a:solidFill>
              <a:latin typeface="Calibri"/>
              <a:ea typeface="Calibri"/>
              <a:cs typeface="Calibri"/>
            </a:rPr>
            <a:pPr marL="0" indent="0" algn="ctr"/>
            <a:t>16.1%</a:t>
          </a:fld>
          <a:endParaRPr lang="en-US" sz="2800" b="0" i="0" u="none" strike="noStrike">
            <a:solidFill>
              <a:srgbClr val="002060"/>
            </a:solidFill>
            <a:latin typeface="Calibri"/>
            <a:ea typeface="Calibri"/>
            <a:cs typeface="Calibri"/>
          </a:endParaRPr>
        </a:p>
      </xdr:txBody>
    </xdr:sp>
    <xdr:clientData/>
  </xdr:twoCellAnchor>
  <xdr:twoCellAnchor>
    <xdr:from>
      <xdr:col>9</xdr:col>
      <xdr:colOff>292608</xdr:colOff>
      <xdr:row>5</xdr:row>
      <xdr:rowOff>64770</xdr:rowOff>
    </xdr:from>
    <xdr:to>
      <xdr:col>10</xdr:col>
      <xdr:colOff>381000</xdr:colOff>
      <xdr:row>7</xdr:row>
      <xdr:rowOff>118110</xdr:rowOff>
    </xdr:to>
    <xdr:sp macro="" textlink="Analysis!H1">
      <xdr:nvSpPr>
        <xdr:cNvPr id="20" name="TextBox 19">
          <a:extLst>
            <a:ext uri="{FF2B5EF4-FFF2-40B4-BE49-F238E27FC236}">
              <a16:creationId xmlns:a16="http://schemas.microsoft.com/office/drawing/2014/main" id="{24BC9094-5C83-4A1D-A839-4A6FF88B7946}"/>
            </a:ext>
          </a:extLst>
        </xdr:cNvPr>
        <xdr:cNvSpPr txBox="1"/>
      </xdr:nvSpPr>
      <xdr:spPr>
        <a:xfrm>
          <a:off x="6099048" y="979170"/>
          <a:ext cx="697992"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534564-8348-4E68-892A-60456118EE41}" type="TxLink">
            <a:rPr lang="en-US" sz="2800" b="0" i="0" u="none" strike="noStrike">
              <a:solidFill>
                <a:srgbClr val="002060"/>
              </a:solidFill>
              <a:latin typeface="Calibri"/>
              <a:ea typeface="Calibri"/>
              <a:cs typeface="Calibri"/>
            </a:rPr>
            <a:pPr marL="0" indent="0" algn="ctr"/>
            <a:t>37</a:t>
          </a:fld>
          <a:endParaRPr lang="en-US" sz="2800" b="0" i="0" u="none" strike="noStrike">
            <a:solidFill>
              <a:srgbClr val="002060"/>
            </a:solidFill>
            <a:latin typeface="Calibri"/>
            <a:ea typeface="Calibri"/>
            <a:cs typeface="Calibri"/>
          </a:endParaRPr>
        </a:p>
      </xdr:txBody>
    </xdr:sp>
    <xdr:clientData/>
  </xdr:twoCellAnchor>
  <xdr:twoCellAnchor>
    <xdr:from>
      <xdr:col>11</xdr:col>
      <xdr:colOff>199748</xdr:colOff>
      <xdr:row>5</xdr:row>
      <xdr:rowOff>41910</xdr:rowOff>
    </xdr:from>
    <xdr:to>
      <xdr:col>13</xdr:col>
      <xdr:colOff>36990</xdr:colOff>
      <xdr:row>7</xdr:row>
      <xdr:rowOff>95250</xdr:rowOff>
    </xdr:to>
    <xdr:sp macro="" textlink="Analysis!J1">
      <xdr:nvSpPr>
        <xdr:cNvPr id="21" name="TextBox 20">
          <a:extLst>
            <a:ext uri="{FF2B5EF4-FFF2-40B4-BE49-F238E27FC236}">
              <a16:creationId xmlns:a16="http://schemas.microsoft.com/office/drawing/2014/main" id="{2744CDAC-DBC0-4E51-AD9B-079881A07CCE}"/>
            </a:ext>
          </a:extLst>
        </xdr:cNvPr>
        <xdr:cNvSpPr txBox="1"/>
      </xdr:nvSpPr>
      <xdr:spPr>
        <a:xfrm>
          <a:off x="6828408" y="966667"/>
          <a:ext cx="1050524"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C0DA84-901D-44BB-9D6D-7235A3AA2217}" type="TxLink">
            <a:rPr lang="en-US" sz="2800" b="0" i="0" u="none" strike="noStrike">
              <a:solidFill>
                <a:srgbClr val="002060"/>
              </a:solidFill>
              <a:latin typeface="Calibri"/>
              <a:ea typeface="Calibri"/>
              <a:cs typeface="Calibri"/>
            </a:rPr>
            <a:pPr marL="0" indent="0" algn="ctr"/>
            <a:t>6.50K</a:t>
          </a:fld>
          <a:endParaRPr lang="en-US" sz="2800" b="0" i="0" u="none" strike="noStrike">
            <a:solidFill>
              <a:srgbClr val="002060"/>
            </a:solidFill>
            <a:latin typeface="Calibri"/>
            <a:ea typeface="Calibri"/>
            <a:cs typeface="Calibri"/>
          </a:endParaRPr>
        </a:p>
      </xdr:txBody>
    </xdr:sp>
    <xdr:clientData/>
  </xdr:twoCellAnchor>
  <xdr:twoCellAnchor>
    <xdr:from>
      <xdr:col>14</xdr:col>
      <xdr:colOff>133166</xdr:colOff>
      <xdr:row>5</xdr:row>
      <xdr:rowOff>64770</xdr:rowOff>
    </xdr:from>
    <xdr:to>
      <xdr:col>15</xdr:col>
      <xdr:colOff>88778</xdr:colOff>
      <xdr:row>7</xdr:row>
      <xdr:rowOff>118110</xdr:rowOff>
    </xdr:to>
    <xdr:sp macro="" textlink="Analysis!L1">
      <xdr:nvSpPr>
        <xdr:cNvPr id="22" name="TextBox 21">
          <a:extLst>
            <a:ext uri="{FF2B5EF4-FFF2-40B4-BE49-F238E27FC236}">
              <a16:creationId xmlns:a16="http://schemas.microsoft.com/office/drawing/2014/main" id="{6E6EFDBA-DB4A-490C-BB41-896820D557B7}"/>
            </a:ext>
          </a:extLst>
        </xdr:cNvPr>
        <xdr:cNvSpPr txBox="1"/>
      </xdr:nvSpPr>
      <xdr:spPr>
        <a:xfrm>
          <a:off x="8581749" y="989527"/>
          <a:ext cx="562252"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DC414D-4CF4-4624-A5C5-C1E1E5C5EC5A}" type="TxLink">
            <a:rPr lang="en-US" sz="2800" b="0" i="0" u="none" strike="noStrike">
              <a:solidFill>
                <a:srgbClr val="002060"/>
              </a:solidFill>
              <a:latin typeface="Calibri"/>
              <a:ea typeface="Calibri"/>
              <a:cs typeface="Calibri"/>
            </a:rPr>
            <a:pPr marL="0" indent="0" algn="ctr"/>
            <a:t>7</a:t>
          </a:fld>
          <a:endParaRPr lang="en-US" sz="2800" b="0" i="0" u="none" strike="noStrike">
            <a:solidFill>
              <a:srgbClr val="002060"/>
            </a:solidFill>
            <a:latin typeface="Calibri"/>
            <a:ea typeface="Calibri"/>
            <a:cs typeface="Calibri"/>
          </a:endParaRPr>
        </a:p>
      </xdr:txBody>
    </xdr:sp>
    <xdr:clientData/>
  </xdr:twoCellAnchor>
  <xdr:twoCellAnchor>
    <xdr:from>
      <xdr:col>2</xdr:col>
      <xdr:colOff>103572</xdr:colOff>
      <xdr:row>3</xdr:row>
      <xdr:rowOff>121920</xdr:rowOff>
    </xdr:from>
    <xdr:to>
      <xdr:col>4</xdr:col>
      <xdr:colOff>273728</xdr:colOff>
      <xdr:row>5</xdr:row>
      <xdr:rowOff>53340</xdr:rowOff>
    </xdr:to>
    <xdr:sp macro="" textlink="">
      <xdr:nvSpPr>
        <xdr:cNvPr id="23" name="TextBox 22">
          <a:extLst>
            <a:ext uri="{FF2B5EF4-FFF2-40B4-BE49-F238E27FC236}">
              <a16:creationId xmlns:a16="http://schemas.microsoft.com/office/drawing/2014/main" id="{4D358F6B-433E-E44B-1F3D-044D8BC7955E}"/>
            </a:ext>
          </a:extLst>
        </xdr:cNvPr>
        <xdr:cNvSpPr txBox="1"/>
      </xdr:nvSpPr>
      <xdr:spPr>
        <a:xfrm>
          <a:off x="1272465" y="676774"/>
          <a:ext cx="1383438"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rPr>
            <a:t>Total Employee</a:t>
          </a:r>
        </a:p>
      </xdr:txBody>
    </xdr:sp>
    <xdr:clientData/>
  </xdr:twoCellAnchor>
  <xdr:twoCellAnchor>
    <xdr:from>
      <xdr:col>6</xdr:col>
      <xdr:colOff>540059</xdr:colOff>
      <xdr:row>3</xdr:row>
      <xdr:rowOff>147962</xdr:rowOff>
    </xdr:from>
    <xdr:to>
      <xdr:col>8</xdr:col>
      <xdr:colOff>571500</xdr:colOff>
      <xdr:row>5</xdr:row>
      <xdr:rowOff>95250</xdr:rowOff>
    </xdr:to>
    <xdr:sp macro="" textlink="">
      <xdr:nvSpPr>
        <xdr:cNvPr id="25" name="TextBox 24">
          <a:extLst>
            <a:ext uri="{FF2B5EF4-FFF2-40B4-BE49-F238E27FC236}">
              <a16:creationId xmlns:a16="http://schemas.microsoft.com/office/drawing/2014/main" id="{C47A19B4-5433-445F-BE32-71F5274AC521}"/>
            </a:ext>
          </a:extLst>
        </xdr:cNvPr>
        <xdr:cNvSpPr txBox="1"/>
      </xdr:nvSpPr>
      <xdr:spPr>
        <a:xfrm>
          <a:off x="4135515" y="702816"/>
          <a:ext cx="1244723" cy="317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Attrition Rate</a:t>
          </a:r>
        </a:p>
      </xdr:txBody>
    </xdr:sp>
    <xdr:clientData/>
  </xdr:twoCellAnchor>
  <xdr:twoCellAnchor>
    <xdr:from>
      <xdr:col>9</xdr:col>
      <xdr:colOff>236738</xdr:colOff>
      <xdr:row>3</xdr:row>
      <xdr:rowOff>148590</xdr:rowOff>
    </xdr:from>
    <xdr:to>
      <xdr:col>10</xdr:col>
      <xdr:colOff>429088</xdr:colOff>
      <xdr:row>5</xdr:row>
      <xdr:rowOff>80010</xdr:rowOff>
    </xdr:to>
    <xdr:sp macro="" textlink="">
      <xdr:nvSpPr>
        <xdr:cNvPr id="26" name="TextBox 25">
          <a:extLst>
            <a:ext uri="{FF2B5EF4-FFF2-40B4-BE49-F238E27FC236}">
              <a16:creationId xmlns:a16="http://schemas.microsoft.com/office/drawing/2014/main" id="{03C6E5A9-EAA9-45BE-BA1D-F3608C8C8B97}"/>
            </a:ext>
          </a:extLst>
        </xdr:cNvPr>
        <xdr:cNvSpPr txBox="1"/>
      </xdr:nvSpPr>
      <xdr:spPr>
        <a:xfrm>
          <a:off x="5652117" y="703444"/>
          <a:ext cx="798990"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Avg Age</a:t>
          </a:r>
        </a:p>
      </xdr:txBody>
    </xdr:sp>
    <xdr:clientData/>
  </xdr:twoCellAnchor>
  <xdr:twoCellAnchor>
    <xdr:from>
      <xdr:col>13</xdr:col>
      <xdr:colOff>289560</xdr:colOff>
      <xdr:row>3</xdr:row>
      <xdr:rowOff>163830</xdr:rowOff>
    </xdr:from>
    <xdr:to>
      <xdr:col>15</xdr:col>
      <xdr:colOff>533400</xdr:colOff>
      <xdr:row>5</xdr:row>
      <xdr:rowOff>95250</xdr:rowOff>
    </xdr:to>
    <xdr:sp macro="" textlink="">
      <xdr:nvSpPr>
        <xdr:cNvPr id="29" name="TextBox 28">
          <a:extLst>
            <a:ext uri="{FF2B5EF4-FFF2-40B4-BE49-F238E27FC236}">
              <a16:creationId xmlns:a16="http://schemas.microsoft.com/office/drawing/2014/main" id="{D67D06B0-107C-4E4F-921D-58169485371B}"/>
            </a:ext>
          </a:extLst>
        </xdr:cNvPr>
        <xdr:cNvSpPr txBox="1"/>
      </xdr:nvSpPr>
      <xdr:spPr>
        <a:xfrm>
          <a:off x="8534400" y="712470"/>
          <a:ext cx="1463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YearsAtCompany</a:t>
          </a:r>
        </a:p>
      </xdr:txBody>
    </xdr:sp>
    <xdr:clientData/>
  </xdr:twoCellAnchor>
  <xdr:twoCellAnchor>
    <xdr:from>
      <xdr:col>11</xdr:col>
      <xdr:colOff>221942</xdr:colOff>
      <xdr:row>3</xdr:row>
      <xdr:rowOff>148590</xdr:rowOff>
    </xdr:from>
    <xdr:to>
      <xdr:col>12</xdr:col>
      <xdr:colOff>571500</xdr:colOff>
      <xdr:row>5</xdr:row>
      <xdr:rowOff>80010</xdr:rowOff>
    </xdr:to>
    <xdr:sp macro="" textlink="">
      <xdr:nvSpPr>
        <xdr:cNvPr id="30" name="TextBox 29">
          <a:extLst>
            <a:ext uri="{FF2B5EF4-FFF2-40B4-BE49-F238E27FC236}">
              <a16:creationId xmlns:a16="http://schemas.microsoft.com/office/drawing/2014/main" id="{1E644E7D-AAEE-4007-A2D8-8603FC1FDA03}"/>
            </a:ext>
          </a:extLst>
        </xdr:cNvPr>
        <xdr:cNvSpPr txBox="1"/>
      </xdr:nvSpPr>
      <xdr:spPr>
        <a:xfrm>
          <a:off x="6850602" y="703444"/>
          <a:ext cx="956199"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Avg Salary</a:t>
          </a:r>
        </a:p>
      </xdr:txBody>
    </xdr:sp>
    <xdr:clientData/>
  </xdr:twoCellAnchor>
  <xdr:twoCellAnchor>
    <xdr:from>
      <xdr:col>2</xdr:col>
      <xdr:colOff>96176</xdr:colOff>
      <xdr:row>7</xdr:row>
      <xdr:rowOff>118369</xdr:rowOff>
    </xdr:from>
    <xdr:to>
      <xdr:col>6</xdr:col>
      <xdr:colOff>403861</xdr:colOff>
      <xdr:row>20</xdr:row>
      <xdr:rowOff>66583</xdr:rowOff>
    </xdr:to>
    <xdr:graphicFrame macro="">
      <xdr:nvGraphicFramePr>
        <xdr:cNvPr id="27" name="Chart 26">
          <a:extLst>
            <a:ext uri="{FF2B5EF4-FFF2-40B4-BE49-F238E27FC236}">
              <a16:creationId xmlns:a16="http://schemas.microsoft.com/office/drawing/2014/main" id="{C826371E-3A99-4B4F-9E7E-800C94D95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562252</xdr:colOff>
      <xdr:row>3</xdr:row>
      <xdr:rowOff>148590</xdr:rowOff>
    </xdr:from>
    <xdr:to>
      <xdr:col>6</xdr:col>
      <xdr:colOff>244136</xdr:colOff>
      <xdr:row>5</xdr:row>
      <xdr:rowOff>80010</xdr:rowOff>
    </xdr:to>
    <xdr:sp macro="" textlink="">
      <xdr:nvSpPr>
        <xdr:cNvPr id="32" name="TextBox 31">
          <a:extLst>
            <a:ext uri="{FF2B5EF4-FFF2-40B4-BE49-F238E27FC236}">
              <a16:creationId xmlns:a16="http://schemas.microsoft.com/office/drawing/2014/main" id="{97BA83AB-42F3-407B-A078-48C1EFFD6BC2}"/>
            </a:ext>
          </a:extLst>
        </xdr:cNvPr>
        <xdr:cNvSpPr txBox="1"/>
      </xdr:nvSpPr>
      <xdr:spPr>
        <a:xfrm>
          <a:off x="2944427" y="703444"/>
          <a:ext cx="895165"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Attrition</a:t>
          </a:r>
        </a:p>
      </xdr:txBody>
    </xdr:sp>
    <xdr:clientData/>
  </xdr:twoCellAnchor>
  <xdr:twoCellAnchor>
    <xdr:from>
      <xdr:col>6</xdr:col>
      <xdr:colOff>488272</xdr:colOff>
      <xdr:row>7</xdr:row>
      <xdr:rowOff>177554</xdr:rowOff>
    </xdr:from>
    <xdr:to>
      <xdr:col>11</xdr:col>
      <xdr:colOff>577049</xdr:colOff>
      <xdr:row>20</xdr:row>
      <xdr:rowOff>96174</xdr:rowOff>
    </xdr:to>
    <xdr:graphicFrame macro="">
      <xdr:nvGraphicFramePr>
        <xdr:cNvPr id="33" name="Chart 32">
          <a:extLst>
            <a:ext uri="{FF2B5EF4-FFF2-40B4-BE49-F238E27FC236}">
              <a16:creationId xmlns:a16="http://schemas.microsoft.com/office/drawing/2014/main" id="{783B5A4D-A95D-476C-BA4B-5F6A36F12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88777</xdr:colOff>
      <xdr:row>7</xdr:row>
      <xdr:rowOff>140564</xdr:rowOff>
    </xdr:from>
    <xdr:to>
      <xdr:col>16</xdr:col>
      <xdr:colOff>45720</xdr:colOff>
      <xdr:row>20</xdr:row>
      <xdr:rowOff>83821</xdr:rowOff>
    </xdr:to>
    <xdr:graphicFrame macro="">
      <xdr:nvGraphicFramePr>
        <xdr:cNvPr id="34" name="Chart 33">
          <a:extLst>
            <a:ext uri="{FF2B5EF4-FFF2-40B4-BE49-F238E27FC236}">
              <a16:creationId xmlns:a16="http://schemas.microsoft.com/office/drawing/2014/main" id="{3DF2D2C2-844D-4A9D-8E85-DCF6DB191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571500</xdr:colOff>
      <xdr:row>24</xdr:row>
      <xdr:rowOff>66584</xdr:rowOff>
    </xdr:from>
    <xdr:to>
      <xdr:col>23</xdr:col>
      <xdr:colOff>251460</xdr:colOff>
      <xdr:row>34</xdr:row>
      <xdr:rowOff>84043</xdr:rowOff>
    </xdr:to>
    <xdr:sp macro="" textlink="">
      <xdr:nvSpPr>
        <xdr:cNvPr id="45" name="Rectangle: Rounded Corners 44">
          <a:extLst>
            <a:ext uri="{FF2B5EF4-FFF2-40B4-BE49-F238E27FC236}">
              <a16:creationId xmlns:a16="http://schemas.microsoft.com/office/drawing/2014/main" id="{F0B15428-F7A4-4143-BE88-D5B0C35EDFFE}"/>
            </a:ext>
          </a:extLst>
        </xdr:cNvPr>
        <xdr:cNvSpPr/>
      </xdr:nvSpPr>
      <xdr:spPr>
        <a:xfrm>
          <a:off x="12053286" y="4505419"/>
          <a:ext cx="2106524" cy="1866974"/>
        </a:xfrm>
        <a:prstGeom prst="roundRect">
          <a:avLst>
            <a:gd name="adj" fmla="val 388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91440</xdr:colOff>
      <xdr:row>24</xdr:row>
      <xdr:rowOff>83820</xdr:rowOff>
    </xdr:from>
    <xdr:to>
      <xdr:col>19</xdr:col>
      <xdr:colOff>480060</xdr:colOff>
      <xdr:row>34</xdr:row>
      <xdr:rowOff>99060</xdr:rowOff>
    </xdr:to>
    <xdr:sp macro="" textlink="">
      <xdr:nvSpPr>
        <xdr:cNvPr id="46" name="Rectangle: Rounded Corners 45">
          <a:extLst>
            <a:ext uri="{FF2B5EF4-FFF2-40B4-BE49-F238E27FC236}">
              <a16:creationId xmlns:a16="http://schemas.microsoft.com/office/drawing/2014/main" id="{EA566E9C-C61B-48AD-9914-5BD015ED16C5}"/>
            </a:ext>
          </a:extLst>
        </xdr:cNvPr>
        <xdr:cNvSpPr/>
      </xdr:nvSpPr>
      <xdr:spPr>
        <a:xfrm>
          <a:off x="9753304" y="4522655"/>
          <a:ext cx="2208542" cy="1864755"/>
        </a:xfrm>
        <a:prstGeom prst="roundRect">
          <a:avLst>
            <a:gd name="adj" fmla="val 34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66583</xdr:colOff>
      <xdr:row>13</xdr:row>
      <xdr:rowOff>22194</xdr:rowOff>
    </xdr:from>
    <xdr:to>
      <xdr:col>23</xdr:col>
      <xdr:colOff>266330</xdr:colOff>
      <xdr:row>24</xdr:row>
      <xdr:rowOff>66581</xdr:rowOff>
    </xdr:to>
    <xdr:graphicFrame macro="">
      <xdr:nvGraphicFramePr>
        <xdr:cNvPr id="54" name="Chart 53">
          <a:extLst>
            <a:ext uri="{FF2B5EF4-FFF2-40B4-BE49-F238E27FC236}">
              <a16:creationId xmlns:a16="http://schemas.microsoft.com/office/drawing/2014/main" id="{2EA533FA-6B35-4BB5-B321-9EC254F34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569651</xdr:colOff>
      <xdr:row>24</xdr:row>
      <xdr:rowOff>81380</xdr:rowOff>
    </xdr:from>
    <xdr:to>
      <xdr:col>23</xdr:col>
      <xdr:colOff>273728</xdr:colOff>
      <xdr:row>34</xdr:row>
      <xdr:rowOff>96175</xdr:rowOff>
    </xdr:to>
    <xdr:graphicFrame macro="">
      <xdr:nvGraphicFramePr>
        <xdr:cNvPr id="57" name="Chart 56">
          <a:extLst>
            <a:ext uri="{FF2B5EF4-FFF2-40B4-BE49-F238E27FC236}">
              <a16:creationId xmlns:a16="http://schemas.microsoft.com/office/drawing/2014/main" id="{8928E169-A7AC-441C-B274-15B986DAC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96175</xdr:colOff>
      <xdr:row>24</xdr:row>
      <xdr:rowOff>88777</xdr:rowOff>
    </xdr:from>
    <xdr:to>
      <xdr:col>19</xdr:col>
      <xdr:colOff>441960</xdr:colOff>
      <xdr:row>34</xdr:row>
      <xdr:rowOff>59184</xdr:rowOff>
    </xdr:to>
    <xdr:graphicFrame macro="">
      <xdr:nvGraphicFramePr>
        <xdr:cNvPr id="59" name="Chart 58">
          <a:extLst>
            <a:ext uri="{FF2B5EF4-FFF2-40B4-BE49-F238E27FC236}">
              <a16:creationId xmlns:a16="http://schemas.microsoft.com/office/drawing/2014/main" id="{719EC8FD-3DB2-4395-9092-C5E8DCB2F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29592</xdr:colOff>
      <xdr:row>20</xdr:row>
      <xdr:rowOff>140564</xdr:rowOff>
    </xdr:from>
    <xdr:to>
      <xdr:col>16</xdr:col>
      <xdr:colOff>22860</xdr:colOff>
      <xdr:row>34</xdr:row>
      <xdr:rowOff>45721</xdr:rowOff>
    </xdr:to>
    <xdr:graphicFrame macro="">
      <xdr:nvGraphicFramePr>
        <xdr:cNvPr id="62" name="Chart 61">
          <a:extLst>
            <a:ext uri="{FF2B5EF4-FFF2-40B4-BE49-F238E27FC236}">
              <a16:creationId xmlns:a16="http://schemas.microsoft.com/office/drawing/2014/main" id="{8934FAFD-8AB1-469E-A10D-E53BC2D9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18</xdr:row>
      <xdr:rowOff>170156</xdr:rowOff>
    </xdr:from>
    <xdr:to>
      <xdr:col>2</xdr:col>
      <xdr:colOff>7398</xdr:colOff>
      <xdr:row>25</xdr:row>
      <xdr:rowOff>118370</xdr:rowOff>
    </xdr:to>
    <mc:AlternateContent xmlns:mc="http://schemas.openxmlformats.org/markup-compatibility/2006" xmlns:a14="http://schemas.microsoft.com/office/drawing/2010/main">
      <mc:Choice Requires="a14">
        <xdr:graphicFrame macro="">
          <xdr:nvGraphicFramePr>
            <xdr:cNvPr id="65" name="Department">
              <a:extLst>
                <a:ext uri="{FF2B5EF4-FFF2-40B4-BE49-F238E27FC236}">
                  <a16:creationId xmlns:a16="http://schemas.microsoft.com/office/drawing/2014/main" id="{DF01F4C1-C85D-498B-AF49-84FBCCE7357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499282"/>
              <a:ext cx="1176291" cy="1242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7397</xdr:colOff>
      <xdr:row>6</xdr:row>
      <xdr:rowOff>159798</xdr:rowOff>
    </xdr:from>
    <xdr:to>
      <xdr:col>1</xdr:col>
      <xdr:colOff>717611</xdr:colOff>
      <xdr:row>17</xdr:row>
      <xdr:rowOff>103573</xdr:rowOff>
    </xdr:to>
    <mc:AlternateContent xmlns:mc="http://schemas.openxmlformats.org/markup-compatibility/2006" xmlns:a14="http://schemas.microsoft.com/office/drawing/2010/main">
      <mc:Choice Requires="a14">
        <xdr:graphicFrame macro="">
          <xdr:nvGraphicFramePr>
            <xdr:cNvPr id="66" name="EducationField">
              <a:extLst>
                <a:ext uri="{FF2B5EF4-FFF2-40B4-BE49-F238E27FC236}">
                  <a16:creationId xmlns:a16="http://schemas.microsoft.com/office/drawing/2014/main" id="{F529A244-5E41-4957-8A27-2B65CA7E393C}"/>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397" y="1269507"/>
              <a:ext cx="1154097" cy="1978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51786</xdr:rowOff>
    </xdr:from>
    <xdr:to>
      <xdr:col>1</xdr:col>
      <xdr:colOff>717612</xdr:colOff>
      <xdr:row>5</xdr:row>
      <xdr:rowOff>148109</xdr:rowOff>
    </xdr:to>
    <mc:AlternateContent xmlns:mc="http://schemas.openxmlformats.org/markup-compatibility/2006" xmlns:a14="http://schemas.microsoft.com/office/drawing/2010/main">
      <mc:Choice Requires="a14">
        <xdr:graphicFrame macro="">
          <xdr:nvGraphicFramePr>
            <xdr:cNvPr id="68" name="Gender">
              <a:extLst>
                <a:ext uri="{FF2B5EF4-FFF2-40B4-BE49-F238E27FC236}">
                  <a16:creationId xmlns:a16="http://schemas.microsoft.com/office/drawing/2014/main" id="{00FF895C-B89B-4E68-99C4-CB4D60AACC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51786"/>
              <a:ext cx="1161494"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66583</xdr:colOff>
      <xdr:row>0</xdr:row>
      <xdr:rowOff>38100</xdr:rowOff>
    </xdr:from>
    <xdr:to>
      <xdr:col>23</xdr:col>
      <xdr:colOff>236736</xdr:colOff>
      <xdr:row>12</xdr:row>
      <xdr:rowOff>118368</xdr:rowOff>
    </xdr:to>
    <xdr:graphicFrame macro="">
      <xdr:nvGraphicFramePr>
        <xdr:cNvPr id="35" name="Chart 34">
          <a:extLst>
            <a:ext uri="{FF2B5EF4-FFF2-40B4-BE49-F238E27FC236}">
              <a16:creationId xmlns:a16="http://schemas.microsoft.com/office/drawing/2014/main" id="{9039A146-AD9E-41C0-A12D-C51B8589C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83820</xdr:colOff>
      <xdr:row>21</xdr:row>
      <xdr:rowOff>7398</xdr:rowOff>
    </xdr:from>
    <xdr:to>
      <xdr:col>6</xdr:col>
      <xdr:colOff>436486</xdr:colOff>
      <xdr:row>34</xdr:row>
      <xdr:rowOff>88775</xdr:rowOff>
    </xdr:to>
    <xdr:graphicFrame macro="">
      <xdr:nvGraphicFramePr>
        <xdr:cNvPr id="36" name="Chart 35">
          <a:extLst>
            <a:ext uri="{FF2B5EF4-FFF2-40B4-BE49-F238E27FC236}">
              <a16:creationId xmlns:a16="http://schemas.microsoft.com/office/drawing/2014/main" id="{452787A4-E283-4CE5-BC48-7DFA44EEF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517863</xdr:colOff>
      <xdr:row>20</xdr:row>
      <xdr:rowOff>140564</xdr:rowOff>
    </xdr:from>
    <xdr:to>
      <xdr:col>12</xdr:col>
      <xdr:colOff>29592</xdr:colOff>
      <xdr:row>34</xdr:row>
      <xdr:rowOff>73981</xdr:rowOff>
    </xdr:to>
    <xdr:graphicFrame macro="">
      <xdr:nvGraphicFramePr>
        <xdr:cNvPr id="37" name="Chart 36">
          <a:extLst>
            <a:ext uri="{FF2B5EF4-FFF2-40B4-BE49-F238E27FC236}">
              <a16:creationId xmlns:a16="http://schemas.microsoft.com/office/drawing/2014/main" id="{1FFCDA25-9B6E-46BD-8278-766CB0ABF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2.576523379626" createdVersion="8" refreshedVersion="8" minRefreshableVersion="3" recordCount="1470" xr:uid="{3D051F8B-1E5B-45AE-ACFC-9AFEE373E04A}">
  <cacheSource type="worksheet">
    <worksheetSource ref="A1:AL1471" sheet="HR_Analytics"/>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Attrition Count"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ount="19">
        <n v="0"/>
        <n v="1"/>
        <n v="2"/>
        <n v="3"/>
        <n v="4"/>
        <n v="5"/>
        <n v="7"/>
        <n v="8"/>
        <n v="6"/>
        <n v="9"/>
        <n v="10"/>
        <n v="12"/>
        <n v="13"/>
        <n v="14"/>
        <n v="11"/>
        <n v="15"/>
        <n v="16"/>
        <n v="17"/>
        <n v="18"/>
      </sharedItems>
    </cacheField>
    <cacheField name="YearsSinceLastPromotion"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991197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s v="Yes"/>
    <n v="1"/>
    <s v="Travel_Rarely"/>
    <n v="230"/>
    <x v="0"/>
    <x v="0"/>
    <x v="0"/>
    <x v="0"/>
    <n v="1"/>
    <n v="405"/>
    <x v="0"/>
    <x v="0"/>
    <n v="54"/>
    <n v="3"/>
    <x v="0"/>
    <x v="0"/>
    <x v="0"/>
    <x v="0"/>
    <n v="1420"/>
    <x v="0"/>
    <n v="25233"/>
    <n v="1"/>
    <s v="Y"/>
    <x v="0"/>
    <n v="13"/>
    <n v="3"/>
    <n v="3"/>
    <n v="80"/>
    <n v="0"/>
    <n v="0"/>
    <n v="2"/>
    <x v="0"/>
    <x v="0"/>
    <x v="0"/>
    <n v="0"/>
  </r>
  <r>
    <s v="RM302"/>
    <n v="18"/>
    <x v="0"/>
    <s v="No"/>
    <n v="0"/>
    <s v="Travel_Rarely"/>
    <n v="812"/>
    <x v="1"/>
    <x v="1"/>
    <x v="0"/>
    <x v="1"/>
    <n v="1"/>
    <n v="411"/>
    <x v="1"/>
    <x v="1"/>
    <n v="69"/>
    <n v="2"/>
    <x v="0"/>
    <x v="1"/>
    <x v="0"/>
    <x v="0"/>
    <n v="1200"/>
    <x v="0"/>
    <n v="9724"/>
    <n v="1"/>
    <s v="Y"/>
    <x v="0"/>
    <n v="12"/>
    <n v="3"/>
    <n v="1"/>
    <n v="80"/>
    <n v="0"/>
    <n v="0"/>
    <n v="2"/>
    <x v="0"/>
    <x v="0"/>
    <x v="0"/>
    <n v="0"/>
  </r>
  <r>
    <s v="RM458"/>
    <n v="18"/>
    <x v="0"/>
    <s v="Yes"/>
    <n v="1"/>
    <s v="Travel_Frequently"/>
    <n v="1306"/>
    <x v="1"/>
    <x v="2"/>
    <x v="0"/>
    <x v="2"/>
    <n v="1"/>
    <n v="614"/>
    <x v="2"/>
    <x v="0"/>
    <n v="69"/>
    <n v="3"/>
    <x v="0"/>
    <x v="1"/>
    <x v="1"/>
    <x v="0"/>
    <n v="1878"/>
    <x v="0"/>
    <n v="8059"/>
    <n v="1"/>
    <s v="Y"/>
    <x v="1"/>
    <n v="14"/>
    <n v="3"/>
    <n v="4"/>
    <n v="80"/>
    <n v="0"/>
    <n v="0"/>
    <n v="3"/>
    <x v="0"/>
    <x v="0"/>
    <x v="0"/>
    <n v="0"/>
  </r>
  <r>
    <s v="RM728"/>
    <n v="18"/>
    <x v="0"/>
    <s v="No"/>
    <n v="0"/>
    <s v="Non-Travel"/>
    <n v="287"/>
    <x v="0"/>
    <x v="2"/>
    <x v="1"/>
    <x v="0"/>
    <n v="1"/>
    <n v="1012"/>
    <x v="2"/>
    <x v="0"/>
    <n v="73"/>
    <n v="3"/>
    <x v="0"/>
    <x v="2"/>
    <x v="2"/>
    <x v="0"/>
    <n v="1051"/>
    <x v="0"/>
    <n v="13493"/>
    <n v="1"/>
    <s v="Y"/>
    <x v="0"/>
    <n v="15"/>
    <n v="3"/>
    <n v="4"/>
    <n v="80"/>
    <n v="0"/>
    <n v="0"/>
    <n v="2"/>
    <x v="0"/>
    <x v="0"/>
    <x v="0"/>
    <n v="0"/>
  </r>
  <r>
    <s v="RM829"/>
    <n v="18"/>
    <x v="0"/>
    <s v="Yes"/>
    <n v="1"/>
    <s v="Non-Travel"/>
    <n v="247"/>
    <x v="0"/>
    <x v="3"/>
    <x v="2"/>
    <x v="1"/>
    <n v="1"/>
    <n v="1156"/>
    <x v="0"/>
    <x v="0"/>
    <n v="80"/>
    <n v="3"/>
    <x v="0"/>
    <x v="0"/>
    <x v="0"/>
    <x v="0"/>
    <n v="1904"/>
    <x v="0"/>
    <n v="13556"/>
    <n v="1"/>
    <s v="Y"/>
    <x v="0"/>
    <n v="12"/>
    <n v="3"/>
    <n v="4"/>
    <n v="80"/>
    <n v="0"/>
    <n v="0"/>
    <n v="0"/>
    <x v="0"/>
    <x v="0"/>
    <x v="0"/>
    <n v="0"/>
  </r>
  <r>
    <s v="RM973"/>
    <n v="18"/>
    <x v="0"/>
    <s v="No"/>
    <n v="0"/>
    <s v="Non-Travel"/>
    <n v="1124"/>
    <x v="0"/>
    <x v="4"/>
    <x v="0"/>
    <x v="0"/>
    <n v="1"/>
    <n v="1368"/>
    <x v="1"/>
    <x v="1"/>
    <n v="97"/>
    <n v="3"/>
    <x v="0"/>
    <x v="0"/>
    <x v="2"/>
    <x v="0"/>
    <n v="1611"/>
    <x v="0"/>
    <n v="19305"/>
    <n v="1"/>
    <s v="Y"/>
    <x v="0"/>
    <n v="15"/>
    <n v="3"/>
    <n v="3"/>
    <n v="80"/>
    <n v="0"/>
    <n v="0"/>
    <n v="5"/>
    <x v="1"/>
    <x v="0"/>
    <x v="0"/>
    <n v="0"/>
  </r>
  <r>
    <s v="RM1154"/>
    <n v="18"/>
    <x v="0"/>
    <s v="Yes"/>
    <n v="1"/>
    <s v="Travel_Frequently"/>
    <n v="544"/>
    <x v="1"/>
    <x v="0"/>
    <x v="1"/>
    <x v="1"/>
    <n v="1"/>
    <n v="1624"/>
    <x v="2"/>
    <x v="1"/>
    <n v="70"/>
    <n v="3"/>
    <x v="0"/>
    <x v="1"/>
    <x v="2"/>
    <x v="0"/>
    <n v="1569"/>
    <x v="0"/>
    <n v="18420"/>
    <n v="1"/>
    <s v="Y"/>
    <x v="1"/>
    <n v="12"/>
    <n v="3"/>
    <n v="3"/>
    <n v="80"/>
    <n v="0"/>
    <n v="0"/>
    <n v="2"/>
    <x v="1"/>
    <x v="0"/>
    <x v="0"/>
    <n v="0"/>
  </r>
  <r>
    <s v="RM1312"/>
    <n v="18"/>
    <x v="0"/>
    <s v="No"/>
    <n v="0"/>
    <s v="Non-Travel"/>
    <n v="1431"/>
    <x v="0"/>
    <x v="5"/>
    <x v="0"/>
    <x v="1"/>
    <n v="1"/>
    <n v="1839"/>
    <x v="2"/>
    <x v="1"/>
    <n v="33"/>
    <n v="3"/>
    <x v="0"/>
    <x v="2"/>
    <x v="0"/>
    <x v="0"/>
    <n v="1514"/>
    <x v="0"/>
    <n v="8018"/>
    <n v="1"/>
    <s v="Y"/>
    <x v="0"/>
    <n v="16"/>
    <n v="3"/>
    <n v="3"/>
    <n v="80"/>
    <n v="0"/>
    <n v="0"/>
    <n v="4"/>
    <x v="2"/>
    <x v="0"/>
    <x v="0"/>
    <n v="0"/>
  </r>
  <r>
    <s v="RM128"/>
    <n v="19"/>
    <x v="0"/>
    <s v="Yes"/>
    <n v="1"/>
    <s v="Travel_Rarely"/>
    <n v="528"/>
    <x v="1"/>
    <x v="6"/>
    <x v="2"/>
    <x v="2"/>
    <n v="1"/>
    <n v="167"/>
    <x v="1"/>
    <x v="0"/>
    <n v="50"/>
    <n v="3"/>
    <x v="0"/>
    <x v="1"/>
    <x v="0"/>
    <x v="0"/>
    <n v="1675"/>
    <x v="0"/>
    <n v="26820"/>
    <n v="1"/>
    <s v="Y"/>
    <x v="1"/>
    <n v="19"/>
    <n v="3"/>
    <n v="4"/>
    <n v="80"/>
    <n v="0"/>
    <n v="0"/>
    <n v="2"/>
    <x v="3"/>
    <x v="0"/>
    <x v="0"/>
    <n v="0"/>
  </r>
  <r>
    <s v="RM150"/>
    <n v="19"/>
    <x v="0"/>
    <s v="No"/>
    <n v="0"/>
    <s v="Travel_Rarely"/>
    <n v="1181"/>
    <x v="0"/>
    <x v="0"/>
    <x v="2"/>
    <x v="1"/>
    <n v="1"/>
    <n v="201"/>
    <x v="2"/>
    <x v="1"/>
    <n v="79"/>
    <n v="3"/>
    <x v="0"/>
    <x v="0"/>
    <x v="1"/>
    <x v="0"/>
    <n v="1483"/>
    <x v="0"/>
    <n v="16102"/>
    <n v="1"/>
    <s v="Y"/>
    <x v="0"/>
    <n v="14"/>
    <n v="3"/>
    <n v="4"/>
    <n v="80"/>
    <n v="0"/>
    <n v="1"/>
    <n v="3"/>
    <x v="0"/>
    <x v="1"/>
    <x v="0"/>
    <n v="0"/>
  </r>
  <r>
    <s v="RM172"/>
    <n v="19"/>
    <x v="0"/>
    <s v="Yes"/>
    <n v="1"/>
    <s v="Travel_Frequently"/>
    <n v="602"/>
    <x v="1"/>
    <x v="4"/>
    <x v="2"/>
    <x v="3"/>
    <n v="1"/>
    <n v="235"/>
    <x v="0"/>
    <x v="1"/>
    <n v="100"/>
    <n v="1"/>
    <x v="0"/>
    <x v="1"/>
    <x v="3"/>
    <x v="0"/>
    <n v="2325"/>
    <x v="0"/>
    <n v="20989"/>
    <n v="0"/>
    <s v="Y"/>
    <x v="0"/>
    <n v="21"/>
    <n v="4"/>
    <n v="1"/>
    <n v="80"/>
    <n v="0"/>
    <n v="1"/>
    <n v="5"/>
    <x v="1"/>
    <x v="0"/>
    <x v="0"/>
    <n v="0"/>
  </r>
  <r>
    <s v="RM178"/>
    <n v="19"/>
    <x v="0"/>
    <s v="Yes"/>
    <n v="1"/>
    <s v="Travel_Rarely"/>
    <n v="303"/>
    <x v="0"/>
    <x v="7"/>
    <x v="0"/>
    <x v="0"/>
    <n v="1"/>
    <n v="243"/>
    <x v="2"/>
    <x v="0"/>
    <n v="47"/>
    <n v="2"/>
    <x v="0"/>
    <x v="0"/>
    <x v="2"/>
    <x v="0"/>
    <n v="1102"/>
    <x v="0"/>
    <n v="9241"/>
    <n v="1"/>
    <s v="Y"/>
    <x v="0"/>
    <n v="22"/>
    <n v="4"/>
    <n v="3"/>
    <n v="80"/>
    <n v="0"/>
    <n v="1"/>
    <n v="3"/>
    <x v="3"/>
    <x v="1"/>
    <x v="0"/>
    <n v="1"/>
  </r>
  <r>
    <s v="RM423"/>
    <n v="19"/>
    <x v="0"/>
    <s v="Yes"/>
    <n v="1"/>
    <s v="Travel_Rarely"/>
    <n v="489"/>
    <x v="2"/>
    <x v="7"/>
    <x v="1"/>
    <x v="3"/>
    <n v="1"/>
    <n v="566"/>
    <x v="3"/>
    <x v="0"/>
    <n v="52"/>
    <n v="2"/>
    <x v="0"/>
    <x v="3"/>
    <x v="2"/>
    <x v="0"/>
    <n v="2564"/>
    <x v="0"/>
    <n v="18437"/>
    <n v="1"/>
    <s v="Y"/>
    <x v="0"/>
    <n v="12"/>
    <n v="3"/>
    <n v="3"/>
    <n v="80"/>
    <n v="0"/>
    <n v="1"/>
    <n v="3"/>
    <x v="1"/>
    <x v="1"/>
    <x v="0"/>
    <n v="0"/>
  </r>
  <r>
    <s v="RM689"/>
    <n v="19"/>
    <x v="0"/>
    <s v="Yes"/>
    <n v="1"/>
    <s v="Travel_Rarely"/>
    <n v="419"/>
    <x v="1"/>
    <x v="8"/>
    <x v="0"/>
    <x v="4"/>
    <n v="1"/>
    <n v="959"/>
    <x v="1"/>
    <x v="0"/>
    <n v="37"/>
    <n v="2"/>
    <x v="0"/>
    <x v="1"/>
    <x v="1"/>
    <x v="0"/>
    <n v="2121"/>
    <x v="0"/>
    <n v="9947"/>
    <n v="1"/>
    <s v="Y"/>
    <x v="1"/>
    <n v="13"/>
    <n v="3"/>
    <n v="2"/>
    <n v="80"/>
    <n v="0"/>
    <n v="1"/>
    <n v="3"/>
    <x v="1"/>
    <x v="1"/>
    <x v="0"/>
    <n v="0"/>
  </r>
  <r>
    <s v="RM854"/>
    <n v="19"/>
    <x v="0"/>
    <s v="No"/>
    <n v="0"/>
    <s v="Travel_Rarely"/>
    <n v="645"/>
    <x v="0"/>
    <x v="9"/>
    <x v="1"/>
    <x v="0"/>
    <n v="1"/>
    <n v="1193"/>
    <x v="0"/>
    <x v="0"/>
    <n v="54"/>
    <n v="3"/>
    <x v="0"/>
    <x v="2"/>
    <x v="3"/>
    <x v="0"/>
    <n v="2552"/>
    <x v="0"/>
    <n v="7172"/>
    <n v="1"/>
    <s v="Y"/>
    <x v="0"/>
    <n v="25"/>
    <n v="4"/>
    <n v="3"/>
    <n v="80"/>
    <n v="0"/>
    <n v="1"/>
    <n v="4"/>
    <x v="0"/>
    <x v="1"/>
    <x v="1"/>
    <n v="0"/>
  </r>
  <r>
    <s v="RM893"/>
    <n v="19"/>
    <x v="0"/>
    <s v="Yes"/>
    <n v="1"/>
    <s v="Non-Travel"/>
    <n v="504"/>
    <x v="0"/>
    <x v="1"/>
    <x v="0"/>
    <x v="1"/>
    <n v="1"/>
    <n v="1248"/>
    <x v="3"/>
    <x v="1"/>
    <n v="96"/>
    <n v="2"/>
    <x v="0"/>
    <x v="2"/>
    <x v="1"/>
    <x v="0"/>
    <n v="1859"/>
    <x v="0"/>
    <n v="6148"/>
    <n v="1"/>
    <s v="Y"/>
    <x v="1"/>
    <n v="25"/>
    <n v="4"/>
    <n v="2"/>
    <n v="80"/>
    <n v="0"/>
    <n v="1"/>
    <n v="2"/>
    <x v="1"/>
    <x v="1"/>
    <x v="1"/>
    <n v="0"/>
  </r>
  <r>
    <s v="RM910"/>
    <n v="19"/>
    <x v="0"/>
    <s v="No"/>
    <n v="0"/>
    <s v="Travel_Rarely"/>
    <n v="265"/>
    <x v="0"/>
    <x v="10"/>
    <x v="0"/>
    <x v="0"/>
    <n v="1"/>
    <n v="1269"/>
    <x v="2"/>
    <x v="1"/>
    <n v="57"/>
    <n v="4"/>
    <x v="0"/>
    <x v="2"/>
    <x v="2"/>
    <x v="0"/>
    <n v="2994"/>
    <x v="0"/>
    <n v="21221"/>
    <n v="1"/>
    <s v="Y"/>
    <x v="1"/>
    <n v="12"/>
    <n v="3"/>
    <n v="4"/>
    <n v="80"/>
    <n v="0"/>
    <n v="1"/>
    <n v="2"/>
    <x v="0"/>
    <x v="1"/>
    <x v="0"/>
    <n v="0"/>
  </r>
  <r>
    <s v="RM103"/>
    <n v="20"/>
    <x v="0"/>
    <s v="Yes"/>
    <n v="1"/>
    <s v="Travel_Frequently"/>
    <n v="871"/>
    <x v="0"/>
    <x v="11"/>
    <x v="0"/>
    <x v="0"/>
    <n v="1"/>
    <n v="137"/>
    <x v="1"/>
    <x v="1"/>
    <n v="66"/>
    <n v="2"/>
    <x v="0"/>
    <x v="0"/>
    <x v="2"/>
    <x v="0"/>
    <n v="2926"/>
    <x v="0"/>
    <n v="19783"/>
    <n v="1"/>
    <s v="Y"/>
    <x v="1"/>
    <n v="18"/>
    <n v="3"/>
    <n v="2"/>
    <n v="80"/>
    <n v="0"/>
    <n v="1"/>
    <n v="5"/>
    <x v="0"/>
    <x v="1"/>
    <x v="0"/>
    <n v="1"/>
  </r>
  <r>
    <s v="RM488"/>
    <n v="20"/>
    <x v="0"/>
    <s v="No"/>
    <n v="0"/>
    <s v="Travel_Rarely"/>
    <n v="959"/>
    <x v="0"/>
    <x v="4"/>
    <x v="0"/>
    <x v="0"/>
    <n v="1"/>
    <n v="657"/>
    <x v="1"/>
    <x v="1"/>
    <n v="83"/>
    <n v="2"/>
    <x v="0"/>
    <x v="2"/>
    <x v="1"/>
    <x v="0"/>
    <n v="2836"/>
    <x v="0"/>
    <n v="11757"/>
    <n v="1"/>
    <s v="Y"/>
    <x v="0"/>
    <n v="13"/>
    <n v="3"/>
    <n v="4"/>
    <n v="80"/>
    <n v="0"/>
    <n v="1"/>
    <n v="0"/>
    <x v="1"/>
    <x v="1"/>
    <x v="0"/>
    <n v="0"/>
  </r>
  <r>
    <s v="RM514"/>
    <n v="20"/>
    <x v="0"/>
    <s v="Yes"/>
    <n v="1"/>
    <s v="Travel_Rarely"/>
    <n v="1362"/>
    <x v="0"/>
    <x v="1"/>
    <x v="2"/>
    <x v="1"/>
    <n v="1"/>
    <n v="701"/>
    <x v="1"/>
    <x v="0"/>
    <n v="32"/>
    <n v="3"/>
    <x v="0"/>
    <x v="2"/>
    <x v="0"/>
    <x v="0"/>
    <n v="1009"/>
    <x v="0"/>
    <n v="26999"/>
    <n v="1"/>
    <s v="Y"/>
    <x v="1"/>
    <n v="11"/>
    <n v="3"/>
    <n v="4"/>
    <n v="80"/>
    <n v="0"/>
    <n v="1"/>
    <n v="5"/>
    <x v="0"/>
    <x v="1"/>
    <x v="0"/>
    <n v="1"/>
  </r>
  <r>
    <s v="RM663"/>
    <n v="20"/>
    <x v="0"/>
    <s v="Yes"/>
    <n v="1"/>
    <s v="Travel_Rarely"/>
    <n v="500"/>
    <x v="1"/>
    <x v="7"/>
    <x v="0"/>
    <x v="1"/>
    <n v="1"/>
    <n v="922"/>
    <x v="0"/>
    <x v="1"/>
    <n v="49"/>
    <n v="2"/>
    <x v="0"/>
    <x v="1"/>
    <x v="0"/>
    <x v="0"/>
    <n v="2044"/>
    <x v="0"/>
    <n v="22052"/>
    <n v="1"/>
    <s v="Y"/>
    <x v="0"/>
    <n v="13"/>
    <n v="3"/>
    <n v="4"/>
    <n v="80"/>
    <n v="0"/>
    <n v="2"/>
    <n v="3"/>
    <x v="3"/>
    <x v="2"/>
    <x v="2"/>
    <n v="0"/>
  </r>
  <r>
    <s v="RM690"/>
    <n v="20"/>
    <x v="0"/>
    <s v="Yes"/>
    <n v="1"/>
    <s v="Travel_Rarely"/>
    <n v="129"/>
    <x v="0"/>
    <x v="12"/>
    <x v="0"/>
    <x v="3"/>
    <n v="1"/>
    <n v="960"/>
    <x v="3"/>
    <x v="0"/>
    <n v="84"/>
    <n v="3"/>
    <x v="0"/>
    <x v="0"/>
    <x v="3"/>
    <x v="0"/>
    <n v="2973"/>
    <x v="0"/>
    <n v="13008"/>
    <n v="1"/>
    <s v="Y"/>
    <x v="0"/>
    <n v="19"/>
    <n v="3"/>
    <n v="2"/>
    <n v="80"/>
    <n v="0"/>
    <n v="1"/>
    <n v="2"/>
    <x v="0"/>
    <x v="1"/>
    <x v="0"/>
    <n v="0"/>
  </r>
  <r>
    <s v="RM732"/>
    <n v="20"/>
    <x v="0"/>
    <s v="Yes"/>
    <n v="1"/>
    <s v="Travel_Rarely"/>
    <n v="1097"/>
    <x v="0"/>
    <x v="13"/>
    <x v="0"/>
    <x v="1"/>
    <n v="1"/>
    <n v="1016"/>
    <x v="1"/>
    <x v="1"/>
    <n v="98"/>
    <n v="2"/>
    <x v="0"/>
    <x v="2"/>
    <x v="3"/>
    <x v="0"/>
    <n v="2600"/>
    <x v="0"/>
    <n v="18275"/>
    <n v="1"/>
    <s v="Y"/>
    <x v="1"/>
    <n v="15"/>
    <n v="3"/>
    <n v="1"/>
    <n v="80"/>
    <n v="0"/>
    <n v="1"/>
    <n v="2"/>
    <x v="0"/>
    <x v="1"/>
    <x v="0"/>
    <n v="0"/>
  </r>
  <r>
    <s v="RM777"/>
    <n v="20"/>
    <x v="0"/>
    <s v="Yes"/>
    <n v="1"/>
    <s v="Travel_Frequently"/>
    <n v="769"/>
    <x v="1"/>
    <x v="9"/>
    <x v="0"/>
    <x v="2"/>
    <n v="1"/>
    <n v="1077"/>
    <x v="1"/>
    <x v="1"/>
    <n v="54"/>
    <n v="3"/>
    <x v="0"/>
    <x v="1"/>
    <x v="2"/>
    <x v="0"/>
    <n v="2323"/>
    <x v="0"/>
    <n v="17205"/>
    <n v="1"/>
    <s v="Y"/>
    <x v="1"/>
    <n v="14"/>
    <n v="3"/>
    <n v="2"/>
    <n v="80"/>
    <n v="0"/>
    <n v="2"/>
    <n v="3"/>
    <x v="0"/>
    <x v="2"/>
    <x v="2"/>
    <n v="0"/>
  </r>
  <r>
    <s v="RM857"/>
    <n v="20"/>
    <x v="0"/>
    <s v="No"/>
    <n v="0"/>
    <s v="Travel_Rarely"/>
    <n v="805"/>
    <x v="0"/>
    <x v="0"/>
    <x v="0"/>
    <x v="0"/>
    <n v="1"/>
    <n v="1198"/>
    <x v="3"/>
    <x v="0"/>
    <n v="87"/>
    <n v="2"/>
    <x v="0"/>
    <x v="0"/>
    <x v="0"/>
    <x v="0"/>
    <n v="3033"/>
    <x v="0"/>
    <n v="12828"/>
    <n v="1"/>
    <s v="Y"/>
    <x v="0"/>
    <n v="12"/>
    <n v="3"/>
    <n v="1"/>
    <n v="80"/>
    <n v="0"/>
    <n v="2"/>
    <n v="2"/>
    <x v="3"/>
    <x v="2"/>
    <x v="2"/>
    <n v="1"/>
  </r>
  <r>
    <s v="RM877"/>
    <n v="20"/>
    <x v="0"/>
    <s v="No"/>
    <n v="0"/>
    <s v="Travel_Rarely"/>
    <n v="654"/>
    <x v="1"/>
    <x v="8"/>
    <x v="0"/>
    <x v="2"/>
    <n v="1"/>
    <n v="1226"/>
    <x v="0"/>
    <x v="0"/>
    <n v="43"/>
    <n v="4"/>
    <x v="0"/>
    <x v="1"/>
    <x v="2"/>
    <x v="0"/>
    <n v="2678"/>
    <x v="0"/>
    <n v="5050"/>
    <n v="1"/>
    <s v="Y"/>
    <x v="0"/>
    <n v="17"/>
    <n v="3"/>
    <n v="4"/>
    <n v="80"/>
    <n v="0"/>
    <n v="2"/>
    <n v="2"/>
    <x v="0"/>
    <x v="2"/>
    <x v="1"/>
    <n v="2"/>
  </r>
  <r>
    <s v="RM1179"/>
    <n v="20"/>
    <x v="0"/>
    <s v="No"/>
    <n v="0"/>
    <s v="Travel_Rarely"/>
    <n v="1141"/>
    <x v="1"/>
    <x v="7"/>
    <x v="0"/>
    <x v="1"/>
    <n v="1"/>
    <n v="1657"/>
    <x v="0"/>
    <x v="1"/>
    <n v="31"/>
    <n v="3"/>
    <x v="0"/>
    <x v="1"/>
    <x v="0"/>
    <x v="0"/>
    <n v="2783"/>
    <x v="0"/>
    <n v="13251"/>
    <n v="1"/>
    <s v="Y"/>
    <x v="0"/>
    <n v="19"/>
    <n v="3"/>
    <n v="1"/>
    <n v="80"/>
    <n v="0"/>
    <n v="2"/>
    <n v="3"/>
    <x v="0"/>
    <x v="2"/>
    <x v="2"/>
    <n v="2"/>
  </r>
  <r>
    <s v="RM1198"/>
    <n v="20"/>
    <x v="0"/>
    <s v="No"/>
    <n v="0"/>
    <s v="Travel_Rarely"/>
    <n v="727"/>
    <x v="1"/>
    <x v="9"/>
    <x v="2"/>
    <x v="0"/>
    <n v="1"/>
    <n v="1680"/>
    <x v="1"/>
    <x v="0"/>
    <n v="54"/>
    <n v="3"/>
    <x v="0"/>
    <x v="1"/>
    <x v="3"/>
    <x v="0"/>
    <n v="2728"/>
    <x v="0"/>
    <n v="21082"/>
    <n v="1"/>
    <s v="Y"/>
    <x v="0"/>
    <n v="11"/>
    <n v="3"/>
    <n v="1"/>
    <n v="80"/>
    <n v="0"/>
    <n v="2"/>
    <n v="3"/>
    <x v="0"/>
    <x v="2"/>
    <x v="2"/>
    <n v="0"/>
  </r>
  <r>
    <s v="RM024"/>
    <n v="21"/>
    <x v="0"/>
    <s v="No"/>
    <n v="0"/>
    <s v="Travel_Rarely"/>
    <n v="391"/>
    <x v="0"/>
    <x v="14"/>
    <x v="1"/>
    <x v="0"/>
    <n v="1"/>
    <n v="30"/>
    <x v="0"/>
    <x v="0"/>
    <n v="96"/>
    <n v="3"/>
    <x v="0"/>
    <x v="2"/>
    <x v="2"/>
    <x v="0"/>
    <n v="1232"/>
    <x v="0"/>
    <n v="19281"/>
    <n v="1"/>
    <s v="Y"/>
    <x v="0"/>
    <n v="14"/>
    <n v="3"/>
    <n v="4"/>
    <n v="80"/>
    <n v="0"/>
    <n v="0"/>
    <n v="6"/>
    <x v="0"/>
    <x v="0"/>
    <x v="0"/>
    <n v="0"/>
  </r>
  <r>
    <s v="RM275"/>
    <n v="21"/>
    <x v="0"/>
    <s v="No"/>
    <n v="0"/>
    <s v="Travel_Rarely"/>
    <n v="996"/>
    <x v="0"/>
    <x v="0"/>
    <x v="1"/>
    <x v="1"/>
    <n v="1"/>
    <n v="379"/>
    <x v="1"/>
    <x v="0"/>
    <n v="100"/>
    <n v="2"/>
    <x v="0"/>
    <x v="2"/>
    <x v="0"/>
    <x v="0"/>
    <n v="3230"/>
    <x v="0"/>
    <n v="10531"/>
    <n v="1"/>
    <s v="Y"/>
    <x v="0"/>
    <n v="17"/>
    <n v="3"/>
    <n v="1"/>
    <n v="80"/>
    <n v="0"/>
    <n v="3"/>
    <n v="4"/>
    <x v="1"/>
    <x v="3"/>
    <x v="2"/>
    <n v="1"/>
  </r>
  <r>
    <s v="RM358"/>
    <n v="21"/>
    <x v="0"/>
    <s v="Yes"/>
    <n v="1"/>
    <s v="Travel_Frequently"/>
    <n v="756"/>
    <x v="1"/>
    <x v="4"/>
    <x v="2"/>
    <x v="3"/>
    <n v="1"/>
    <n v="478"/>
    <x v="3"/>
    <x v="1"/>
    <n v="99"/>
    <n v="2"/>
    <x v="0"/>
    <x v="1"/>
    <x v="1"/>
    <x v="0"/>
    <n v="2174"/>
    <x v="0"/>
    <n v="9150"/>
    <n v="1"/>
    <s v="Y"/>
    <x v="1"/>
    <n v="11"/>
    <n v="3"/>
    <n v="3"/>
    <n v="80"/>
    <n v="0"/>
    <n v="3"/>
    <n v="3"/>
    <x v="0"/>
    <x v="3"/>
    <x v="2"/>
    <n v="1"/>
  </r>
  <r>
    <s v="RM363"/>
    <n v="21"/>
    <x v="0"/>
    <s v="No"/>
    <n v="0"/>
    <s v="Non-Travel"/>
    <n v="895"/>
    <x v="1"/>
    <x v="9"/>
    <x v="1"/>
    <x v="1"/>
    <n v="1"/>
    <n v="484"/>
    <x v="3"/>
    <x v="0"/>
    <n v="39"/>
    <n v="3"/>
    <x v="0"/>
    <x v="1"/>
    <x v="2"/>
    <x v="0"/>
    <n v="2610"/>
    <x v="0"/>
    <n v="2851"/>
    <n v="1"/>
    <s v="Y"/>
    <x v="0"/>
    <n v="24"/>
    <n v="4"/>
    <n v="3"/>
    <n v="80"/>
    <n v="0"/>
    <n v="3"/>
    <n v="3"/>
    <x v="3"/>
    <x v="3"/>
    <x v="2"/>
    <n v="2"/>
  </r>
  <r>
    <s v="RM371"/>
    <n v="21"/>
    <x v="0"/>
    <s v="Yes"/>
    <n v="1"/>
    <s v="Travel_Rarely"/>
    <n v="156"/>
    <x v="1"/>
    <x v="15"/>
    <x v="0"/>
    <x v="0"/>
    <n v="1"/>
    <n v="494"/>
    <x v="0"/>
    <x v="1"/>
    <n v="90"/>
    <n v="4"/>
    <x v="0"/>
    <x v="1"/>
    <x v="1"/>
    <x v="0"/>
    <n v="2716"/>
    <x v="0"/>
    <n v="25422"/>
    <n v="1"/>
    <s v="Y"/>
    <x v="0"/>
    <n v="15"/>
    <n v="3"/>
    <n v="4"/>
    <n v="80"/>
    <n v="0"/>
    <n v="1"/>
    <n v="0"/>
    <x v="0"/>
    <x v="1"/>
    <x v="0"/>
    <n v="0"/>
  </r>
  <r>
    <s v="RM497"/>
    <n v="21"/>
    <x v="0"/>
    <s v="No"/>
    <n v="0"/>
    <s v="Travel_Rarely"/>
    <n v="1343"/>
    <x v="1"/>
    <x v="6"/>
    <x v="2"/>
    <x v="3"/>
    <n v="1"/>
    <n v="669"/>
    <x v="0"/>
    <x v="0"/>
    <n v="49"/>
    <n v="3"/>
    <x v="0"/>
    <x v="1"/>
    <x v="0"/>
    <x v="0"/>
    <n v="3447"/>
    <x v="0"/>
    <n v="24444"/>
    <n v="1"/>
    <s v="Y"/>
    <x v="0"/>
    <n v="11"/>
    <n v="3"/>
    <n v="3"/>
    <n v="80"/>
    <n v="0"/>
    <n v="3"/>
    <n v="2"/>
    <x v="0"/>
    <x v="3"/>
    <x v="2"/>
    <n v="1"/>
  </r>
  <r>
    <s v="RM664"/>
    <n v="21"/>
    <x v="0"/>
    <s v="Yes"/>
    <n v="1"/>
    <s v="Travel_Rarely"/>
    <n v="1427"/>
    <x v="0"/>
    <x v="16"/>
    <x v="2"/>
    <x v="4"/>
    <n v="1"/>
    <n v="923"/>
    <x v="1"/>
    <x v="1"/>
    <n v="65"/>
    <n v="3"/>
    <x v="0"/>
    <x v="2"/>
    <x v="2"/>
    <x v="0"/>
    <n v="2693"/>
    <x v="0"/>
    <n v="8870"/>
    <n v="1"/>
    <s v="Y"/>
    <x v="0"/>
    <n v="19"/>
    <n v="3"/>
    <n v="1"/>
    <n v="80"/>
    <n v="0"/>
    <n v="1"/>
    <n v="3"/>
    <x v="3"/>
    <x v="1"/>
    <x v="0"/>
    <n v="0"/>
  </r>
  <r>
    <s v="RM778"/>
    <n v="21"/>
    <x v="0"/>
    <s v="Yes"/>
    <n v="1"/>
    <s v="Travel_Rarely"/>
    <n v="1334"/>
    <x v="0"/>
    <x v="1"/>
    <x v="0"/>
    <x v="0"/>
    <n v="1"/>
    <n v="1079"/>
    <x v="0"/>
    <x v="1"/>
    <n v="36"/>
    <n v="2"/>
    <x v="0"/>
    <x v="0"/>
    <x v="3"/>
    <x v="0"/>
    <n v="1416"/>
    <x v="0"/>
    <n v="17258"/>
    <n v="1"/>
    <s v="Y"/>
    <x v="0"/>
    <n v="13"/>
    <n v="3"/>
    <n v="1"/>
    <n v="80"/>
    <n v="0"/>
    <n v="1"/>
    <n v="6"/>
    <x v="3"/>
    <x v="1"/>
    <x v="0"/>
    <n v="1"/>
  </r>
  <r>
    <s v="RM816"/>
    <n v="21"/>
    <x v="0"/>
    <s v="No"/>
    <n v="0"/>
    <s v="Travel_Rarely"/>
    <n v="984"/>
    <x v="0"/>
    <x v="4"/>
    <x v="2"/>
    <x v="3"/>
    <n v="1"/>
    <n v="1131"/>
    <x v="1"/>
    <x v="1"/>
    <n v="70"/>
    <n v="2"/>
    <x v="0"/>
    <x v="2"/>
    <x v="1"/>
    <x v="0"/>
    <n v="2070"/>
    <x v="0"/>
    <n v="25326"/>
    <n v="1"/>
    <s v="Y"/>
    <x v="1"/>
    <n v="11"/>
    <n v="3"/>
    <n v="3"/>
    <n v="80"/>
    <n v="0"/>
    <n v="2"/>
    <n v="6"/>
    <x v="1"/>
    <x v="2"/>
    <x v="2"/>
    <n v="2"/>
  </r>
  <r>
    <s v="RM916"/>
    <n v="21"/>
    <x v="0"/>
    <s v="Yes"/>
    <n v="1"/>
    <s v="Travel_Frequently"/>
    <n v="251"/>
    <x v="0"/>
    <x v="1"/>
    <x v="1"/>
    <x v="0"/>
    <n v="1"/>
    <n v="1279"/>
    <x v="3"/>
    <x v="1"/>
    <n v="45"/>
    <n v="2"/>
    <x v="0"/>
    <x v="0"/>
    <x v="0"/>
    <x v="0"/>
    <n v="2625"/>
    <x v="0"/>
    <n v="25308"/>
    <n v="1"/>
    <s v="Y"/>
    <x v="0"/>
    <n v="20"/>
    <n v="4"/>
    <n v="3"/>
    <n v="80"/>
    <n v="0"/>
    <n v="2"/>
    <n v="2"/>
    <x v="2"/>
    <x v="2"/>
    <x v="2"/>
    <n v="2"/>
  </r>
  <r>
    <s v="RM1153"/>
    <n v="21"/>
    <x v="0"/>
    <s v="No"/>
    <n v="0"/>
    <s v="Travel_Rarely"/>
    <n v="546"/>
    <x v="0"/>
    <x v="2"/>
    <x v="2"/>
    <x v="1"/>
    <n v="1"/>
    <n v="1623"/>
    <x v="0"/>
    <x v="0"/>
    <n v="97"/>
    <n v="3"/>
    <x v="0"/>
    <x v="2"/>
    <x v="2"/>
    <x v="0"/>
    <n v="3117"/>
    <x v="0"/>
    <n v="26009"/>
    <n v="1"/>
    <s v="Y"/>
    <x v="0"/>
    <n v="18"/>
    <n v="3"/>
    <n v="3"/>
    <n v="80"/>
    <n v="0"/>
    <n v="3"/>
    <n v="2"/>
    <x v="0"/>
    <x v="2"/>
    <x v="2"/>
    <n v="2"/>
  </r>
  <r>
    <s v="RM1272"/>
    <n v="21"/>
    <x v="0"/>
    <s v="Yes"/>
    <n v="1"/>
    <s v="Travel_Rarely"/>
    <n v="337"/>
    <x v="1"/>
    <x v="17"/>
    <x v="2"/>
    <x v="2"/>
    <n v="1"/>
    <n v="1780"/>
    <x v="2"/>
    <x v="0"/>
    <n v="31"/>
    <n v="3"/>
    <x v="0"/>
    <x v="1"/>
    <x v="1"/>
    <x v="0"/>
    <n v="2679"/>
    <x v="0"/>
    <n v="4567"/>
    <n v="1"/>
    <s v="Y"/>
    <x v="0"/>
    <n v="13"/>
    <n v="3"/>
    <n v="2"/>
    <n v="80"/>
    <n v="0"/>
    <n v="1"/>
    <n v="3"/>
    <x v="0"/>
    <x v="1"/>
    <x v="0"/>
    <n v="1"/>
  </r>
  <r>
    <s v="RM1437"/>
    <n v="21"/>
    <x v="0"/>
    <s v="No"/>
    <n v="0"/>
    <s v="Travel_Rarely"/>
    <n v="501"/>
    <x v="1"/>
    <x v="2"/>
    <x v="2"/>
    <x v="1"/>
    <n v="1"/>
    <n v="2021"/>
    <x v="0"/>
    <x v="0"/>
    <n v="58"/>
    <n v="3"/>
    <x v="0"/>
    <x v="1"/>
    <x v="3"/>
    <x v="0"/>
    <n v="2380"/>
    <x v="0"/>
    <n v="25479"/>
    <n v="1"/>
    <s v="Y"/>
    <x v="1"/>
    <n v="11"/>
    <n v="3"/>
    <n v="4"/>
    <n v="80"/>
    <n v="0"/>
    <n v="2"/>
    <n v="6"/>
    <x v="0"/>
    <x v="2"/>
    <x v="2"/>
    <n v="1"/>
  </r>
  <r>
    <s v="RM018"/>
    <n v="22"/>
    <x v="0"/>
    <s v="No"/>
    <n v="0"/>
    <s v="Non-Travel"/>
    <n v="1123"/>
    <x v="0"/>
    <x v="18"/>
    <x v="1"/>
    <x v="1"/>
    <n v="1"/>
    <n v="22"/>
    <x v="1"/>
    <x v="0"/>
    <n v="96"/>
    <n v="4"/>
    <x v="0"/>
    <x v="0"/>
    <x v="2"/>
    <x v="1"/>
    <n v="2935"/>
    <x v="0"/>
    <n v="7324"/>
    <n v="1"/>
    <s v="Y"/>
    <x v="1"/>
    <n v="13"/>
    <n v="3"/>
    <n v="2"/>
    <n v="80"/>
    <n v="2"/>
    <n v="1"/>
    <n v="2"/>
    <x v="3"/>
    <x v="1"/>
    <x v="0"/>
    <n v="0"/>
  </r>
  <r>
    <s v="RM110"/>
    <n v="22"/>
    <x v="0"/>
    <s v="No"/>
    <n v="0"/>
    <s v="Travel_Rarely"/>
    <n v="534"/>
    <x v="0"/>
    <x v="14"/>
    <x v="0"/>
    <x v="1"/>
    <n v="1"/>
    <n v="144"/>
    <x v="2"/>
    <x v="1"/>
    <n v="59"/>
    <n v="3"/>
    <x v="0"/>
    <x v="0"/>
    <x v="2"/>
    <x v="0"/>
    <n v="2871"/>
    <x v="0"/>
    <n v="23785"/>
    <n v="1"/>
    <s v="Y"/>
    <x v="0"/>
    <n v="15"/>
    <n v="3"/>
    <n v="3"/>
    <n v="80"/>
    <n v="0"/>
    <n v="1"/>
    <n v="5"/>
    <x v="0"/>
    <x v="0"/>
    <x v="0"/>
    <n v="0"/>
  </r>
  <r>
    <s v="RM129"/>
    <n v="22"/>
    <x v="0"/>
    <s v="No"/>
    <n v="0"/>
    <s v="Travel_Rarely"/>
    <n v="594"/>
    <x v="0"/>
    <x v="7"/>
    <x v="2"/>
    <x v="3"/>
    <n v="1"/>
    <n v="169"/>
    <x v="0"/>
    <x v="0"/>
    <n v="100"/>
    <n v="3"/>
    <x v="0"/>
    <x v="0"/>
    <x v="2"/>
    <x v="2"/>
    <n v="2523"/>
    <x v="0"/>
    <n v="19299"/>
    <n v="0"/>
    <s v="Y"/>
    <x v="0"/>
    <n v="14"/>
    <n v="3"/>
    <n v="3"/>
    <n v="80"/>
    <n v="1"/>
    <n v="3"/>
    <n v="2"/>
    <x v="0"/>
    <x v="2"/>
    <x v="1"/>
    <n v="2"/>
  </r>
  <r>
    <s v="RM161"/>
    <n v="22"/>
    <x v="0"/>
    <s v="No"/>
    <n v="0"/>
    <s v="Travel_Rarely"/>
    <n v="1256"/>
    <x v="0"/>
    <x v="19"/>
    <x v="2"/>
    <x v="1"/>
    <n v="1"/>
    <n v="217"/>
    <x v="0"/>
    <x v="0"/>
    <n v="80"/>
    <n v="3"/>
    <x v="0"/>
    <x v="2"/>
    <x v="2"/>
    <x v="2"/>
    <n v="2323"/>
    <x v="0"/>
    <n v="11992"/>
    <n v="1"/>
    <s v="Y"/>
    <x v="0"/>
    <n v="24"/>
    <n v="4"/>
    <n v="1"/>
    <n v="80"/>
    <n v="2"/>
    <n v="2"/>
    <n v="6"/>
    <x v="0"/>
    <x v="2"/>
    <x v="2"/>
    <n v="2"/>
  </r>
  <r>
    <s v="RM207"/>
    <n v="22"/>
    <x v="0"/>
    <s v="No"/>
    <n v="0"/>
    <s v="Travel_Rarely"/>
    <n v="1136"/>
    <x v="0"/>
    <x v="2"/>
    <x v="0"/>
    <x v="0"/>
    <n v="1"/>
    <n v="284"/>
    <x v="1"/>
    <x v="0"/>
    <n v="60"/>
    <n v="4"/>
    <x v="0"/>
    <x v="2"/>
    <x v="1"/>
    <x v="1"/>
    <n v="2328"/>
    <x v="0"/>
    <n v="12392"/>
    <n v="1"/>
    <s v="Y"/>
    <x v="1"/>
    <n v="16"/>
    <n v="3"/>
    <n v="1"/>
    <n v="80"/>
    <n v="1"/>
    <n v="4"/>
    <n v="2"/>
    <x v="3"/>
    <x v="4"/>
    <x v="2"/>
    <n v="2"/>
  </r>
  <r>
    <s v="RM384"/>
    <n v="22"/>
    <x v="0"/>
    <s v="No"/>
    <n v="0"/>
    <s v="Travel_Rarely"/>
    <n v="253"/>
    <x v="0"/>
    <x v="13"/>
    <x v="0"/>
    <x v="1"/>
    <n v="1"/>
    <n v="511"/>
    <x v="3"/>
    <x v="1"/>
    <n v="43"/>
    <n v="3"/>
    <x v="0"/>
    <x v="2"/>
    <x v="1"/>
    <x v="2"/>
    <n v="2244"/>
    <x v="0"/>
    <n v="24440"/>
    <n v="1"/>
    <s v="Y"/>
    <x v="0"/>
    <n v="13"/>
    <n v="3"/>
    <n v="4"/>
    <n v="80"/>
    <n v="1"/>
    <n v="2"/>
    <n v="1"/>
    <x v="0"/>
    <x v="2"/>
    <x v="1"/>
    <n v="1"/>
  </r>
  <r>
    <s v="RM444"/>
    <n v="22"/>
    <x v="0"/>
    <s v="Yes"/>
    <n v="1"/>
    <s v="Travel_Frequently"/>
    <n v="1368"/>
    <x v="0"/>
    <x v="12"/>
    <x v="2"/>
    <x v="3"/>
    <n v="1"/>
    <n v="593"/>
    <x v="0"/>
    <x v="0"/>
    <n v="99"/>
    <n v="2"/>
    <x v="0"/>
    <x v="0"/>
    <x v="0"/>
    <x v="0"/>
    <n v="3894"/>
    <x v="0"/>
    <n v="9129"/>
    <n v="5"/>
    <s v="Y"/>
    <x v="0"/>
    <n v="16"/>
    <n v="3"/>
    <n v="3"/>
    <n v="80"/>
    <n v="0"/>
    <n v="4"/>
    <n v="3"/>
    <x v="0"/>
    <x v="2"/>
    <x v="2"/>
    <n v="1"/>
  </r>
  <r>
    <s v="RM499"/>
    <n v="22"/>
    <x v="0"/>
    <s v="No"/>
    <n v="0"/>
    <s v="Travel_Rarely"/>
    <n v="604"/>
    <x v="0"/>
    <x v="11"/>
    <x v="2"/>
    <x v="1"/>
    <n v="1"/>
    <n v="675"/>
    <x v="3"/>
    <x v="0"/>
    <n v="69"/>
    <n v="3"/>
    <x v="0"/>
    <x v="2"/>
    <x v="0"/>
    <x v="2"/>
    <n v="2773"/>
    <x v="0"/>
    <n v="12145"/>
    <n v="0"/>
    <s v="Y"/>
    <x v="0"/>
    <n v="20"/>
    <n v="4"/>
    <n v="4"/>
    <n v="80"/>
    <n v="0"/>
    <n v="3"/>
    <n v="3"/>
    <x v="0"/>
    <x v="2"/>
    <x v="2"/>
    <n v="2"/>
  </r>
  <r>
    <s v="RM631"/>
    <n v="22"/>
    <x v="0"/>
    <s v="No"/>
    <n v="0"/>
    <s v="Travel_Rarely"/>
    <n v="1230"/>
    <x v="0"/>
    <x v="4"/>
    <x v="1"/>
    <x v="0"/>
    <n v="1"/>
    <n v="872"/>
    <x v="1"/>
    <x v="0"/>
    <n v="33"/>
    <n v="2"/>
    <x v="1"/>
    <x v="4"/>
    <x v="2"/>
    <x v="2"/>
    <n v="4775"/>
    <x v="0"/>
    <n v="19146"/>
    <n v="6"/>
    <s v="Y"/>
    <x v="0"/>
    <n v="22"/>
    <n v="4"/>
    <n v="1"/>
    <n v="80"/>
    <n v="2"/>
    <n v="4"/>
    <n v="2"/>
    <x v="2"/>
    <x v="2"/>
    <x v="2"/>
    <n v="2"/>
  </r>
  <r>
    <s v="RM667"/>
    <n v="22"/>
    <x v="0"/>
    <s v="Yes"/>
    <n v="1"/>
    <s v="Travel_Rarely"/>
    <n v="617"/>
    <x v="0"/>
    <x v="0"/>
    <x v="2"/>
    <x v="0"/>
    <n v="1"/>
    <n v="926"/>
    <x v="2"/>
    <x v="1"/>
    <n v="34"/>
    <n v="3"/>
    <x v="1"/>
    <x v="4"/>
    <x v="0"/>
    <x v="2"/>
    <n v="4171"/>
    <x v="0"/>
    <n v="10022"/>
    <n v="0"/>
    <s v="Y"/>
    <x v="1"/>
    <n v="19"/>
    <n v="3"/>
    <n v="1"/>
    <n v="80"/>
    <n v="1"/>
    <n v="4"/>
    <n v="3"/>
    <x v="1"/>
    <x v="3"/>
    <x v="2"/>
    <n v="0"/>
  </r>
  <r>
    <s v="RM735"/>
    <n v="22"/>
    <x v="0"/>
    <s v="No"/>
    <n v="0"/>
    <s v="Travel_Rarely"/>
    <n v="217"/>
    <x v="0"/>
    <x v="3"/>
    <x v="2"/>
    <x v="0"/>
    <n v="1"/>
    <n v="1019"/>
    <x v="2"/>
    <x v="0"/>
    <n v="94"/>
    <n v="1"/>
    <x v="0"/>
    <x v="0"/>
    <x v="3"/>
    <x v="2"/>
    <n v="2451"/>
    <x v="0"/>
    <n v="6881"/>
    <n v="1"/>
    <s v="Y"/>
    <x v="0"/>
    <n v="15"/>
    <n v="3"/>
    <n v="1"/>
    <n v="80"/>
    <n v="1"/>
    <n v="4"/>
    <n v="3"/>
    <x v="3"/>
    <x v="4"/>
    <x v="3"/>
    <n v="1"/>
  </r>
  <r>
    <s v="RM861"/>
    <n v="22"/>
    <x v="0"/>
    <s v="Yes"/>
    <n v="1"/>
    <s v="Travel_Frequently"/>
    <n v="1256"/>
    <x v="0"/>
    <x v="0"/>
    <x v="3"/>
    <x v="0"/>
    <n v="1"/>
    <n v="1203"/>
    <x v="0"/>
    <x v="0"/>
    <n v="48"/>
    <n v="2"/>
    <x v="0"/>
    <x v="2"/>
    <x v="2"/>
    <x v="2"/>
    <n v="2853"/>
    <x v="0"/>
    <n v="4223"/>
    <n v="0"/>
    <s v="Y"/>
    <x v="1"/>
    <n v="11"/>
    <n v="3"/>
    <n v="2"/>
    <n v="80"/>
    <n v="1"/>
    <n v="1"/>
    <n v="5"/>
    <x v="0"/>
    <x v="0"/>
    <x v="0"/>
    <n v="0"/>
  </r>
  <r>
    <s v="RM1138"/>
    <n v="22"/>
    <x v="0"/>
    <s v="No"/>
    <n v="0"/>
    <s v="Non-Travel"/>
    <n v="457"/>
    <x v="0"/>
    <x v="20"/>
    <x v="1"/>
    <x v="4"/>
    <n v="1"/>
    <n v="1605"/>
    <x v="2"/>
    <x v="1"/>
    <n v="85"/>
    <n v="2"/>
    <x v="0"/>
    <x v="2"/>
    <x v="0"/>
    <x v="2"/>
    <n v="2814"/>
    <x v="0"/>
    <n v="10293"/>
    <n v="1"/>
    <s v="Y"/>
    <x v="1"/>
    <n v="14"/>
    <n v="3"/>
    <n v="2"/>
    <n v="80"/>
    <n v="0"/>
    <n v="4"/>
    <n v="2"/>
    <x v="3"/>
    <x v="4"/>
    <x v="2"/>
    <n v="1"/>
  </r>
  <r>
    <s v="RM1274"/>
    <n v="22"/>
    <x v="0"/>
    <s v="Yes"/>
    <n v="1"/>
    <s v="Travel_Rarely"/>
    <n v="1294"/>
    <x v="0"/>
    <x v="3"/>
    <x v="2"/>
    <x v="1"/>
    <n v="1"/>
    <n v="1783"/>
    <x v="0"/>
    <x v="1"/>
    <n v="79"/>
    <n v="3"/>
    <x v="0"/>
    <x v="0"/>
    <x v="3"/>
    <x v="2"/>
    <n v="2398"/>
    <x v="0"/>
    <n v="15999"/>
    <n v="1"/>
    <s v="Y"/>
    <x v="1"/>
    <n v="17"/>
    <n v="3"/>
    <n v="3"/>
    <n v="80"/>
    <n v="0"/>
    <n v="1"/>
    <n v="6"/>
    <x v="0"/>
    <x v="1"/>
    <x v="0"/>
    <n v="0"/>
  </r>
  <r>
    <s v="RM1340"/>
    <n v="22"/>
    <x v="0"/>
    <s v="Yes"/>
    <n v="1"/>
    <s v="Travel_Rarely"/>
    <n v="391"/>
    <x v="0"/>
    <x v="17"/>
    <x v="2"/>
    <x v="0"/>
    <n v="1"/>
    <n v="1878"/>
    <x v="1"/>
    <x v="0"/>
    <n v="75"/>
    <n v="3"/>
    <x v="0"/>
    <x v="2"/>
    <x v="1"/>
    <x v="0"/>
    <n v="2472"/>
    <x v="0"/>
    <n v="26092"/>
    <n v="1"/>
    <s v="Y"/>
    <x v="1"/>
    <n v="23"/>
    <n v="4"/>
    <n v="1"/>
    <n v="80"/>
    <n v="0"/>
    <n v="1"/>
    <n v="2"/>
    <x v="0"/>
    <x v="1"/>
    <x v="0"/>
    <n v="0"/>
  </r>
  <r>
    <s v="RM1424"/>
    <n v="22"/>
    <x v="0"/>
    <s v="No"/>
    <n v="0"/>
    <s v="Travel_Rarely"/>
    <n v="581"/>
    <x v="0"/>
    <x v="4"/>
    <x v="1"/>
    <x v="0"/>
    <n v="1"/>
    <n v="2007"/>
    <x v="1"/>
    <x v="0"/>
    <n v="63"/>
    <n v="3"/>
    <x v="0"/>
    <x v="2"/>
    <x v="0"/>
    <x v="0"/>
    <n v="3375"/>
    <x v="0"/>
    <n v="17624"/>
    <n v="0"/>
    <s v="Y"/>
    <x v="0"/>
    <n v="12"/>
    <n v="3"/>
    <n v="4"/>
    <n v="80"/>
    <n v="0"/>
    <n v="4"/>
    <n v="2"/>
    <x v="1"/>
    <x v="3"/>
    <x v="2"/>
    <n v="1"/>
  </r>
  <r>
    <s v="RM087"/>
    <n v="23"/>
    <x v="0"/>
    <s v="No"/>
    <n v="0"/>
    <s v="Travel_Rarely"/>
    <n v="541"/>
    <x v="1"/>
    <x v="7"/>
    <x v="2"/>
    <x v="3"/>
    <n v="1"/>
    <n v="113"/>
    <x v="0"/>
    <x v="0"/>
    <n v="62"/>
    <n v="3"/>
    <x v="0"/>
    <x v="1"/>
    <x v="3"/>
    <x v="1"/>
    <n v="2322"/>
    <x v="0"/>
    <n v="9518"/>
    <n v="3"/>
    <s v="Y"/>
    <x v="0"/>
    <n v="13"/>
    <n v="3"/>
    <n v="3"/>
    <n v="80"/>
    <n v="1"/>
    <n v="3"/>
    <n v="3"/>
    <x v="0"/>
    <x v="0"/>
    <x v="0"/>
    <n v="0"/>
  </r>
  <r>
    <s v="RM346"/>
    <n v="23"/>
    <x v="0"/>
    <s v="No"/>
    <n v="0"/>
    <s v="Travel_Rarely"/>
    <n v="1309"/>
    <x v="0"/>
    <x v="20"/>
    <x v="2"/>
    <x v="0"/>
    <n v="1"/>
    <n v="465"/>
    <x v="0"/>
    <x v="0"/>
    <n v="83"/>
    <n v="3"/>
    <x v="0"/>
    <x v="2"/>
    <x v="2"/>
    <x v="1"/>
    <n v="2904"/>
    <x v="0"/>
    <n v="16092"/>
    <n v="1"/>
    <s v="Y"/>
    <x v="0"/>
    <n v="12"/>
    <n v="3"/>
    <n v="3"/>
    <n v="80"/>
    <n v="2"/>
    <n v="4"/>
    <n v="2"/>
    <x v="3"/>
    <x v="4"/>
    <x v="2"/>
    <n v="0"/>
  </r>
  <r>
    <s v="RM517"/>
    <n v="23"/>
    <x v="0"/>
    <s v="No"/>
    <n v="0"/>
    <s v="Travel_Rarely"/>
    <n v="885"/>
    <x v="0"/>
    <x v="12"/>
    <x v="0"/>
    <x v="1"/>
    <n v="1"/>
    <n v="705"/>
    <x v="3"/>
    <x v="0"/>
    <n v="58"/>
    <n v="4"/>
    <x v="0"/>
    <x v="2"/>
    <x v="3"/>
    <x v="2"/>
    <n v="2819"/>
    <x v="0"/>
    <n v="8544"/>
    <n v="2"/>
    <s v="Y"/>
    <x v="0"/>
    <n v="16"/>
    <n v="3"/>
    <n v="1"/>
    <n v="80"/>
    <n v="1"/>
    <n v="5"/>
    <n v="3"/>
    <x v="1"/>
    <x v="3"/>
    <x v="2"/>
    <n v="0"/>
  </r>
  <r>
    <s v="RM551"/>
    <n v="23"/>
    <x v="0"/>
    <s v="No"/>
    <n v="0"/>
    <s v="Travel_Rarely"/>
    <n v="650"/>
    <x v="0"/>
    <x v="9"/>
    <x v="2"/>
    <x v="1"/>
    <n v="1"/>
    <n v="758"/>
    <x v="2"/>
    <x v="0"/>
    <n v="37"/>
    <n v="3"/>
    <x v="0"/>
    <x v="0"/>
    <x v="3"/>
    <x v="2"/>
    <n v="2500"/>
    <x v="0"/>
    <n v="4344"/>
    <n v="1"/>
    <s v="Y"/>
    <x v="0"/>
    <n v="14"/>
    <n v="3"/>
    <n v="4"/>
    <n v="80"/>
    <n v="1"/>
    <n v="5"/>
    <n v="2"/>
    <x v="1"/>
    <x v="4"/>
    <x v="3"/>
    <n v="0"/>
  </r>
  <r>
    <s v="RM566"/>
    <n v="23"/>
    <x v="0"/>
    <s v="No"/>
    <n v="0"/>
    <s v="Travel_Rarely"/>
    <n v="310"/>
    <x v="0"/>
    <x v="1"/>
    <x v="2"/>
    <x v="1"/>
    <n v="1"/>
    <n v="784"/>
    <x v="3"/>
    <x v="0"/>
    <n v="79"/>
    <n v="4"/>
    <x v="0"/>
    <x v="2"/>
    <x v="0"/>
    <x v="0"/>
    <n v="3505"/>
    <x v="0"/>
    <n v="19630"/>
    <n v="1"/>
    <s v="Y"/>
    <x v="0"/>
    <n v="18"/>
    <n v="3"/>
    <n v="4"/>
    <n v="80"/>
    <n v="0"/>
    <n v="2"/>
    <n v="3"/>
    <x v="0"/>
    <x v="2"/>
    <x v="2"/>
    <n v="0"/>
  </r>
  <r>
    <s v="RM586"/>
    <n v="23"/>
    <x v="0"/>
    <s v="Yes"/>
    <n v="1"/>
    <s v="Travel_Rarely"/>
    <n v="1243"/>
    <x v="0"/>
    <x v="11"/>
    <x v="0"/>
    <x v="0"/>
    <n v="1"/>
    <n v="811"/>
    <x v="0"/>
    <x v="0"/>
    <n v="63"/>
    <n v="4"/>
    <x v="0"/>
    <x v="0"/>
    <x v="3"/>
    <x v="2"/>
    <n v="1601"/>
    <x v="0"/>
    <n v="3445"/>
    <n v="1"/>
    <s v="Y"/>
    <x v="1"/>
    <n v="21"/>
    <n v="4"/>
    <n v="3"/>
    <n v="80"/>
    <n v="2"/>
    <n v="1"/>
    <n v="2"/>
    <x v="0"/>
    <x v="0"/>
    <x v="0"/>
    <n v="0"/>
  </r>
  <r>
    <s v="RM911"/>
    <n v="23"/>
    <x v="0"/>
    <s v="No"/>
    <n v="0"/>
    <s v="Travel_Rarely"/>
    <n v="373"/>
    <x v="0"/>
    <x v="4"/>
    <x v="1"/>
    <x v="0"/>
    <n v="1"/>
    <n v="1270"/>
    <x v="1"/>
    <x v="0"/>
    <n v="47"/>
    <n v="3"/>
    <x v="0"/>
    <x v="2"/>
    <x v="0"/>
    <x v="2"/>
    <n v="1223"/>
    <x v="0"/>
    <n v="16901"/>
    <n v="1"/>
    <s v="Y"/>
    <x v="0"/>
    <n v="22"/>
    <n v="4"/>
    <n v="4"/>
    <n v="80"/>
    <n v="1"/>
    <n v="1"/>
    <n v="2"/>
    <x v="0"/>
    <x v="1"/>
    <x v="0"/>
    <n v="0"/>
  </r>
  <r>
    <s v="RM1083"/>
    <n v="23"/>
    <x v="0"/>
    <s v="No"/>
    <n v="0"/>
    <s v="Travel_Rarely"/>
    <n v="507"/>
    <x v="0"/>
    <x v="21"/>
    <x v="2"/>
    <x v="0"/>
    <n v="1"/>
    <n v="1533"/>
    <x v="3"/>
    <x v="0"/>
    <n v="97"/>
    <n v="3"/>
    <x v="1"/>
    <x v="0"/>
    <x v="0"/>
    <x v="0"/>
    <n v="2272"/>
    <x v="0"/>
    <n v="24812"/>
    <n v="0"/>
    <s v="Y"/>
    <x v="0"/>
    <n v="14"/>
    <n v="3"/>
    <n v="2"/>
    <n v="80"/>
    <n v="0"/>
    <n v="5"/>
    <n v="2"/>
    <x v="0"/>
    <x v="4"/>
    <x v="3"/>
    <n v="1"/>
  </r>
  <r>
    <s v="RM1128"/>
    <n v="23"/>
    <x v="0"/>
    <s v="No"/>
    <n v="0"/>
    <s v="Travel_Rarely"/>
    <n v="977"/>
    <x v="0"/>
    <x v="1"/>
    <x v="0"/>
    <x v="3"/>
    <n v="1"/>
    <n v="1592"/>
    <x v="1"/>
    <x v="0"/>
    <n v="45"/>
    <n v="4"/>
    <x v="0"/>
    <x v="2"/>
    <x v="0"/>
    <x v="2"/>
    <n v="2073"/>
    <x v="0"/>
    <n v="12826"/>
    <n v="2"/>
    <s v="Y"/>
    <x v="0"/>
    <n v="16"/>
    <n v="3"/>
    <n v="4"/>
    <n v="80"/>
    <n v="1"/>
    <n v="4"/>
    <n v="2"/>
    <x v="0"/>
    <x v="2"/>
    <x v="2"/>
    <n v="2"/>
  </r>
  <r>
    <s v="RM1202"/>
    <n v="23"/>
    <x v="0"/>
    <s v="Yes"/>
    <n v="1"/>
    <s v="Travel_Rarely"/>
    <n v="1320"/>
    <x v="0"/>
    <x v="3"/>
    <x v="2"/>
    <x v="1"/>
    <n v="1"/>
    <n v="1684"/>
    <x v="1"/>
    <x v="0"/>
    <n v="93"/>
    <n v="2"/>
    <x v="0"/>
    <x v="0"/>
    <x v="0"/>
    <x v="0"/>
    <n v="3989"/>
    <x v="0"/>
    <n v="20586"/>
    <n v="1"/>
    <s v="Y"/>
    <x v="1"/>
    <n v="11"/>
    <n v="3"/>
    <n v="1"/>
    <n v="80"/>
    <n v="0"/>
    <n v="5"/>
    <n v="2"/>
    <x v="0"/>
    <x v="5"/>
    <x v="4"/>
    <n v="1"/>
  </r>
  <r>
    <s v="RM1214"/>
    <n v="23"/>
    <x v="0"/>
    <s v="Yes"/>
    <n v="1"/>
    <s v="Travel_Rarely"/>
    <n v="427"/>
    <x v="1"/>
    <x v="17"/>
    <x v="0"/>
    <x v="0"/>
    <n v="1"/>
    <n v="1702"/>
    <x v="0"/>
    <x v="0"/>
    <n v="99"/>
    <n v="3"/>
    <x v="0"/>
    <x v="1"/>
    <x v="2"/>
    <x v="1"/>
    <n v="2275"/>
    <x v="0"/>
    <n v="25103"/>
    <n v="1"/>
    <s v="Y"/>
    <x v="1"/>
    <n v="21"/>
    <n v="4"/>
    <n v="2"/>
    <n v="80"/>
    <n v="1"/>
    <n v="3"/>
    <n v="2"/>
    <x v="0"/>
    <x v="3"/>
    <x v="2"/>
    <n v="0"/>
  </r>
  <r>
    <s v="RM1239"/>
    <n v="23"/>
    <x v="0"/>
    <s v="No"/>
    <n v="0"/>
    <s v="Travel_Rarely"/>
    <n v="160"/>
    <x v="0"/>
    <x v="12"/>
    <x v="2"/>
    <x v="1"/>
    <n v="1"/>
    <n v="1735"/>
    <x v="0"/>
    <x v="1"/>
    <n v="51"/>
    <n v="3"/>
    <x v="0"/>
    <x v="0"/>
    <x v="1"/>
    <x v="0"/>
    <n v="3295"/>
    <x v="0"/>
    <n v="12862"/>
    <n v="1"/>
    <s v="Y"/>
    <x v="0"/>
    <n v="13"/>
    <n v="3"/>
    <n v="3"/>
    <n v="80"/>
    <n v="0"/>
    <n v="3"/>
    <n v="3"/>
    <x v="2"/>
    <x v="3"/>
    <x v="2"/>
    <n v="1"/>
  </r>
  <r>
    <s v="RM1409"/>
    <n v="23"/>
    <x v="0"/>
    <s v="No"/>
    <n v="0"/>
    <s v="Travel_Rarely"/>
    <n v="571"/>
    <x v="0"/>
    <x v="15"/>
    <x v="1"/>
    <x v="4"/>
    <n v="1"/>
    <n v="1982"/>
    <x v="1"/>
    <x v="0"/>
    <n v="78"/>
    <n v="3"/>
    <x v="0"/>
    <x v="0"/>
    <x v="2"/>
    <x v="0"/>
    <n v="2647"/>
    <x v="0"/>
    <n v="13672"/>
    <n v="1"/>
    <s v="Y"/>
    <x v="0"/>
    <n v="13"/>
    <n v="3"/>
    <n v="3"/>
    <n v="80"/>
    <n v="0"/>
    <n v="5"/>
    <n v="6"/>
    <x v="1"/>
    <x v="5"/>
    <x v="2"/>
    <n v="1"/>
  </r>
  <r>
    <s v="RM1439"/>
    <n v="23"/>
    <x v="0"/>
    <s v="Yes"/>
    <n v="1"/>
    <s v="Travel_Frequently"/>
    <n v="638"/>
    <x v="1"/>
    <x v="9"/>
    <x v="0"/>
    <x v="2"/>
    <n v="1"/>
    <n v="2023"/>
    <x v="1"/>
    <x v="0"/>
    <n v="33"/>
    <n v="3"/>
    <x v="0"/>
    <x v="1"/>
    <x v="3"/>
    <x v="2"/>
    <n v="1790"/>
    <x v="0"/>
    <n v="26956"/>
    <n v="1"/>
    <s v="Y"/>
    <x v="0"/>
    <n v="19"/>
    <n v="3"/>
    <n v="1"/>
    <n v="80"/>
    <n v="1"/>
    <n v="1"/>
    <n v="3"/>
    <x v="3"/>
    <x v="1"/>
    <x v="0"/>
    <n v="1"/>
  </r>
  <r>
    <s v="RM021"/>
    <n v="24"/>
    <x v="0"/>
    <s v="No"/>
    <n v="0"/>
    <s v="Non-Travel"/>
    <n v="673"/>
    <x v="0"/>
    <x v="13"/>
    <x v="1"/>
    <x v="4"/>
    <n v="1"/>
    <n v="26"/>
    <x v="3"/>
    <x v="1"/>
    <n v="96"/>
    <n v="4"/>
    <x v="1"/>
    <x v="4"/>
    <x v="0"/>
    <x v="1"/>
    <n v="4011"/>
    <x v="0"/>
    <n v="8232"/>
    <n v="0"/>
    <s v="Y"/>
    <x v="0"/>
    <n v="18"/>
    <n v="3"/>
    <n v="4"/>
    <n v="80"/>
    <n v="1"/>
    <n v="5"/>
    <n v="5"/>
    <x v="3"/>
    <x v="4"/>
    <x v="2"/>
    <n v="1"/>
  </r>
  <r>
    <s v="RM035"/>
    <n v="24"/>
    <x v="0"/>
    <s v="Yes"/>
    <n v="1"/>
    <s v="Travel_Rarely"/>
    <n v="813"/>
    <x v="0"/>
    <x v="4"/>
    <x v="0"/>
    <x v="1"/>
    <n v="1"/>
    <n v="45"/>
    <x v="2"/>
    <x v="0"/>
    <n v="61"/>
    <n v="3"/>
    <x v="0"/>
    <x v="2"/>
    <x v="2"/>
    <x v="2"/>
    <n v="2293"/>
    <x v="0"/>
    <n v="3020"/>
    <n v="2"/>
    <s v="Y"/>
    <x v="1"/>
    <n v="16"/>
    <n v="3"/>
    <n v="1"/>
    <n v="80"/>
    <n v="1"/>
    <n v="6"/>
    <n v="2"/>
    <x v="3"/>
    <x v="2"/>
    <x v="0"/>
    <n v="2"/>
  </r>
  <r>
    <s v="RM097"/>
    <n v="24"/>
    <x v="0"/>
    <s v="No"/>
    <n v="0"/>
    <s v="Travel_Rarely"/>
    <n v="1353"/>
    <x v="1"/>
    <x v="0"/>
    <x v="1"/>
    <x v="4"/>
    <n v="1"/>
    <n v="128"/>
    <x v="3"/>
    <x v="1"/>
    <n v="33"/>
    <n v="3"/>
    <x v="1"/>
    <x v="5"/>
    <x v="0"/>
    <x v="2"/>
    <n v="4999"/>
    <x v="0"/>
    <n v="17519"/>
    <n v="0"/>
    <s v="Y"/>
    <x v="0"/>
    <n v="21"/>
    <n v="4"/>
    <n v="1"/>
    <n v="80"/>
    <n v="1"/>
    <n v="4"/>
    <n v="2"/>
    <x v="3"/>
    <x v="3"/>
    <x v="2"/>
    <n v="0"/>
  </r>
  <r>
    <s v="RM114"/>
    <n v="24"/>
    <x v="0"/>
    <s v="No"/>
    <n v="0"/>
    <s v="Travel_Rarely"/>
    <n v="1127"/>
    <x v="0"/>
    <x v="16"/>
    <x v="2"/>
    <x v="0"/>
    <n v="1"/>
    <n v="150"/>
    <x v="2"/>
    <x v="0"/>
    <n v="52"/>
    <n v="3"/>
    <x v="0"/>
    <x v="0"/>
    <x v="0"/>
    <x v="2"/>
    <n v="2774"/>
    <x v="0"/>
    <n v="13257"/>
    <n v="0"/>
    <s v="Y"/>
    <x v="0"/>
    <n v="12"/>
    <n v="3"/>
    <n v="3"/>
    <n v="80"/>
    <n v="1"/>
    <n v="6"/>
    <n v="2"/>
    <x v="0"/>
    <x v="5"/>
    <x v="3"/>
    <n v="1"/>
  </r>
  <r>
    <s v="RM381"/>
    <n v="24"/>
    <x v="0"/>
    <s v="No"/>
    <n v="0"/>
    <s v="Travel_Rarely"/>
    <n v="1371"/>
    <x v="1"/>
    <x v="1"/>
    <x v="3"/>
    <x v="2"/>
    <n v="1"/>
    <n v="507"/>
    <x v="1"/>
    <x v="1"/>
    <n v="77"/>
    <n v="3"/>
    <x v="1"/>
    <x v="5"/>
    <x v="0"/>
    <x v="1"/>
    <n v="4260"/>
    <x v="0"/>
    <n v="5915"/>
    <n v="1"/>
    <s v="Y"/>
    <x v="1"/>
    <n v="12"/>
    <n v="3"/>
    <n v="4"/>
    <n v="80"/>
    <n v="1"/>
    <n v="5"/>
    <n v="2"/>
    <x v="1"/>
    <x v="5"/>
    <x v="2"/>
    <n v="0"/>
  </r>
  <r>
    <s v="RM415"/>
    <n v="24"/>
    <x v="0"/>
    <s v="Yes"/>
    <n v="1"/>
    <s v="Travel_Rarely"/>
    <n v="1448"/>
    <x v="1"/>
    <x v="4"/>
    <x v="2"/>
    <x v="3"/>
    <n v="1"/>
    <n v="554"/>
    <x v="3"/>
    <x v="1"/>
    <n v="62"/>
    <n v="3"/>
    <x v="0"/>
    <x v="1"/>
    <x v="1"/>
    <x v="0"/>
    <n v="3202"/>
    <x v="0"/>
    <n v="21972"/>
    <n v="1"/>
    <s v="Y"/>
    <x v="1"/>
    <n v="16"/>
    <n v="3"/>
    <n v="2"/>
    <n v="80"/>
    <n v="0"/>
    <n v="6"/>
    <n v="4"/>
    <x v="0"/>
    <x v="5"/>
    <x v="3"/>
    <n v="1"/>
  </r>
  <r>
    <s v="RM471"/>
    <n v="24"/>
    <x v="0"/>
    <s v="No"/>
    <n v="0"/>
    <s v="Travel_Frequently"/>
    <n v="535"/>
    <x v="1"/>
    <x v="22"/>
    <x v="0"/>
    <x v="1"/>
    <n v="1"/>
    <n v="632"/>
    <x v="1"/>
    <x v="0"/>
    <n v="38"/>
    <n v="3"/>
    <x v="0"/>
    <x v="1"/>
    <x v="2"/>
    <x v="2"/>
    <n v="2400"/>
    <x v="0"/>
    <n v="5530"/>
    <n v="0"/>
    <s v="Y"/>
    <x v="0"/>
    <n v="13"/>
    <n v="3"/>
    <n v="3"/>
    <n v="80"/>
    <n v="2"/>
    <n v="3"/>
    <n v="3"/>
    <x v="0"/>
    <x v="2"/>
    <x v="2"/>
    <n v="2"/>
  </r>
  <r>
    <s v="RM475"/>
    <n v="24"/>
    <x v="0"/>
    <s v="No"/>
    <n v="0"/>
    <s v="Travel_Rarely"/>
    <n v="691"/>
    <x v="0"/>
    <x v="23"/>
    <x v="0"/>
    <x v="1"/>
    <n v="1"/>
    <n v="639"/>
    <x v="2"/>
    <x v="0"/>
    <n v="89"/>
    <n v="4"/>
    <x v="0"/>
    <x v="2"/>
    <x v="2"/>
    <x v="2"/>
    <n v="2725"/>
    <x v="0"/>
    <n v="21630"/>
    <n v="1"/>
    <s v="Y"/>
    <x v="1"/>
    <n v="11"/>
    <n v="3"/>
    <n v="2"/>
    <n v="80"/>
    <n v="2"/>
    <n v="6"/>
    <n v="3"/>
    <x v="0"/>
    <x v="6"/>
    <x v="5"/>
    <n v="1"/>
  </r>
  <r>
    <s v="RM477"/>
    <n v="24"/>
    <x v="0"/>
    <s v="No"/>
    <n v="0"/>
    <s v="Travel_Rarely"/>
    <n v="823"/>
    <x v="0"/>
    <x v="24"/>
    <x v="1"/>
    <x v="4"/>
    <n v="1"/>
    <n v="643"/>
    <x v="1"/>
    <x v="0"/>
    <n v="94"/>
    <n v="2"/>
    <x v="0"/>
    <x v="0"/>
    <x v="1"/>
    <x v="2"/>
    <n v="2127"/>
    <x v="0"/>
    <n v="9100"/>
    <n v="1"/>
    <s v="Y"/>
    <x v="0"/>
    <n v="21"/>
    <n v="4"/>
    <n v="4"/>
    <n v="80"/>
    <n v="1"/>
    <n v="1"/>
    <n v="2"/>
    <x v="0"/>
    <x v="1"/>
    <x v="0"/>
    <n v="0"/>
  </r>
  <r>
    <s v="RM480"/>
    <n v="24"/>
    <x v="0"/>
    <s v="Yes"/>
    <n v="1"/>
    <s v="Travel_Frequently"/>
    <n v="1287"/>
    <x v="0"/>
    <x v="17"/>
    <x v="0"/>
    <x v="0"/>
    <n v="1"/>
    <n v="647"/>
    <x v="3"/>
    <x v="1"/>
    <n v="55"/>
    <n v="3"/>
    <x v="0"/>
    <x v="0"/>
    <x v="0"/>
    <x v="2"/>
    <n v="2886"/>
    <x v="0"/>
    <n v="14168"/>
    <n v="1"/>
    <s v="Y"/>
    <x v="1"/>
    <n v="16"/>
    <n v="3"/>
    <n v="4"/>
    <n v="80"/>
    <n v="1"/>
    <n v="6"/>
    <n v="4"/>
    <x v="0"/>
    <x v="6"/>
    <x v="3"/>
    <n v="1"/>
  </r>
  <r>
    <s v="RM526"/>
    <n v="24"/>
    <x v="0"/>
    <s v="Yes"/>
    <n v="1"/>
    <s v="Travel_Rarely"/>
    <n v="693"/>
    <x v="1"/>
    <x v="0"/>
    <x v="1"/>
    <x v="0"/>
    <n v="1"/>
    <n v="720"/>
    <x v="3"/>
    <x v="1"/>
    <n v="65"/>
    <n v="3"/>
    <x v="1"/>
    <x v="5"/>
    <x v="0"/>
    <x v="0"/>
    <n v="4577"/>
    <x v="0"/>
    <n v="24785"/>
    <n v="9"/>
    <s v="Y"/>
    <x v="0"/>
    <n v="14"/>
    <n v="3"/>
    <n v="1"/>
    <n v="80"/>
    <n v="0"/>
    <n v="4"/>
    <n v="3"/>
    <x v="0"/>
    <x v="2"/>
    <x v="2"/>
    <n v="2"/>
  </r>
  <r>
    <s v="RM587"/>
    <n v="24"/>
    <x v="0"/>
    <s v="No"/>
    <n v="0"/>
    <s v="Non-Travel"/>
    <n v="1092"/>
    <x v="0"/>
    <x v="9"/>
    <x v="0"/>
    <x v="0"/>
    <n v="1"/>
    <n v="812"/>
    <x v="0"/>
    <x v="0"/>
    <n v="60"/>
    <n v="2"/>
    <x v="0"/>
    <x v="0"/>
    <x v="1"/>
    <x v="1"/>
    <n v="2694"/>
    <x v="0"/>
    <n v="26551"/>
    <n v="1"/>
    <s v="Y"/>
    <x v="0"/>
    <n v="11"/>
    <n v="3"/>
    <n v="3"/>
    <n v="80"/>
    <n v="3"/>
    <n v="1"/>
    <n v="4"/>
    <x v="0"/>
    <x v="1"/>
    <x v="0"/>
    <n v="0"/>
  </r>
  <r>
    <s v="RM641"/>
    <n v="24"/>
    <x v="0"/>
    <s v="No"/>
    <n v="0"/>
    <s v="Non-Travel"/>
    <n v="1269"/>
    <x v="0"/>
    <x v="12"/>
    <x v="2"/>
    <x v="0"/>
    <n v="1"/>
    <n v="888"/>
    <x v="3"/>
    <x v="0"/>
    <n v="46"/>
    <n v="2"/>
    <x v="0"/>
    <x v="0"/>
    <x v="2"/>
    <x v="2"/>
    <n v="3162"/>
    <x v="0"/>
    <n v="10778"/>
    <n v="0"/>
    <s v="Y"/>
    <x v="0"/>
    <n v="17"/>
    <n v="3"/>
    <n v="4"/>
    <n v="80"/>
    <n v="0"/>
    <n v="6"/>
    <n v="2"/>
    <x v="3"/>
    <x v="5"/>
    <x v="2"/>
    <n v="3"/>
  </r>
  <r>
    <s v="RM725"/>
    <n v="24"/>
    <x v="0"/>
    <s v="No"/>
    <n v="0"/>
    <s v="Travel_Rarely"/>
    <n v="1206"/>
    <x v="0"/>
    <x v="24"/>
    <x v="2"/>
    <x v="1"/>
    <n v="1"/>
    <n v="1009"/>
    <x v="1"/>
    <x v="1"/>
    <n v="41"/>
    <n v="2"/>
    <x v="1"/>
    <x v="4"/>
    <x v="0"/>
    <x v="1"/>
    <n v="4377"/>
    <x v="0"/>
    <n v="24117"/>
    <n v="1"/>
    <s v="Y"/>
    <x v="0"/>
    <n v="15"/>
    <n v="3"/>
    <n v="2"/>
    <n v="80"/>
    <n v="2"/>
    <n v="5"/>
    <n v="6"/>
    <x v="0"/>
    <x v="4"/>
    <x v="2"/>
    <n v="3"/>
  </r>
  <r>
    <s v="RM842"/>
    <n v="24"/>
    <x v="0"/>
    <s v="No"/>
    <n v="0"/>
    <s v="Travel_Rarely"/>
    <n v="477"/>
    <x v="0"/>
    <x v="22"/>
    <x v="0"/>
    <x v="1"/>
    <n v="1"/>
    <n v="1173"/>
    <x v="1"/>
    <x v="0"/>
    <n v="49"/>
    <n v="3"/>
    <x v="0"/>
    <x v="0"/>
    <x v="1"/>
    <x v="0"/>
    <n v="3597"/>
    <x v="0"/>
    <n v="6409"/>
    <n v="8"/>
    <s v="Y"/>
    <x v="0"/>
    <n v="22"/>
    <n v="4"/>
    <n v="4"/>
    <n v="80"/>
    <n v="0"/>
    <n v="6"/>
    <n v="2"/>
    <x v="0"/>
    <x v="4"/>
    <x v="3"/>
    <n v="1"/>
  </r>
  <r>
    <s v="RM872"/>
    <n v="24"/>
    <x v="0"/>
    <s v="Yes"/>
    <n v="1"/>
    <s v="Travel_Rarely"/>
    <n v="984"/>
    <x v="0"/>
    <x v="24"/>
    <x v="1"/>
    <x v="0"/>
    <n v="1"/>
    <n v="1219"/>
    <x v="1"/>
    <x v="1"/>
    <n v="97"/>
    <n v="3"/>
    <x v="0"/>
    <x v="0"/>
    <x v="1"/>
    <x v="2"/>
    <n v="2210"/>
    <x v="0"/>
    <n v="3372"/>
    <n v="1"/>
    <s v="Y"/>
    <x v="0"/>
    <n v="13"/>
    <n v="3"/>
    <n v="1"/>
    <n v="80"/>
    <n v="1"/>
    <n v="1"/>
    <n v="3"/>
    <x v="2"/>
    <x v="1"/>
    <x v="0"/>
    <n v="0"/>
  </r>
  <r>
    <s v="RM1026"/>
    <n v="24"/>
    <x v="0"/>
    <s v="No"/>
    <n v="0"/>
    <s v="Travel_Rarely"/>
    <n v="1476"/>
    <x v="1"/>
    <x v="12"/>
    <x v="2"/>
    <x v="1"/>
    <n v="1"/>
    <n v="1445"/>
    <x v="1"/>
    <x v="1"/>
    <n v="42"/>
    <n v="3"/>
    <x v="1"/>
    <x v="5"/>
    <x v="0"/>
    <x v="2"/>
    <n v="4162"/>
    <x v="0"/>
    <n v="15211"/>
    <n v="1"/>
    <s v="Y"/>
    <x v="1"/>
    <n v="12"/>
    <n v="3"/>
    <n v="3"/>
    <n v="80"/>
    <n v="2"/>
    <n v="5"/>
    <n v="3"/>
    <x v="0"/>
    <x v="5"/>
    <x v="4"/>
    <n v="0"/>
  </r>
  <r>
    <s v="RM1061"/>
    <n v="24"/>
    <x v="0"/>
    <s v="Yes"/>
    <n v="1"/>
    <s v="Travel_Frequently"/>
    <n v="381"/>
    <x v="0"/>
    <x v="9"/>
    <x v="0"/>
    <x v="1"/>
    <n v="1"/>
    <n v="1494"/>
    <x v="2"/>
    <x v="0"/>
    <n v="89"/>
    <n v="3"/>
    <x v="0"/>
    <x v="0"/>
    <x v="3"/>
    <x v="0"/>
    <n v="3172"/>
    <x v="0"/>
    <n v="16998"/>
    <n v="2"/>
    <s v="Y"/>
    <x v="1"/>
    <n v="11"/>
    <n v="3"/>
    <n v="3"/>
    <n v="80"/>
    <n v="0"/>
    <n v="4"/>
    <n v="2"/>
    <x v="3"/>
    <x v="0"/>
    <x v="0"/>
    <n v="0"/>
  </r>
  <r>
    <s v="RM1062"/>
    <n v="24"/>
    <x v="0"/>
    <s v="No"/>
    <n v="0"/>
    <s v="Non-Travel"/>
    <n v="830"/>
    <x v="1"/>
    <x v="25"/>
    <x v="1"/>
    <x v="0"/>
    <n v="1"/>
    <n v="1495"/>
    <x v="1"/>
    <x v="1"/>
    <n v="78"/>
    <n v="3"/>
    <x v="0"/>
    <x v="1"/>
    <x v="1"/>
    <x v="2"/>
    <n v="2033"/>
    <x v="0"/>
    <n v="7103"/>
    <n v="1"/>
    <s v="Y"/>
    <x v="0"/>
    <n v="13"/>
    <n v="3"/>
    <n v="3"/>
    <n v="80"/>
    <n v="1"/>
    <n v="1"/>
    <n v="2"/>
    <x v="0"/>
    <x v="1"/>
    <x v="0"/>
    <n v="0"/>
  </r>
  <r>
    <s v="RM1098"/>
    <n v="24"/>
    <x v="0"/>
    <s v="No"/>
    <n v="0"/>
    <s v="Travel_Rarely"/>
    <n v="350"/>
    <x v="0"/>
    <x v="8"/>
    <x v="1"/>
    <x v="3"/>
    <n v="1"/>
    <n v="1551"/>
    <x v="0"/>
    <x v="0"/>
    <n v="57"/>
    <n v="2"/>
    <x v="0"/>
    <x v="0"/>
    <x v="3"/>
    <x v="1"/>
    <n v="2296"/>
    <x v="0"/>
    <n v="10036"/>
    <n v="0"/>
    <s v="Y"/>
    <x v="0"/>
    <n v="14"/>
    <n v="3"/>
    <n v="2"/>
    <n v="80"/>
    <n v="3"/>
    <n v="2"/>
    <n v="3"/>
    <x v="0"/>
    <x v="1"/>
    <x v="1"/>
    <n v="0"/>
  </r>
  <r>
    <s v="RM1169"/>
    <n v="24"/>
    <x v="0"/>
    <s v="No"/>
    <n v="0"/>
    <s v="Travel_Frequently"/>
    <n v="567"/>
    <x v="0"/>
    <x v="7"/>
    <x v="2"/>
    <x v="3"/>
    <n v="1"/>
    <n v="1646"/>
    <x v="3"/>
    <x v="1"/>
    <n v="32"/>
    <n v="3"/>
    <x v="0"/>
    <x v="2"/>
    <x v="2"/>
    <x v="0"/>
    <n v="3760"/>
    <x v="0"/>
    <n v="17218"/>
    <n v="1"/>
    <s v="Y"/>
    <x v="1"/>
    <n v="13"/>
    <n v="3"/>
    <n v="3"/>
    <n v="80"/>
    <n v="0"/>
    <n v="6"/>
    <n v="2"/>
    <x v="0"/>
    <x v="6"/>
    <x v="3"/>
    <n v="1"/>
  </r>
  <r>
    <s v="RM1218"/>
    <n v="24"/>
    <x v="0"/>
    <s v="No"/>
    <n v="0"/>
    <s v="Travel_Rarely"/>
    <n v="581"/>
    <x v="0"/>
    <x v="9"/>
    <x v="0"/>
    <x v="1"/>
    <n v="1"/>
    <n v="1707"/>
    <x v="0"/>
    <x v="0"/>
    <n v="62"/>
    <n v="4"/>
    <x v="0"/>
    <x v="2"/>
    <x v="0"/>
    <x v="2"/>
    <n v="4401"/>
    <x v="0"/>
    <n v="17616"/>
    <n v="1"/>
    <s v="Y"/>
    <x v="0"/>
    <n v="16"/>
    <n v="3"/>
    <n v="4"/>
    <n v="80"/>
    <n v="1"/>
    <n v="5"/>
    <n v="1"/>
    <x v="0"/>
    <x v="5"/>
    <x v="3"/>
    <n v="0"/>
  </r>
  <r>
    <s v="RM1223"/>
    <n v="24"/>
    <x v="0"/>
    <s v="Yes"/>
    <n v="1"/>
    <s v="Travel_Rarely"/>
    <n v="240"/>
    <x v="2"/>
    <x v="6"/>
    <x v="2"/>
    <x v="5"/>
    <n v="1"/>
    <n v="1714"/>
    <x v="1"/>
    <x v="0"/>
    <n v="58"/>
    <n v="1"/>
    <x v="0"/>
    <x v="3"/>
    <x v="0"/>
    <x v="2"/>
    <n v="1555"/>
    <x v="0"/>
    <n v="11585"/>
    <n v="1"/>
    <s v="Y"/>
    <x v="0"/>
    <n v="11"/>
    <n v="3"/>
    <n v="3"/>
    <n v="80"/>
    <n v="1"/>
    <n v="1"/>
    <n v="2"/>
    <x v="0"/>
    <x v="1"/>
    <x v="0"/>
    <n v="0"/>
  </r>
  <r>
    <s v="RM1231"/>
    <n v="24"/>
    <x v="0"/>
    <s v="No"/>
    <n v="0"/>
    <s v="Travel_Rarely"/>
    <n v="506"/>
    <x v="0"/>
    <x v="26"/>
    <x v="2"/>
    <x v="1"/>
    <n v="1"/>
    <n v="1725"/>
    <x v="2"/>
    <x v="0"/>
    <n v="91"/>
    <n v="3"/>
    <x v="0"/>
    <x v="0"/>
    <x v="3"/>
    <x v="1"/>
    <n v="3907"/>
    <x v="0"/>
    <n v="3622"/>
    <n v="1"/>
    <s v="Y"/>
    <x v="0"/>
    <n v="13"/>
    <n v="3"/>
    <n v="2"/>
    <n v="80"/>
    <n v="3"/>
    <n v="6"/>
    <n v="2"/>
    <x v="1"/>
    <x v="6"/>
    <x v="2"/>
    <n v="1"/>
  </r>
  <r>
    <s v="RM1246"/>
    <n v="24"/>
    <x v="0"/>
    <s v="No"/>
    <n v="0"/>
    <s v="Travel_Frequently"/>
    <n v="897"/>
    <x v="2"/>
    <x v="1"/>
    <x v="0"/>
    <x v="1"/>
    <n v="1"/>
    <n v="1746"/>
    <x v="3"/>
    <x v="0"/>
    <n v="59"/>
    <n v="3"/>
    <x v="0"/>
    <x v="3"/>
    <x v="2"/>
    <x v="2"/>
    <n v="2145"/>
    <x v="0"/>
    <n v="2097"/>
    <n v="0"/>
    <s v="Y"/>
    <x v="0"/>
    <n v="14"/>
    <n v="3"/>
    <n v="4"/>
    <n v="80"/>
    <n v="1"/>
    <n v="3"/>
    <n v="2"/>
    <x v="0"/>
    <x v="2"/>
    <x v="2"/>
    <n v="2"/>
  </r>
  <r>
    <s v="RM1408"/>
    <n v="24"/>
    <x v="0"/>
    <s v="No"/>
    <n v="0"/>
    <s v="Travel_Rarely"/>
    <n v="771"/>
    <x v="0"/>
    <x v="4"/>
    <x v="1"/>
    <x v="0"/>
    <n v="1"/>
    <n v="1981"/>
    <x v="2"/>
    <x v="0"/>
    <n v="45"/>
    <n v="2"/>
    <x v="1"/>
    <x v="6"/>
    <x v="0"/>
    <x v="0"/>
    <n v="4617"/>
    <x v="0"/>
    <n v="14120"/>
    <n v="1"/>
    <s v="Y"/>
    <x v="0"/>
    <n v="12"/>
    <n v="3"/>
    <n v="2"/>
    <n v="80"/>
    <n v="0"/>
    <n v="4"/>
    <n v="2"/>
    <x v="3"/>
    <x v="4"/>
    <x v="3"/>
    <n v="1"/>
  </r>
  <r>
    <s v="RM108"/>
    <n v="25"/>
    <x v="0"/>
    <s v="Yes"/>
    <n v="1"/>
    <s v="Travel_Rarely"/>
    <n v="240"/>
    <x v="1"/>
    <x v="2"/>
    <x v="0"/>
    <x v="2"/>
    <n v="1"/>
    <n v="142"/>
    <x v="0"/>
    <x v="0"/>
    <n v="46"/>
    <n v="2"/>
    <x v="1"/>
    <x v="5"/>
    <x v="0"/>
    <x v="0"/>
    <n v="5744"/>
    <x v="1"/>
    <n v="26959"/>
    <n v="1"/>
    <s v="Y"/>
    <x v="1"/>
    <n v="11"/>
    <n v="3"/>
    <n v="4"/>
    <n v="80"/>
    <n v="0"/>
    <n v="6"/>
    <n v="1"/>
    <x v="0"/>
    <x v="6"/>
    <x v="4"/>
    <n v="0"/>
  </r>
  <r>
    <s v="RM109"/>
    <n v="25"/>
    <x v="0"/>
    <s v="No"/>
    <n v="0"/>
    <s v="Travel_Rarely"/>
    <n v="1280"/>
    <x v="0"/>
    <x v="17"/>
    <x v="2"/>
    <x v="1"/>
    <n v="1"/>
    <n v="143"/>
    <x v="1"/>
    <x v="0"/>
    <n v="64"/>
    <n v="2"/>
    <x v="0"/>
    <x v="2"/>
    <x v="2"/>
    <x v="2"/>
    <n v="2889"/>
    <x v="0"/>
    <n v="26897"/>
    <n v="1"/>
    <s v="Y"/>
    <x v="0"/>
    <n v="11"/>
    <n v="3"/>
    <n v="3"/>
    <n v="80"/>
    <n v="2"/>
    <n v="2"/>
    <n v="2"/>
    <x v="0"/>
    <x v="2"/>
    <x v="2"/>
    <n v="2"/>
  </r>
  <r>
    <s v="RM139"/>
    <n v="25"/>
    <x v="0"/>
    <s v="No"/>
    <n v="0"/>
    <s v="Travel_Rarely"/>
    <n v="959"/>
    <x v="1"/>
    <x v="27"/>
    <x v="0"/>
    <x v="0"/>
    <n v="1"/>
    <n v="183"/>
    <x v="3"/>
    <x v="0"/>
    <n v="41"/>
    <n v="2"/>
    <x v="1"/>
    <x v="5"/>
    <x v="0"/>
    <x v="2"/>
    <n v="8639"/>
    <x v="1"/>
    <n v="24835"/>
    <n v="2"/>
    <s v="Y"/>
    <x v="0"/>
    <n v="18"/>
    <n v="3"/>
    <n v="4"/>
    <n v="80"/>
    <n v="0"/>
    <n v="6"/>
    <n v="3"/>
    <x v="0"/>
    <x v="2"/>
    <x v="2"/>
    <n v="2"/>
  </r>
  <r>
    <s v="RM256"/>
    <n v="25"/>
    <x v="0"/>
    <s v="No"/>
    <n v="0"/>
    <s v="Travel_Rarely"/>
    <n v="685"/>
    <x v="0"/>
    <x v="4"/>
    <x v="0"/>
    <x v="0"/>
    <n v="1"/>
    <n v="350"/>
    <x v="3"/>
    <x v="1"/>
    <n v="62"/>
    <n v="3"/>
    <x v="1"/>
    <x v="4"/>
    <x v="0"/>
    <x v="2"/>
    <n v="4898"/>
    <x v="0"/>
    <n v="7505"/>
    <n v="0"/>
    <s v="Y"/>
    <x v="0"/>
    <n v="12"/>
    <n v="3"/>
    <n v="4"/>
    <n v="80"/>
    <n v="2"/>
    <n v="5"/>
    <n v="3"/>
    <x v="0"/>
    <x v="4"/>
    <x v="2"/>
    <n v="1"/>
  </r>
  <r>
    <s v="RM268"/>
    <n v="25"/>
    <x v="0"/>
    <s v="No"/>
    <n v="0"/>
    <s v="Non-Travel"/>
    <n v="675"/>
    <x v="0"/>
    <x v="2"/>
    <x v="1"/>
    <x v="0"/>
    <n v="1"/>
    <n v="369"/>
    <x v="2"/>
    <x v="0"/>
    <n v="85"/>
    <n v="4"/>
    <x v="1"/>
    <x v="6"/>
    <x v="3"/>
    <x v="1"/>
    <n v="4000"/>
    <x v="0"/>
    <n v="18384"/>
    <n v="1"/>
    <s v="Y"/>
    <x v="0"/>
    <n v="12"/>
    <n v="3"/>
    <n v="4"/>
    <n v="80"/>
    <n v="2"/>
    <n v="6"/>
    <n v="2"/>
    <x v="0"/>
    <x v="6"/>
    <x v="3"/>
    <n v="1"/>
  </r>
  <r>
    <s v="RM398"/>
    <n v="25"/>
    <x v="0"/>
    <s v="No"/>
    <n v="0"/>
    <s v="Travel_Rarely"/>
    <n v="891"/>
    <x v="1"/>
    <x v="12"/>
    <x v="1"/>
    <x v="0"/>
    <n v="1"/>
    <n v="527"/>
    <x v="2"/>
    <x v="1"/>
    <n v="99"/>
    <n v="2"/>
    <x v="1"/>
    <x v="5"/>
    <x v="2"/>
    <x v="0"/>
    <n v="4487"/>
    <x v="0"/>
    <n v="12090"/>
    <n v="1"/>
    <s v="Y"/>
    <x v="1"/>
    <n v="11"/>
    <n v="3"/>
    <n v="2"/>
    <n v="80"/>
    <n v="0"/>
    <n v="5"/>
    <n v="3"/>
    <x v="0"/>
    <x v="5"/>
    <x v="4"/>
    <n v="1"/>
  </r>
  <r>
    <s v="RM406"/>
    <n v="25"/>
    <x v="0"/>
    <s v="Yes"/>
    <n v="1"/>
    <s v="Travel_Rarely"/>
    <n v="688"/>
    <x v="0"/>
    <x v="0"/>
    <x v="0"/>
    <x v="1"/>
    <n v="1"/>
    <n v="538"/>
    <x v="3"/>
    <x v="0"/>
    <n v="91"/>
    <n v="3"/>
    <x v="0"/>
    <x v="0"/>
    <x v="3"/>
    <x v="2"/>
    <n v="4031"/>
    <x v="0"/>
    <n v="9396"/>
    <n v="5"/>
    <s v="Y"/>
    <x v="0"/>
    <n v="13"/>
    <n v="3"/>
    <n v="3"/>
    <n v="80"/>
    <n v="1"/>
    <n v="6"/>
    <n v="5"/>
    <x v="0"/>
    <x v="2"/>
    <x v="2"/>
    <n v="0"/>
  </r>
  <r>
    <s v="RM479"/>
    <n v="25"/>
    <x v="0"/>
    <s v="No"/>
    <n v="0"/>
    <s v="Travel_Rarely"/>
    <n v="622"/>
    <x v="1"/>
    <x v="25"/>
    <x v="2"/>
    <x v="1"/>
    <n v="1"/>
    <n v="645"/>
    <x v="2"/>
    <x v="0"/>
    <n v="40"/>
    <n v="3"/>
    <x v="0"/>
    <x v="1"/>
    <x v="0"/>
    <x v="2"/>
    <n v="2096"/>
    <x v="0"/>
    <n v="26376"/>
    <n v="1"/>
    <s v="Y"/>
    <x v="0"/>
    <n v="11"/>
    <n v="3"/>
    <n v="3"/>
    <n v="80"/>
    <n v="0"/>
    <n v="7"/>
    <n v="1"/>
    <x v="0"/>
    <x v="7"/>
    <x v="4"/>
    <n v="0"/>
  </r>
  <r>
    <s v="RM518"/>
    <n v="25"/>
    <x v="0"/>
    <s v="No"/>
    <n v="0"/>
    <s v="Travel_Rarely"/>
    <n v="810"/>
    <x v="1"/>
    <x v="3"/>
    <x v="0"/>
    <x v="0"/>
    <n v="1"/>
    <n v="707"/>
    <x v="1"/>
    <x v="0"/>
    <n v="57"/>
    <n v="4"/>
    <x v="1"/>
    <x v="5"/>
    <x v="1"/>
    <x v="2"/>
    <n v="4851"/>
    <x v="0"/>
    <n v="15678"/>
    <n v="0"/>
    <s v="Y"/>
    <x v="0"/>
    <n v="22"/>
    <n v="4"/>
    <n v="3"/>
    <n v="80"/>
    <n v="1"/>
    <n v="4"/>
    <n v="4"/>
    <x v="0"/>
    <x v="3"/>
    <x v="2"/>
    <n v="1"/>
  </r>
  <r>
    <s v="RM564"/>
    <n v="25"/>
    <x v="0"/>
    <s v="No"/>
    <n v="0"/>
    <s v="Travel_Rarely"/>
    <n v="883"/>
    <x v="1"/>
    <x v="20"/>
    <x v="2"/>
    <x v="1"/>
    <n v="1"/>
    <n v="781"/>
    <x v="0"/>
    <x v="1"/>
    <n v="32"/>
    <n v="3"/>
    <x v="1"/>
    <x v="5"/>
    <x v="2"/>
    <x v="0"/>
    <n v="6180"/>
    <x v="1"/>
    <n v="22807"/>
    <n v="1"/>
    <s v="Y"/>
    <x v="0"/>
    <n v="23"/>
    <n v="4"/>
    <n v="2"/>
    <n v="80"/>
    <n v="0"/>
    <n v="6"/>
    <n v="5"/>
    <x v="3"/>
    <x v="6"/>
    <x v="5"/>
    <n v="1"/>
  </r>
  <r>
    <s v="RM619"/>
    <n v="25"/>
    <x v="0"/>
    <s v="No"/>
    <n v="0"/>
    <s v="Travel_Rarely"/>
    <n v="180"/>
    <x v="0"/>
    <x v="7"/>
    <x v="2"/>
    <x v="1"/>
    <n v="1"/>
    <n v="854"/>
    <x v="3"/>
    <x v="0"/>
    <n v="65"/>
    <n v="4"/>
    <x v="0"/>
    <x v="2"/>
    <x v="3"/>
    <x v="0"/>
    <n v="3424"/>
    <x v="0"/>
    <n v="21632"/>
    <n v="7"/>
    <s v="Y"/>
    <x v="0"/>
    <n v="13"/>
    <n v="3"/>
    <n v="3"/>
    <n v="80"/>
    <n v="0"/>
    <n v="6"/>
    <n v="3"/>
    <x v="3"/>
    <x v="4"/>
    <x v="3"/>
    <n v="0"/>
  </r>
  <r>
    <s v="RM635"/>
    <n v="25"/>
    <x v="0"/>
    <s v="No"/>
    <n v="0"/>
    <s v="Travel_Rarely"/>
    <n v="141"/>
    <x v="1"/>
    <x v="0"/>
    <x v="2"/>
    <x v="4"/>
    <n v="1"/>
    <n v="879"/>
    <x v="0"/>
    <x v="0"/>
    <n v="98"/>
    <n v="3"/>
    <x v="1"/>
    <x v="5"/>
    <x v="3"/>
    <x v="2"/>
    <n v="4194"/>
    <x v="0"/>
    <n v="14363"/>
    <n v="1"/>
    <s v="Y"/>
    <x v="1"/>
    <n v="18"/>
    <n v="3"/>
    <n v="4"/>
    <n v="80"/>
    <n v="0"/>
    <n v="5"/>
    <n v="3"/>
    <x v="0"/>
    <x v="5"/>
    <x v="3"/>
    <n v="0"/>
  </r>
  <r>
    <s v="RM639"/>
    <n v="25"/>
    <x v="0"/>
    <s v="No"/>
    <n v="0"/>
    <s v="Travel_Rarely"/>
    <n v="583"/>
    <x v="1"/>
    <x v="12"/>
    <x v="2"/>
    <x v="2"/>
    <n v="1"/>
    <n v="885"/>
    <x v="0"/>
    <x v="0"/>
    <n v="87"/>
    <n v="2"/>
    <x v="1"/>
    <x v="5"/>
    <x v="3"/>
    <x v="2"/>
    <n v="4256"/>
    <x v="0"/>
    <n v="18154"/>
    <n v="1"/>
    <s v="Y"/>
    <x v="0"/>
    <n v="12"/>
    <n v="3"/>
    <n v="1"/>
    <n v="80"/>
    <n v="0"/>
    <n v="5"/>
    <n v="1"/>
    <x v="1"/>
    <x v="5"/>
    <x v="2"/>
    <n v="0"/>
  </r>
  <r>
    <s v="RM684"/>
    <n v="25"/>
    <x v="0"/>
    <s v="Yes"/>
    <n v="1"/>
    <s v="Travel_Rarely"/>
    <n v="867"/>
    <x v="1"/>
    <x v="19"/>
    <x v="1"/>
    <x v="2"/>
    <n v="1"/>
    <n v="952"/>
    <x v="0"/>
    <x v="0"/>
    <n v="36"/>
    <n v="2"/>
    <x v="0"/>
    <x v="1"/>
    <x v="1"/>
    <x v="2"/>
    <n v="2413"/>
    <x v="0"/>
    <n v="18798"/>
    <n v="1"/>
    <s v="Y"/>
    <x v="1"/>
    <n v="18"/>
    <n v="3"/>
    <n v="3"/>
    <n v="80"/>
    <n v="3"/>
    <n v="1"/>
    <n v="2"/>
    <x v="0"/>
    <x v="1"/>
    <x v="0"/>
    <n v="0"/>
  </r>
  <r>
    <s v="RM797"/>
    <n v="25"/>
    <x v="0"/>
    <s v="Yes"/>
    <n v="1"/>
    <s v="Travel_Rarely"/>
    <n v="1219"/>
    <x v="0"/>
    <x v="12"/>
    <x v="2"/>
    <x v="3"/>
    <n v="1"/>
    <n v="1106"/>
    <x v="1"/>
    <x v="0"/>
    <n v="32"/>
    <n v="3"/>
    <x v="0"/>
    <x v="0"/>
    <x v="2"/>
    <x v="2"/>
    <n v="3691"/>
    <x v="0"/>
    <n v="4605"/>
    <n v="1"/>
    <s v="Y"/>
    <x v="1"/>
    <n v="15"/>
    <n v="3"/>
    <n v="2"/>
    <n v="80"/>
    <n v="1"/>
    <n v="7"/>
    <n v="3"/>
    <x v="1"/>
    <x v="7"/>
    <x v="6"/>
    <n v="5"/>
  </r>
  <r>
    <s v="RM886"/>
    <n v="25"/>
    <x v="0"/>
    <s v="No"/>
    <n v="0"/>
    <s v="Travel_Rarely"/>
    <n v="1356"/>
    <x v="1"/>
    <x v="1"/>
    <x v="3"/>
    <x v="0"/>
    <n v="1"/>
    <n v="1240"/>
    <x v="0"/>
    <x v="0"/>
    <n v="57"/>
    <n v="3"/>
    <x v="1"/>
    <x v="5"/>
    <x v="2"/>
    <x v="0"/>
    <n v="4950"/>
    <x v="0"/>
    <n v="20623"/>
    <n v="0"/>
    <s v="Y"/>
    <x v="0"/>
    <n v="14"/>
    <n v="3"/>
    <n v="2"/>
    <n v="80"/>
    <n v="0"/>
    <n v="5"/>
    <n v="4"/>
    <x v="0"/>
    <x v="4"/>
    <x v="3"/>
    <n v="1"/>
  </r>
  <r>
    <s v="RM912"/>
    <n v="25"/>
    <x v="0"/>
    <s v="Yes"/>
    <n v="1"/>
    <s v="Travel_Frequently"/>
    <n v="599"/>
    <x v="1"/>
    <x v="22"/>
    <x v="2"/>
    <x v="0"/>
    <n v="1"/>
    <n v="1273"/>
    <x v="0"/>
    <x v="0"/>
    <n v="73"/>
    <n v="1"/>
    <x v="0"/>
    <x v="1"/>
    <x v="2"/>
    <x v="0"/>
    <n v="1118"/>
    <x v="0"/>
    <n v="8040"/>
    <n v="1"/>
    <s v="Y"/>
    <x v="1"/>
    <n v="14"/>
    <n v="3"/>
    <n v="4"/>
    <n v="80"/>
    <n v="0"/>
    <n v="1"/>
    <n v="4"/>
    <x v="0"/>
    <x v="1"/>
    <x v="0"/>
    <n v="1"/>
  </r>
  <r>
    <s v="RM935"/>
    <n v="25"/>
    <x v="0"/>
    <s v="No"/>
    <n v="0"/>
    <s v="Travel_Rarely"/>
    <n v="266"/>
    <x v="0"/>
    <x v="4"/>
    <x v="0"/>
    <x v="1"/>
    <n v="1"/>
    <n v="1303"/>
    <x v="1"/>
    <x v="1"/>
    <n v="40"/>
    <n v="3"/>
    <x v="0"/>
    <x v="2"/>
    <x v="1"/>
    <x v="0"/>
    <n v="2096"/>
    <x v="0"/>
    <n v="18830"/>
    <n v="1"/>
    <s v="Y"/>
    <x v="0"/>
    <n v="18"/>
    <n v="3"/>
    <n v="4"/>
    <n v="80"/>
    <n v="0"/>
    <n v="2"/>
    <n v="3"/>
    <x v="3"/>
    <x v="2"/>
    <x v="2"/>
    <n v="2"/>
  </r>
  <r>
    <s v="RM966"/>
    <n v="25"/>
    <x v="0"/>
    <s v="No"/>
    <n v="0"/>
    <s v="Travel_Rarely"/>
    <n v="882"/>
    <x v="0"/>
    <x v="19"/>
    <x v="2"/>
    <x v="1"/>
    <n v="1"/>
    <n v="1358"/>
    <x v="1"/>
    <x v="0"/>
    <n v="67"/>
    <n v="3"/>
    <x v="0"/>
    <x v="0"/>
    <x v="2"/>
    <x v="2"/>
    <n v="3669"/>
    <x v="0"/>
    <n v="9075"/>
    <n v="3"/>
    <s v="Y"/>
    <x v="0"/>
    <n v="11"/>
    <n v="3"/>
    <n v="3"/>
    <n v="80"/>
    <n v="3"/>
    <n v="7"/>
    <n v="6"/>
    <x v="3"/>
    <x v="3"/>
    <x v="2"/>
    <n v="1"/>
  </r>
  <r>
    <s v="RM994"/>
    <n v="25"/>
    <x v="0"/>
    <s v="No"/>
    <n v="0"/>
    <s v="Travel_Rarely"/>
    <n v="1372"/>
    <x v="1"/>
    <x v="16"/>
    <x v="2"/>
    <x v="0"/>
    <n v="1"/>
    <n v="1399"/>
    <x v="3"/>
    <x v="0"/>
    <n v="93"/>
    <n v="4"/>
    <x v="1"/>
    <x v="5"/>
    <x v="0"/>
    <x v="2"/>
    <n v="6232"/>
    <x v="1"/>
    <n v="12477"/>
    <n v="2"/>
    <s v="Y"/>
    <x v="0"/>
    <n v="11"/>
    <n v="3"/>
    <n v="2"/>
    <n v="80"/>
    <n v="0"/>
    <n v="6"/>
    <n v="3"/>
    <x v="3"/>
    <x v="3"/>
    <x v="2"/>
    <n v="1"/>
  </r>
  <r>
    <s v="RM1004"/>
    <n v="25"/>
    <x v="0"/>
    <s v="No"/>
    <n v="0"/>
    <s v="Travel_Rarely"/>
    <n v="949"/>
    <x v="0"/>
    <x v="4"/>
    <x v="0"/>
    <x v="3"/>
    <n v="1"/>
    <n v="1415"/>
    <x v="3"/>
    <x v="0"/>
    <n v="81"/>
    <n v="3"/>
    <x v="0"/>
    <x v="0"/>
    <x v="2"/>
    <x v="2"/>
    <n v="3229"/>
    <x v="0"/>
    <n v="4910"/>
    <n v="4"/>
    <s v="Y"/>
    <x v="0"/>
    <n v="11"/>
    <n v="3"/>
    <n v="2"/>
    <n v="80"/>
    <n v="1"/>
    <n v="7"/>
    <n v="2"/>
    <x v="3"/>
    <x v="3"/>
    <x v="2"/>
    <n v="0"/>
  </r>
  <r>
    <s v="RM1022"/>
    <n v="25"/>
    <x v="0"/>
    <s v="Yes"/>
    <n v="1"/>
    <s v="Travel_Rarely"/>
    <n v="383"/>
    <x v="1"/>
    <x v="9"/>
    <x v="1"/>
    <x v="0"/>
    <n v="1"/>
    <n v="1439"/>
    <x v="3"/>
    <x v="0"/>
    <n v="68"/>
    <n v="2"/>
    <x v="0"/>
    <x v="1"/>
    <x v="3"/>
    <x v="2"/>
    <n v="4400"/>
    <x v="0"/>
    <n v="15182"/>
    <n v="3"/>
    <s v="Y"/>
    <x v="0"/>
    <n v="12"/>
    <n v="3"/>
    <n v="1"/>
    <n v="80"/>
    <n v="0"/>
    <n v="6"/>
    <n v="2"/>
    <x v="0"/>
    <x v="3"/>
    <x v="2"/>
    <n v="2"/>
  </r>
  <r>
    <s v="RM1175"/>
    <n v="25"/>
    <x v="0"/>
    <s v="No"/>
    <n v="0"/>
    <s v="Travel_Frequently"/>
    <n v="772"/>
    <x v="0"/>
    <x v="7"/>
    <x v="2"/>
    <x v="0"/>
    <n v="1"/>
    <n v="1653"/>
    <x v="1"/>
    <x v="0"/>
    <n v="77"/>
    <n v="4"/>
    <x v="1"/>
    <x v="4"/>
    <x v="0"/>
    <x v="1"/>
    <n v="5206"/>
    <x v="1"/>
    <n v="4973"/>
    <n v="1"/>
    <s v="Y"/>
    <x v="0"/>
    <n v="17"/>
    <n v="3"/>
    <n v="3"/>
    <n v="80"/>
    <n v="2"/>
    <n v="7"/>
    <n v="6"/>
    <x v="0"/>
    <x v="7"/>
    <x v="6"/>
    <n v="0"/>
  </r>
  <r>
    <s v="RM1412"/>
    <n v="25"/>
    <x v="0"/>
    <s v="No"/>
    <n v="0"/>
    <s v="Travel_Rarely"/>
    <n v="309"/>
    <x v="2"/>
    <x v="7"/>
    <x v="0"/>
    <x v="5"/>
    <n v="1"/>
    <n v="1987"/>
    <x v="0"/>
    <x v="1"/>
    <n v="82"/>
    <n v="3"/>
    <x v="0"/>
    <x v="3"/>
    <x v="1"/>
    <x v="2"/>
    <n v="2187"/>
    <x v="0"/>
    <n v="19655"/>
    <n v="4"/>
    <s v="Y"/>
    <x v="0"/>
    <n v="14"/>
    <n v="3"/>
    <n v="3"/>
    <n v="80"/>
    <n v="0"/>
    <n v="6"/>
    <n v="3"/>
    <x v="0"/>
    <x v="2"/>
    <x v="0"/>
    <n v="1"/>
  </r>
  <r>
    <s v="RM1414"/>
    <n v="25"/>
    <x v="0"/>
    <s v="No"/>
    <n v="0"/>
    <s v="Travel_Rarely"/>
    <n v="977"/>
    <x v="0"/>
    <x v="7"/>
    <x v="2"/>
    <x v="4"/>
    <n v="1"/>
    <n v="1992"/>
    <x v="1"/>
    <x v="0"/>
    <n v="57"/>
    <n v="3"/>
    <x v="0"/>
    <x v="0"/>
    <x v="0"/>
    <x v="1"/>
    <n v="3977"/>
    <x v="0"/>
    <n v="7298"/>
    <n v="6"/>
    <s v="Y"/>
    <x v="1"/>
    <n v="19"/>
    <n v="3"/>
    <n v="3"/>
    <n v="80"/>
    <n v="1"/>
    <n v="7"/>
    <n v="2"/>
    <x v="3"/>
    <x v="2"/>
    <x v="2"/>
    <n v="0"/>
  </r>
  <r>
    <s v="RM1434"/>
    <n v="25"/>
    <x v="0"/>
    <s v="No"/>
    <n v="0"/>
    <s v="Travel_Rarely"/>
    <n v="1382"/>
    <x v="1"/>
    <x v="3"/>
    <x v="1"/>
    <x v="4"/>
    <n v="1"/>
    <n v="2018"/>
    <x v="3"/>
    <x v="1"/>
    <n v="85"/>
    <n v="3"/>
    <x v="1"/>
    <x v="5"/>
    <x v="0"/>
    <x v="1"/>
    <n v="4907"/>
    <x v="0"/>
    <n v="13684"/>
    <n v="0"/>
    <s v="Y"/>
    <x v="1"/>
    <n v="22"/>
    <n v="4"/>
    <n v="2"/>
    <n v="80"/>
    <n v="1"/>
    <n v="6"/>
    <n v="3"/>
    <x v="3"/>
    <x v="5"/>
    <x v="3"/>
    <n v="0"/>
  </r>
  <r>
    <s v="RM043"/>
    <n v="26"/>
    <x v="1"/>
    <s v="Yes"/>
    <n v="1"/>
    <s v="Travel_Rarely"/>
    <n v="1357"/>
    <x v="0"/>
    <x v="10"/>
    <x v="0"/>
    <x v="0"/>
    <n v="1"/>
    <n v="55"/>
    <x v="3"/>
    <x v="0"/>
    <n v="48"/>
    <n v="1"/>
    <x v="0"/>
    <x v="0"/>
    <x v="0"/>
    <x v="0"/>
    <n v="2293"/>
    <x v="0"/>
    <n v="10558"/>
    <n v="1"/>
    <s v="Y"/>
    <x v="0"/>
    <n v="12"/>
    <n v="3"/>
    <n v="3"/>
    <n v="80"/>
    <n v="0"/>
    <n v="1"/>
    <n v="2"/>
    <x v="3"/>
    <x v="1"/>
    <x v="0"/>
    <n v="0"/>
  </r>
  <r>
    <s v="RM055"/>
    <n v="26"/>
    <x v="1"/>
    <s v="No"/>
    <n v="0"/>
    <s v="Travel_Rarely"/>
    <n v="1443"/>
    <x v="1"/>
    <x v="23"/>
    <x v="0"/>
    <x v="2"/>
    <n v="1"/>
    <n v="72"/>
    <x v="0"/>
    <x v="1"/>
    <n v="47"/>
    <n v="2"/>
    <x v="1"/>
    <x v="5"/>
    <x v="2"/>
    <x v="2"/>
    <n v="4157"/>
    <x v="0"/>
    <n v="21436"/>
    <n v="7"/>
    <s v="Y"/>
    <x v="1"/>
    <n v="19"/>
    <n v="3"/>
    <n v="3"/>
    <n v="80"/>
    <n v="1"/>
    <n v="5"/>
    <n v="2"/>
    <x v="3"/>
    <x v="2"/>
    <x v="2"/>
    <n v="0"/>
  </r>
  <r>
    <s v="RM126"/>
    <n v="26"/>
    <x v="1"/>
    <s v="No"/>
    <n v="0"/>
    <s v="Travel_Rarely"/>
    <n v="841"/>
    <x v="0"/>
    <x v="11"/>
    <x v="0"/>
    <x v="4"/>
    <n v="1"/>
    <n v="164"/>
    <x v="0"/>
    <x v="1"/>
    <n v="46"/>
    <n v="2"/>
    <x v="0"/>
    <x v="2"/>
    <x v="1"/>
    <x v="2"/>
    <n v="2368"/>
    <x v="0"/>
    <n v="23300"/>
    <n v="1"/>
    <s v="Y"/>
    <x v="0"/>
    <n v="19"/>
    <n v="3"/>
    <n v="3"/>
    <n v="80"/>
    <n v="0"/>
    <n v="5"/>
    <n v="3"/>
    <x v="3"/>
    <x v="5"/>
    <x v="4"/>
    <n v="4"/>
  </r>
  <r>
    <s v="RM135"/>
    <n v="26"/>
    <x v="1"/>
    <s v="No"/>
    <n v="0"/>
    <s v="Travel_Rarely"/>
    <n v="1355"/>
    <x v="2"/>
    <x v="10"/>
    <x v="2"/>
    <x v="0"/>
    <n v="1"/>
    <n v="177"/>
    <x v="0"/>
    <x v="1"/>
    <n v="61"/>
    <n v="3"/>
    <x v="0"/>
    <x v="3"/>
    <x v="0"/>
    <x v="2"/>
    <n v="2942"/>
    <x v="0"/>
    <n v="8916"/>
    <n v="1"/>
    <s v="Y"/>
    <x v="0"/>
    <n v="23"/>
    <n v="4"/>
    <n v="4"/>
    <n v="80"/>
    <n v="1"/>
    <n v="8"/>
    <n v="3"/>
    <x v="0"/>
    <x v="8"/>
    <x v="6"/>
    <n v="5"/>
  </r>
  <r>
    <s v="RM279"/>
    <n v="26"/>
    <x v="1"/>
    <s v="No"/>
    <n v="0"/>
    <s v="Travel_Frequently"/>
    <n v="1479"/>
    <x v="0"/>
    <x v="4"/>
    <x v="0"/>
    <x v="0"/>
    <n v="1"/>
    <n v="384"/>
    <x v="0"/>
    <x v="1"/>
    <n v="84"/>
    <n v="3"/>
    <x v="1"/>
    <x v="4"/>
    <x v="1"/>
    <x v="1"/>
    <n v="6397"/>
    <x v="1"/>
    <n v="26767"/>
    <n v="1"/>
    <s v="Y"/>
    <x v="0"/>
    <n v="20"/>
    <n v="4"/>
    <n v="1"/>
    <n v="80"/>
    <n v="1"/>
    <n v="6"/>
    <n v="6"/>
    <x v="2"/>
    <x v="6"/>
    <x v="5"/>
    <n v="1"/>
  </r>
  <r>
    <s v="RM285"/>
    <n v="26"/>
    <x v="1"/>
    <s v="No"/>
    <n v="0"/>
    <s v="Travel_Frequently"/>
    <n v="496"/>
    <x v="0"/>
    <x v="13"/>
    <x v="1"/>
    <x v="1"/>
    <n v="1"/>
    <n v="390"/>
    <x v="3"/>
    <x v="0"/>
    <n v="60"/>
    <n v="3"/>
    <x v="1"/>
    <x v="6"/>
    <x v="3"/>
    <x v="2"/>
    <n v="4741"/>
    <x v="0"/>
    <n v="22722"/>
    <n v="1"/>
    <s v="Y"/>
    <x v="1"/>
    <n v="13"/>
    <n v="3"/>
    <n v="3"/>
    <n v="80"/>
    <n v="1"/>
    <n v="5"/>
    <n v="3"/>
    <x v="0"/>
    <x v="5"/>
    <x v="3"/>
    <n v="3"/>
  </r>
  <r>
    <s v="RM289"/>
    <n v="26"/>
    <x v="1"/>
    <s v="Yes"/>
    <n v="1"/>
    <s v="Travel_Rarely"/>
    <n v="1449"/>
    <x v="0"/>
    <x v="18"/>
    <x v="3"/>
    <x v="1"/>
    <n v="1"/>
    <n v="394"/>
    <x v="3"/>
    <x v="0"/>
    <n v="45"/>
    <n v="3"/>
    <x v="0"/>
    <x v="0"/>
    <x v="1"/>
    <x v="1"/>
    <n v="2373"/>
    <x v="0"/>
    <n v="14180"/>
    <n v="2"/>
    <s v="Y"/>
    <x v="1"/>
    <n v="13"/>
    <n v="3"/>
    <n v="4"/>
    <n v="80"/>
    <n v="1"/>
    <n v="5"/>
    <n v="2"/>
    <x v="0"/>
    <x v="3"/>
    <x v="2"/>
    <n v="0"/>
  </r>
  <r>
    <s v="RM294"/>
    <n v="26"/>
    <x v="1"/>
    <s v="Yes"/>
    <n v="1"/>
    <s v="Travel_Rarely"/>
    <n v="950"/>
    <x v="1"/>
    <x v="12"/>
    <x v="3"/>
    <x v="2"/>
    <n v="1"/>
    <n v="401"/>
    <x v="1"/>
    <x v="0"/>
    <n v="48"/>
    <n v="2"/>
    <x v="1"/>
    <x v="5"/>
    <x v="2"/>
    <x v="0"/>
    <n v="5828"/>
    <x v="1"/>
    <n v="8450"/>
    <n v="1"/>
    <s v="Y"/>
    <x v="1"/>
    <n v="12"/>
    <n v="3"/>
    <n v="2"/>
    <n v="80"/>
    <n v="0"/>
    <n v="8"/>
    <n v="0"/>
    <x v="0"/>
    <x v="8"/>
    <x v="6"/>
    <n v="7"/>
  </r>
  <r>
    <s v="RM356"/>
    <n v="26"/>
    <x v="1"/>
    <s v="No"/>
    <n v="0"/>
    <s v="Travel_Rarely"/>
    <n v="933"/>
    <x v="1"/>
    <x v="4"/>
    <x v="0"/>
    <x v="0"/>
    <n v="1"/>
    <n v="476"/>
    <x v="0"/>
    <x v="0"/>
    <n v="57"/>
    <n v="3"/>
    <x v="1"/>
    <x v="5"/>
    <x v="0"/>
    <x v="2"/>
    <n v="5296"/>
    <x v="1"/>
    <n v="20156"/>
    <n v="1"/>
    <s v="Y"/>
    <x v="0"/>
    <n v="17"/>
    <n v="3"/>
    <n v="2"/>
    <n v="80"/>
    <n v="1"/>
    <n v="8"/>
    <n v="3"/>
    <x v="0"/>
    <x v="8"/>
    <x v="6"/>
    <n v="7"/>
  </r>
  <r>
    <s v="RM383"/>
    <n v="26"/>
    <x v="1"/>
    <s v="Yes"/>
    <n v="1"/>
    <s v="Travel_Frequently"/>
    <n v="575"/>
    <x v="0"/>
    <x v="0"/>
    <x v="2"/>
    <x v="3"/>
    <n v="1"/>
    <n v="510"/>
    <x v="0"/>
    <x v="0"/>
    <n v="73"/>
    <n v="3"/>
    <x v="0"/>
    <x v="2"/>
    <x v="3"/>
    <x v="0"/>
    <n v="3102"/>
    <x v="0"/>
    <n v="6582"/>
    <n v="0"/>
    <s v="Y"/>
    <x v="0"/>
    <n v="22"/>
    <n v="4"/>
    <n v="3"/>
    <n v="80"/>
    <n v="0"/>
    <n v="7"/>
    <n v="2"/>
    <x v="0"/>
    <x v="6"/>
    <x v="4"/>
    <n v="0"/>
  </r>
  <r>
    <s v="RM419"/>
    <n v="26"/>
    <x v="1"/>
    <s v="No"/>
    <n v="0"/>
    <s v="Travel_Rarely"/>
    <n v="1349"/>
    <x v="0"/>
    <x v="23"/>
    <x v="0"/>
    <x v="0"/>
    <n v="1"/>
    <n v="560"/>
    <x v="3"/>
    <x v="1"/>
    <n v="90"/>
    <n v="3"/>
    <x v="0"/>
    <x v="2"/>
    <x v="2"/>
    <x v="1"/>
    <n v="2886"/>
    <x v="0"/>
    <n v="3032"/>
    <n v="1"/>
    <s v="Y"/>
    <x v="0"/>
    <n v="22"/>
    <n v="4"/>
    <n v="2"/>
    <n v="80"/>
    <n v="2"/>
    <n v="3"/>
    <n v="3"/>
    <x v="2"/>
    <x v="3"/>
    <x v="2"/>
    <n v="0"/>
  </r>
  <r>
    <s v="RM454"/>
    <n v="26"/>
    <x v="1"/>
    <s v="Yes"/>
    <n v="1"/>
    <s v="Travel_Frequently"/>
    <n v="426"/>
    <x v="2"/>
    <x v="24"/>
    <x v="3"/>
    <x v="0"/>
    <n v="1"/>
    <n v="608"/>
    <x v="2"/>
    <x v="1"/>
    <n v="58"/>
    <n v="3"/>
    <x v="0"/>
    <x v="3"/>
    <x v="0"/>
    <x v="1"/>
    <n v="2741"/>
    <x v="0"/>
    <n v="22808"/>
    <n v="0"/>
    <s v="Y"/>
    <x v="1"/>
    <n v="11"/>
    <n v="3"/>
    <n v="2"/>
    <n v="80"/>
    <n v="1"/>
    <n v="8"/>
    <n v="2"/>
    <x v="3"/>
    <x v="7"/>
    <x v="6"/>
    <n v="1"/>
  </r>
  <r>
    <s v="RM461"/>
    <n v="26"/>
    <x v="1"/>
    <s v="No"/>
    <n v="0"/>
    <s v="Travel_Rarely"/>
    <n v="775"/>
    <x v="1"/>
    <x v="26"/>
    <x v="1"/>
    <x v="1"/>
    <n v="1"/>
    <n v="618"/>
    <x v="3"/>
    <x v="0"/>
    <n v="45"/>
    <n v="3"/>
    <x v="1"/>
    <x v="5"/>
    <x v="0"/>
    <x v="1"/>
    <n v="4306"/>
    <x v="0"/>
    <n v="4267"/>
    <n v="5"/>
    <s v="Y"/>
    <x v="0"/>
    <n v="12"/>
    <n v="3"/>
    <n v="1"/>
    <n v="80"/>
    <n v="2"/>
    <n v="8"/>
    <n v="5"/>
    <x v="0"/>
    <x v="0"/>
    <x v="0"/>
    <n v="0"/>
  </r>
  <r>
    <s v="RM464"/>
    <n v="26"/>
    <x v="1"/>
    <s v="Yes"/>
    <n v="1"/>
    <s v="Travel_Rarely"/>
    <n v="471"/>
    <x v="0"/>
    <x v="22"/>
    <x v="0"/>
    <x v="3"/>
    <n v="1"/>
    <n v="622"/>
    <x v="0"/>
    <x v="0"/>
    <n v="66"/>
    <n v="1"/>
    <x v="0"/>
    <x v="0"/>
    <x v="2"/>
    <x v="0"/>
    <n v="2340"/>
    <x v="0"/>
    <n v="23213"/>
    <n v="1"/>
    <s v="Y"/>
    <x v="1"/>
    <n v="18"/>
    <n v="3"/>
    <n v="2"/>
    <n v="80"/>
    <n v="0"/>
    <n v="1"/>
    <n v="3"/>
    <x v="2"/>
    <x v="1"/>
    <x v="0"/>
    <n v="0"/>
  </r>
  <r>
    <s v="RM476"/>
    <n v="26"/>
    <x v="1"/>
    <s v="No"/>
    <n v="0"/>
    <s v="Travel_Rarely"/>
    <n v="703"/>
    <x v="1"/>
    <x v="27"/>
    <x v="1"/>
    <x v="2"/>
    <n v="1"/>
    <n v="641"/>
    <x v="3"/>
    <x v="0"/>
    <n v="66"/>
    <n v="3"/>
    <x v="1"/>
    <x v="5"/>
    <x v="1"/>
    <x v="2"/>
    <n v="6272"/>
    <x v="1"/>
    <n v="7428"/>
    <n v="1"/>
    <s v="Y"/>
    <x v="0"/>
    <n v="20"/>
    <n v="4"/>
    <n v="4"/>
    <n v="80"/>
    <n v="2"/>
    <n v="6"/>
    <n v="5"/>
    <x v="1"/>
    <x v="5"/>
    <x v="3"/>
    <n v="1"/>
  </r>
  <r>
    <s v="RM506"/>
    <n v="26"/>
    <x v="1"/>
    <s v="No"/>
    <n v="0"/>
    <s v="Travel_Rarely"/>
    <n v="991"/>
    <x v="0"/>
    <x v="11"/>
    <x v="0"/>
    <x v="0"/>
    <n v="1"/>
    <n v="686"/>
    <x v="0"/>
    <x v="1"/>
    <n v="71"/>
    <n v="3"/>
    <x v="0"/>
    <x v="0"/>
    <x v="2"/>
    <x v="2"/>
    <n v="2659"/>
    <x v="0"/>
    <n v="17759"/>
    <n v="1"/>
    <s v="Y"/>
    <x v="1"/>
    <n v="13"/>
    <n v="3"/>
    <n v="3"/>
    <n v="80"/>
    <n v="1"/>
    <n v="3"/>
    <n v="2"/>
    <x v="0"/>
    <x v="3"/>
    <x v="2"/>
    <n v="0"/>
  </r>
  <r>
    <s v="RM572"/>
    <n v="26"/>
    <x v="1"/>
    <s v="No"/>
    <n v="0"/>
    <s v="Travel_Frequently"/>
    <n v="575"/>
    <x v="0"/>
    <x v="4"/>
    <x v="1"/>
    <x v="0"/>
    <n v="1"/>
    <n v="792"/>
    <x v="3"/>
    <x v="1"/>
    <n v="71"/>
    <n v="1"/>
    <x v="0"/>
    <x v="0"/>
    <x v="2"/>
    <x v="1"/>
    <n v="4364"/>
    <x v="0"/>
    <n v="5288"/>
    <n v="3"/>
    <s v="Y"/>
    <x v="0"/>
    <n v="14"/>
    <n v="3"/>
    <n v="1"/>
    <n v="80"/>
    <n v="1"/>
    <n v="5"/>
    <n v="2"/>
    <x v="0"/>
    <x v="2"/>
    <x v="2"/>
    <n v="2"/>
  </r>
  <r>
    <s v="RM574"/>
    <n v="26"/>
    <x v="1"/>
    <s v="Yes"/>
    <n v="1"/>
    <s v="Travel_Rarely"/>
    <n v="1146"/>
    <x v="1"/>
    <x v="3"/>
    <x v="0"/>
    <x v="3"/>
    <n v="1"/>
    <n v="796"/>
    <x v="1"/>
    <x v="0"/>
    <n v="38"/>
    <n v="2"/>
    <x v="1"/>
    <x v="5"/>
    <x v="3"/>
    <x v="0"/>
    <n v="5326"/>
    <x v="1"/>
    <n v="3064"/>
    <n v="6"/>
    <s v="Y"/>
    <x v="0"/>
    <n v="17"/>
    <n v="3"/>
    <n v="3"/>
    <n v="80"/>
    <n v="0"/>
    <n v="6"/>
    <n v="2"/>
    <x v="3"/>
    <x v="4"/>
    <x v="3"/>
    <n v="1"/>
  </r>
  <r>
    <s v="RM615"/>
    <n v="26"/>
    <x v="1"/>
    <s v="Yes"/>
    <n v="1"/>
    <s v="Travel_Frequently"/>
    <n v="887"/>
    <x v="0"/>
    <x v="2"/>
    <x v="1"/>
    <x v="1"/>
    <n v="1"/>
    <n v="848"/>
    <x v="0"/>
    <x v="1"/>
    <n v="88"/>
    <n v="2"/>
    <x v="0"/>
    <x v="2"/>
    <x v="0"/>
    <x v="2"/>
    <n v="2366"/>
    <x v="0"/>
    <n v="20898"/>
    <n v="1"/>
    <s v="Y"/>
    <x v="1"/>
    <n v="14"/>
    <n v="3"/>
    <n v="1"/>
    <n v="80"/>
    <n v="1"/>
    <n v="8"/>
    <n v="2"/>
    <x v="0"/>
    <x v="8"/>
    <x v="6"/>
    <n v="1"/>
  </r>
  <r>
    <s v="RM686"/>
    <n v="26"/>
    <x v="1"/>
    <s v="No"/>
    <n v="0"/>
    <s v="Travel_Frequently"/>
    <n v="1283"/>
    <x v="1"/>
    <x v="4"/>
    <x v="0"/>
    <x v="1"/>
    <n v="1"/>
    <n v="956"/>
    <x v="0"/>
    <x v="0"/>
    <n v="52"/>
    <n v="2"/>
    <x v="1"/>
    <x v="5"/>
    <x v="3"/>
    <x v="0"/>
    <n v="4294"/>
    <x v="0"/>
    <n v="11148"/>
    <n v="1"/>
    <s v="Y"/>
    <x v="0"/>
    <n v="12"/>
    <n v="3"/>
    <n v="2"/>
    <n v="80"/>
    <n v="0"/>
    <n v="7"/>
    <n v="2"/>
    <x v="0"/>
    <x v="7"/>
    <x v="6"/>
    <n v="0"/>
  </r>
  <r>
    <s v="RM734"/>
    <n v="26"/>
    <x v="1"/>
    <s v="No"/>
    <n v="0"/>
    <s v="Travel_Rarely"/>
    <n v="1066"/>
    <x v="0"/>
    <x v="7"/>
    <x v="1"/>
    <x v="1"/>
    <n v="1"/>
    <n v="1018"/>
    <x v="1"/>
    <x v="0"/>
    <n v="32"/>
    <n v="4"/>
    <x v="1"/>
    <x v="4"/>
    <x v="2"/>
    <x v="2"/>
    <n v="5472"/>
    <x v="1"/>
    <n v="3334"/>
    <n v="1"/>
    <s v="Y"/>
    <x v="0"/>
    <n v="12"/>
    <n v="3"/>
    <n v="2"/>
    <n v="80"/>
    <n v="0"/>
    <n v="8"/>
    <n v="2"/>
    <x v="0"/>
    <x v="8"/>
    <x v="6"/>
    <n v="1"/>
  </r>
  <r>
    <s v="RM749"/>
    <n v="26"/>
    <x v="1"/>
    <s v="Yes"/>
    <n v="1"/>
    <s v="Non-Travel"/>
    <n v="265"/>
    <x v="1"/>
    <x v="26"/>
    <x v="1"/>
    <x v="1"/>
    <n v="1"/>
    <n v="1037"/>
    <x v="2"/>
    <x v="0"/>
    <n v="79"/>
    <n v="1"/>
    <x v="1"/>
    <x v="5"/>
    <x v="3"/>
    <x v="0"/>
    <n v="4969"/>
    <x v="0"/>
    <n v="21813"/>
    <n v="8"/>
    <s v="Y"/>
    <x v="0"/>
    <n v="18"/>
    <n v="3"/>
    <n v="4"/>
    <n v="80"/>
    <n v="0"/>
    <n v="7"/>
    <n v="6"/>
    <x v="0"/>
    <x v="2"/>
    <x v="2"/>
    <n v="2"/>
  </r>
  <r>
    <s v="RM763"/>
    <n v="26"/>
    <x v="1"/>
    <s v="Yes"/>
    <n v="1"/>
    <s v="Travel_Frequently"/>
    <n v="342"/>
    <x v="0"/>
    <x v="7"/>
    <x v="0"/>
    <x v="0"/>
    <n v="1"/>
    <n v="1053"/>
    <x v="3"/>
    <x v="0"/>
    <n v="57"/>
    <n v="3"/>
    <x v="0"/>
    <x v="2"/>
    <x v="3"/>
    <x v="2"/>
    <n v="2042"/>
    <x v="0"/>
    <n v="15346"/>
    <n v="6"/>
    <s v="Y"/>
    <x v="1"/>
    <n v="14"/>
    <n v="3"/>
    <n v="2"/>
    <n v="80"/>
    <n v="1"/>
    <n v="6"/>
    <n v="2"/>
    <x v="0"/>
    <x v="3"/>
    <x v="2"/>
    <n v="1"/>
  </r>
  <r>
    <s v="RM770"/>
    <n v="26"/>
    <x v="1"/>
    <s v="No"/>
    <n v="0"/>
    <s v="Travel_Frequently"/>
    <n v="921"/>
    <x v="0"/>
    <x v="4"/>
    <x v="2"/>
    <x v="1"/>
    <n v="1"/>
    <n v="1068"/>
    <x v="3"/>
    <x v="1"/>
    <n v="66"/>
    <n v="2"/>
    <x v="0"/>
    <x v="2"/>
    <x v="0"/>
    <x v="1"/>
    <n v="2007"/>
    <x v="0"/>
    <n v="25265"/>
    <n v="1"/>
    <s v="Y"/>
    <x v="0"/>
    <n v="13"/>
    <n v="3"/>
    <n v="3"/>
    <n v="80"/>
    <n v="2"/>
    <n v="5"/>
    <n v="5"/>
    <x v="0"/>
    <x v="5"/>
    <x v="3"/>
    <n v="1"/>
  </r>
  <r>
    <s v="RM782"/>
    <n v="26"/>
    <x v="1"/>
    <s v="No"/>
    <n v="0"/>
    <s v="Travel_Rarely"/>
    <n v="192"/>
    <x v="0"/>
    <x v="4"/>
    <x v="1"/>
    <x v="1"/>
    <n v="1"/>
    <n v="1083"/>
    <x v="3"/>
    <x v="0"/>
    <n v="59"/>
    <n v="2"/>
    <x v="0"/>
    <x v="0"/>
    <x v="3"/>
    <x v="2"/>
    <n v="3955"/>
    <x v="0"/>
    <n v="11141"/>
    <n v="1"/>
    <s v="Y"/>
    <x v="0"/>
    <n v="16"/>
    <n v="3"/>
    <n v="1"/>
    <n v="80"/>
    <n v="2"/>
    <n v="6"/>
    <n v="2"/>
    <x v="0"/>
    <x v="5"/>
    <x v="3"/>
    <n v="1"/>
  </r>
  <r>
    <s v="RM798"/>
    <n v="26"/>
    <x v="1"/>
    <s v="Yes"/>
    <n v="1"/>
    <s v="Travel_Rarely"/>
    <n v="1330"/>
    <x v="0"/>
    <x v="8"/>
    <x v="0"/>
    <x v="1"/>
    <n v="1"/>
    <n v="1107"/>
    <x v="3"/>
    <x v="0"/>
    <n v="37"/>
    <n v="3"/>
    <x v="0"/>
    <x v="0"/>
    <x v="0"/>
    <x v="1"/>
    <n v="2377"/>
    <x v="0"/>
    <n v="19373"/>
    <n v="1"/>
    <s v="Y"/>
    <x v="0"/>
    <n v="20"/>
    <n v="4"/>
    <n v="3"/>
    <n v="80"/>
    <n v="1"/>
    <n v="1"/>
    <n v="0"/>
    <x v="3"/>
    <x v="1"/>
    <x v="1"/>
    <n v="0"/>
  </r>
  <r>
    <s v="RM844"/>
    <n v="26"/>
    <x v="1"/>
    <s v="No"/>
    <n v="0"/>
    <s v="Travel_Rarely"/>
    <n v="1384"/>
    <x v="0"/>
    <x v="0"/>
    <x v="3"/>
    <x v="1"/>
    <n v="1"/>
    <n v="1177"/>
    <x v="3"/>
    <x v="0"/>
    <n v="82"/>
    <n v="4"/>
    <x v="0"/>
    <x v="0"/>
    <x v="2"/>
    <x v="2"/>
    <n v="4420"/>
    <x v="0"/>
    <n v="13421"/>
    <n v="1"/>
    <s v="Y"/>
    <x v="0"/>
    <n v="22"/>
    <n v="4"/>
    <n v="2"/>
    <n v="80"/>
    <n v="1"/>
    <n v="8"/>
    <n v="2"/>
    <x v="0"/>
    <x v="8"/>
    <x v="6"/>
    <n v="0"/>
  </r>
  <r>
    <s v="RM913"/>
    <n v="26"/>
    <x v="1"/>
    <s v="No"/>
    <n v="0"/>
    <s v="Travel_Rarely"/>
    <n v="583"/>
    <x v="0"/>
    <x v="12"/>
    <x v="1"/>
    <x v="0"/>
    <n v="1"/>
    <n v="1275"/>
    <x v="0"/>
    <x v="0"/>
    <n v="53"/>
    <n v="3"/>
    <x v="0"/>
    <x v="2"/>
    <x v="2"/>
    <x v="0"/>
    <n v="2875"/>
    <x v="0"/>
    <n v="9973"/>
    <n v="1"/>
    <s v="Y"/>
    <x v="1"/>
    <n v="20"/>
    <n v="4"/>
    <n v="2"/>
    <n v="80"/>
    <n v="0"/>
    <n v="8"/>
    <n v="2"/>
    <x v="3"/>
    <x v="8"/>
    <x v="5"/>
    <n v="2"/>
  </r>
  <r>
    <s v="RM999"/>
    <n v="26"/>
    <x v="1"/>
    <s v="No"/>
    <n v="0"/>
    <s v="Travel_Rarely"/>
    <n v="683"/>
    <x v="0"/>
    <x v="7"/>
    <x v="2"/>
    <x v="1"/>
    <n v="1"/>
    <n v="1407"/>
    <x v="3"/>
    <x v="0"/>
    <n v="36"/>
    <n v="2"/>
    <x v="0"/>
    <x v="2"/>
    <x v="2"/>
    <x v="0"/>
    <n v="3904"/>
    <x v="0"/>
    <n v="4050"/>
    <n v="0"/>
    <s v="Y"/>
    <x v="0"/>
    <n v="12"/>
    <n v="3"/>
    <n v="4"/>
    <n v="80"/>
    <n v="0"/>
    <n v="5"/>
    <n v="2"/>
    <x v="0"/>
    <x v="4"/>
    <x v="3"/>
    <n v="1"/>
  </r>
  <r>
    <s v="RM1005"/>
    <n v="26"/>
    <x v="1"/>
    <s v="No"/>
    <n v="0"/>
    <s v="Travel_Rarely"/>
    <n v="652"/>
    <x v="0"/>
    <x v="17"/>
    <x v="0"/>
    <x v="4"/>
    <n v="1"/>
    <n v="1417"/>
    <x v="0"/>
    <x v="0"/>
    <n v="100"/>
    <n v="4"/>
    <x v="0"/>
    <x v="0"/>
    <x v="3"/>
    <x v="0"/>
    <n v="3578"/>
    <x v="0"/>
    <n v="23577"/>
    <n v="0"/>
    <s v="Y"/>
    <x v="0"/>
    <n v="12"/>
    <n v="3"/>
    <n v="4"/>
    <n v="80"/>
    <n v="0"/>
    <n v="8"/>
    <n v="2"/>
    <x v="0"/>
    <x v="7"/>
    <x v="6"/>
    <n v="0"/>
  </r>
  <r>
    <s v="RM1119"/>
    <n v="26"/>
    <x v="1"/>
    <s v="No"/>
    <n v="0"/>
    <s v="Travel_Rarely"/>
    <n v="474"/>
    <x v="0"/>
    <x v="0"/>
    <x v="0"/>
    <x v="0"/>
    <n v="1"/>
    <n v="1581"/>
    <x v="3"/>
    <x v="1"/>
    <n v="89"/>
    <n v="3"/>
    <x v="0"/>
    <x v="2"/>
    <x v="2"/>
    <x v="2"/>
    <n v="2061"/>
    <x v="0"/>
    <n v="11133"/>
    <n v="1"/>
    <s v="Y"/>
    <x v="0"/>
    <n v="21"/>
    <n v="4"/>
    <n v="1"/>
    <n v="80"/>
    <n v="0"/>
    <n v="1"/>
    <n v="5"/>
    <x v="0"/>
    <x v="1"/>
    <x v="0"/>
    <n v="0"/>
  </r>
  <r>
    <s v="RM1207"/>
    <n v="26"/>
    <x v="1"/>
    <s v="No"/>
    <n v="0"/>
    <s v="Non-Travel"/>
    <n v="786"/>
    <x v="0"/>
    <x v="17"/>
    <x v="0"/>
    <x v="1"/>
    <n v="1"/>
    <n v="1693"/>
    <x v="1"/>
    <x v="0"/>
    <n v="76"/>
    <n v="3"/>
    <x v="0"/>
    <x v="0"/>
    <x v="2"/>
    <x v="0"/>
    <n v="2570"/>
    <x v="0"/>
    <n v="11925"/>
    <n v="1"/>
    <s v="Y"/>
    <x v="0"/>
    <n v="20"/>
    <n v="4"/>
    <n v="3"/>
    <n v="80"/>
    <n v="0"/>
    <n v="7"/>
    <n v="5"/>
    <x v="0"/>
    <x v="7"/>
    <x v="6"/>
    <n v="5"/>
  </r>
  <r>
    <s v="RM1225"/>
    <n v="26"/>
    <x v="1"/>
    <s v="No"/>
    <n v="0"/>
    <s v="Travel_Rarely"/>
    <n v="390"/>
    <x v="0"/>
    <x v="24"/>
    <x v="3"/>
    <x v="1"/>
    <n v="1"/>
    <n v="1718"/>
    <x v="1"/>
    <x v="0"/>
    <n v="62"/>
    <n v="1"/>
    <x v="0"/>
    <x v="0"/>
    <x v="0"/>
    <x v="2"/>
    <n v="2305"/>
    <x v="0"/>
    <n v="6217"/>
    <n v="1"/>
    <s v="Y"/>
    <x v="0"/>
    <n v="15"/>
    <n v="3"/>
    <n v="3"/>
    <n v="80"/>
    <n v="3"/>
    <n v="3"/>
    <n v="3"/>
    <x v="1"/>
    <x v="3"/>
    <x v="2"/>
    <n v="0"/>
  </r>
  <r>
    <s v="RM1298"/>
    <n v="26"/>
    <x v="1"/>
    <s v="Yes"/>
    <n v="1"/>
    <s v="Travel_Rarely"/>
    <n v="920"/>
    <x v="2"/>
    <x v="21"/>
    <x v="1"/>
    <x v="1"/>
    <n v="1"/>
    <n v="1818"/>
    <x v="1"/>
    <x v="1"/>
    <n v="69"/>
    <n v="3"/>
    <x v="0"/>
    <x v="3"/>
    <x v="1"/>
    <x v="2"/>
    <n v="2148"/>
    <x v="0"/>
    <n v="6889"/>
    <n v="0"/>
    <s v="Y"/>
    <x v="1"/>
    <n v="11"/>
    <n v="3"/>
    <n v="3"/>
    <n v="80"/>
    <n v="0"/>
    <n v="6"/>
    <n v="3"/>
    <x v="0"/>
    <x v="5"/>
    <x v="1"/>
    <n v="1"/>
  </r>
  <r>
    <s v="RM1310"/>
    <n v="26"/>
    <x v="1"/>
    <s v="No"/>
    <n v="0"/>
    <s v="Travel_Rarely"/>
    <n v="572"/>
    <x v="1"/>
    <x v="1"/>
    <x v="0"/>
    <x v="1"/>
    <n v="1"/>
    <n v="1836"/>
    <x v="0"/>
    <x v="0"/>
    <n v="46"/>
    <n v="3"/>
    <x v="1"/>
    <x v="5"/>
    <x v="2"/>
    <x v="0"/>
    <n v="4684"/>
    <x v="0"/>
    <n v="9125"/>
    <n v="1"/>
    <s v="Y"/>
    <x v="0"/>
    <n v="13"/>
    <n v="3"/>
    <n v="1"/>
    <n v="80"/>
    <n v="0"/>
    <n v="5"/>
    <n v="4"/>
    <x v="0"/>
    <x v="5"/>
    <x v="3"/>
    <n v="1"/>
  </r>
  <r>
    <s v="RM1350"/>
    <n v="26"/>
    <x v="1"/>
    <s v="No"/>
    <n v="0"/>
    <s v="Travel_Rarely"/>
    <n v="482"/>
    <x v="0"/>
    <x v="4"/>
    <x v="1"/>
    <x v="0"/>
    <n v="1"/>
    <n v="1893"/>
    <x v="2"/>
    <x v="1"/>
    <n v="90"/>
    <n v="2"/>
    <x v="0"/>
    <x v="2"/>
    <x v="0"/>
    <x v="2"/>
    <n v="2933"/>
    <x v="0"/>
    <n v="14908"/>
    <n v="1"/>
    <s v="Y"/>
    <x v="1"/>
    <n v="13"/>
    <n v="3"/>
    <n v="3"/>
    <n v="80"/>
    <n v="1"/>
    <n v="1"/>
    <n v="3"/>
    <x v="3"/>
    <x v="1"/>
    <x v="0"/>
    <n v="1"/>
  </r>
  <r>
    <s v="RM1362"/>
    <n v="26"/>
    <x v="1"/>
    <s v="No"/>
    <n v="0"/>
    <s v="Travel_Frequently"/>
    <n v="1096"/>
    <x v="0"/>
    <x v="11"/>
    <x v="0"/>
    <x v="4"/>
    <n v="1"/>
    <n v="1918"/>
    <x v="0"/>
    <x v="0"/>
    <n v="61"/>
    <n v="4"/>
    <x v="0"/>
    <x v="0"/>
    <x v="2"/>
    <x v="2"/>
    <n v="2544"/>
    <x v="0"/>
    <n v="7102"/>
    <n v="0"/>
    <s v="Y"/>
    <x v="0"/>
    <n v="18"/>
    <n v="3"/>
    <n v="1"/>
    <n v="80"/>
    <n v="1"/>
    <n v="8"/>
    <n v="3"/>
    <x v="0"/>
    <x v="7"/>
    <x v="6"/>
    <n v="7"/>
  </r>
  <r>
    <s v="RM1387"/>
    <n v="26"/>
    <x v="1"/>
    <s v="No"/>
    <n v="0"/>
    <s v="Travel_Rarely"/>
    <n v="157"/>
    <x v="0"/>
    <x v="4"/>
    <x v="0"/>
    <x v="1"/>
    <n v="1"/>
    <n v="1952"/>
    <x v="0"/>
    <x v="0"/>
    <n v="95"/>
    <n v="3"/>
    <x v="0"/>
    <x v="0"/>
    <x v="3"/>
    <x v="0"/>
    <n v="2867"/>
    <x v="0"/>
    <n v="20006"/>
    <n v="0"/>
    <s v="Y"/>
    <x v="0"/>
    <n v="13"/>
    <n v="3"/>
    <n v="4"/>
    <n v="80"/>
    <n v="0"/>
    <n v="8"/>
    <n v="6"/>
    <x v="3"/>
    <x v="7"/>
    <x v="6"/>
    <n v="7"/>
  </r>
  <r>
    <s v="RM1465"/>
    <n v="26"/>
    <x v="1"/>
    <s v="No"/>
    <n v="0"/>
    <s v="Travel_Rarely"/>
    <n v="1167"/>
    <x v="1"/>
    <x v="2"/>
    <x v="0"/>
    <x v="4"/>
    <n v="1"/>
    <n v="2060"/>
    <x v="1"/>
    <x v="1"/>
    <n v="30"/>
    <n v="2"/>
    <x v="0"/>
    <x v="1"/>
    <x v="0"/>
    <x v="0"/>
    <n v="2966"/>
    <x v="0"/>
    <n v="21378"/>
    <n v="0"/>
    <s v="Y"/>
    <x v="0"/>
    <n v="18"/>
    <n v="3"/>
    <n v="4"/>
    <n v="80"/>
    <n v="0"/>
    <n v="5"/>
    <n v="2"/>
    <x v="0"/>
    <x v="4"/>
    <x v="2"/>
    <n v="0"/>
  </r>
  <r>
    <s v="RM005"/>
    <n v="27"/>
    <x v="1"/>
    <s v="No"/>
    <n v="0"/>
    <s v="Travel_Rarely"/>
    <n v="591"/>
    <x v="0"/>
    <x v="7"/>
    <x v="2"/>
    <x v="1"/>
    <n v="1"/>
    <n v="7"/>
    <x v="3"/>
    <x v="0"/>
    <n v="40"/>
    <n v="3"/>
    <x v="0"/>
    <x v="0"/>
    <x v="1"/>
    <x v="2"/>
    <n v="3468"/>
    <x v="0"/>
    <n v="16632"/>
    <n v="9"/>
    <s v="Y"/>
    <x v="0"/>
    <n v="12"/>
    <n v="3"/>
    <n v="4"/>
    <n v="80"/>
    <n v="1"/>
    <n v="6"/>
    <n v="3"/>
    <x v="0"/>
    <x v="2"/>
    <x v="2"/>
    <n v="2"/>
  </r>
  <r>
    <s v="RM042"/>
    <n v="27"/>
    <x v="1"/>
    <s v="No"/>
    <n v="0"/>
    <s v="Travel_Rarely"/>
    <n v="1240"/>
    <x v="0"/>
    <x v="7"/>
    <x v="3"/>
    <x v="0"/>
    <n v="1"/>
    <n v="54"/>
    <x v="1"/>
    <x v="1"/>
    <n v="33"/>
    <n v="3"/>
    <x v="0"/>
    <x v="0"/>
    <x v="3"/>
    <x v="1"/>
    <n v="2341"/>
    <x v="0"/>
    <n v="19715"/>
    <n v="1"/>
    <s v="Y"/>
    <x v="0"/>
    <n v="13"/>
    <n v="3"/>
    <n v="4"/>
    <n v="80"/>
    <n v="1"/>
    <n v="1"/>
    <n v="6"/>
    <x v="0"/>
    <x v="1"/>
    <x v="0"/>
    <n v="0"/>
  </r>
  <r>
    <s v="RM044"/>
    <n v="27"/>
    <x v="1"/>
    <s v="No"/>
    <n v="0"/>
    <s v="Travel_Frequently"/>
    <n v="994"/>
    <x v="1"/>
    <x v="3"/>
    <x v="0"/>
    <x v="0"/>
    <n v="1"/>
    <n v="56"/>
    <x v="1"/>
    <x v="0"/>
    <n v="37"/>
    <n v="3"/>
    <x v="2"/>
    <x v="5"/>
    <x v="0"/>
    <x v="0"/>
    <n v="8726"/>
    <x v="1"/>
    <n v="2975"/>
    <n v="1"/>
    <s v="Y"/>
    <x v="0"/>
    <n v="15"/>
    <n v="3"/>
    <n v="4"/>
    <n v="80"/>
    <n v="0"/>
    <n v="9"/>
    <n v="0"/>
    <x v="0"/>
    <x v="9"/>
    <x v="7"/>
    <n v="1"/>
  </r>
  <r>
    <s v="RM162"/>
    <n v="27"/>
    <x v="1"/>
    <s v="No"/>
    <n v="0"/>
    <s v="Non-Travel"/>
    <n v="691"/>
    <x v="0"/>
    <x v="9"/>
    <x v="0"/>
    <x v="1"/>
    <n v="1"/>
    <n v="218"/>
    <x v="1"/>
    <x v="0"/>
    <n v="57"/>
    <n v="3"/>
    <x v="0"/>
    <x v="2"/>
    <x v="1"/>
    <x v="1"/>
    <n v="2024"/>
    <x v="0"/>
    <n v="5970"/>
    <n v="6"/>
    <s v="Y"/>
    <x v="0"/>
    <n v="18"/>
    <n v="3"/>
    <n v="4"/>
    <n v="80"/>
    <n v="1"/>
    <n v="6"/>
    <n v="1"/>
    <x v="2"/>
    <x v="2"/>
    <x v="2"/>
    <n v="2"/>
  </r>
  <r>
    <s v="RM165"/>
    <n v="27"/>
    <x v="1"/>
    <s v="No"/>
    <n v="0"/>
    <s v="Non-Travel"/>
    <n v="1450"/>
    <x v="0"/>
    <x v="0"/>
    <x v="0"/>
    <x v="1"/>
    <n v="1"/>
    <n v="224"/>
    <x v="0"/>
    <x v="0"/>
    <n v="79"/>
    <n v="2"/>
    <x v="0"/>
    <x v="2"/>
    <x v="0"/>
    <x v="1"/>
    <n v="2566"/>
    <x v="0"/>
    <n v="25326"/>
    <n v="1"/>
    <s v="Y"/>
    <x v="1"/>
    <n v="15"/>
    <n v="3"/>
    <n v="4"/>
    <n v="80"/>
    <n v="1"/>
    <n v="1"/>
    <n v="2"/>
    <x v="3"/>
    <x v="1"/>
    <x v="1"/>
    <n v="0"/>
  </r>
  <r>
    <s v="RM171"/>
    <n v="27"/>
    <x v="1"/>
    <s v="No"/>
    <n v="0"/>
    <s v="Travel_Rarely"/>
    <n v="1157"/>
    <x v="0"/>
    <x v="24"/>
    <x v="0"/>
    <x v="3"/>
    <n v="1"/>
    <n v="233"/>
    <x v="0"/>
    <x v="0"/>
    <n v="51"/>
    <n v="3"/>
    <x v="0"/>
    <x v="2"/>
    <x v="1"/>
    <x v="2"/>
    <n v="3058"/>
    <x v="0"/>
    <n v="13364"/>
    <n v="0"/>
    <s v="Y"/>
    <x v="1"/>
    <n v="16"/>
    <n v="3"/>
    <n v="4"/>
    <n v="80"/>
    <n v="1"/>
    <n v="6"/>
    <n v="3"/>
    <x v="3"/>
    <x v="5"/>
    <x v="2"/>
    <n v="1"/>
  </r>
  <r>
    <s v="RM192"/>
    <n v="27"/>
    <x v="1"/>
    <s v="No"/>
    <n v="0"/>
    <s v="Travel_Rarely"/>
    <n v="894"/>
    <x v="0"/>
    <x v="9"/>
    <x v="0"/>
    <x v="1"/>
    <n v="1"/>
    <n v="260"/>
    <x v="1"/>
    <x v="1"/>
    <n v="99"/>
    <n v="3"/>
    <x v="0"/>
    <x v="2"/>
    <x v="1"/>
    <x v="0"/>
    <n v="2279"/>
    <x v="0"/>
    <n v="11781"/>
    <n v="1"/>
    <s v="Y"/>
    <x v="0"/>
    <n v="16"/>
    <n v="3"/>
    <n v="4"/>
    <n v="80"/>
    <n v="0"/>
    <n v="7"/>
    <n v="2"/>
    <x v="3"/>
    <x v="7"/>
    <x v="6"/>
    <n v="0"/>
  </r>
  <r>
    <s v="RM201"/>
    <n v="27"/>
    <x v="1"/>
    <s v="No"/>
    <n v="0"/>
    <s v="Travel_Frequently"/>
    <n v="472"/>
    <x v="0"/>
    <x v="4"/>
    <x v="2"/>
    <x v="3"/>
    <n v="1"/>
    <n v="274"/>
    <x v="0"/>
    <x v="0"/>
    <n v="60"/>
    <n v="2"/>
    <x v="1"/>
    <x v="4"/>
    <x v="3"/>
    <x v="2"/>
    <n v="4298"/>
    <x v="0"/>
    <n v="9679"/>
    <n v="5"/>
    <s v="Y"/>
    <x v="0"/>
    <n v="19"/>
    <n v="3"/>
    <n v="3"/>
    <n v="80"/>
    <n v="1"/>
    <n v="6"/>
    <n v="1"/>
    <x v="0"/>
    <x v="2"/>
    <x v="2"/>
    <n v="2"/>
  </r>
  <r>
    <s v="RM213"/>
    <n v="27"/>
    <x v="1"/>
    <s v="No"/>
    <n v="0"/>
    <s v="Travel_Frequently"/>
    <n v="1242"/>
    <x v="1"/>
    <x v="21"/>
    <x v="0"/>
    <x v="0"/>
    <n v="1"/>
    <n v="293"/>
    <x v="1"/>
    <x v="1"/>
    <n v="90"/>
    <n v="3"/>
    <x v="1"/>
    <x v="5"/>
    <x v="0"/>
    <x v="0"/>
    <n v="9981"/>
    <x v="1"/>
    <n v="12916"/>
    <n v="1"/>
    <s v="Y"/>
    <x v="0"/>
    <n v="14"/>
    <n v="3"/>
    <n v="4"/>
    <n v="80"/>
    <n v="0"/>
    <n v="7"/>
    <n v="2"/>
    <x v="0"/>
    <x v="7"/>
    <x v="6"/>
    <n v="0"/>
  </r>
  <r>
    <s v="RM319"/>
    <n v="27"/>
    <x v="1"/>
    <s v="No"/>
    <n v="0"/>
    <s v="Travel_Rarely"/>
    <n v="1220"/>
    <x v="0"/>
    <x v="2"/>
    <x v="0"/>
    <x v="0"/>
    <n v="1"/>
    <n v="434"/>
    <x v="0"/>
    <x v="1"/>
    <n v="85"/>
    <n v="3"/>
    <x v="0"/>
    <x v="2"/>
    <x v="1"/>
    <x v="0"/>
    <n v="2478"/>
    <x v="0"/>
    <n v="20938"/>
    <n v="1"/>
    <s v="Y"/>
    <x v="1"/>
    <n v="12"/>
    <n v="3"/>
    <n v="2"/>
    <n v="80"/>
    <n v="0"/>
    <n v="4"/>
    <n v="2"/>
    <x v="3"/>
    <x v="4"/>
    <x v="3"/>
    <n v="1"/>
  </r>
  <r>
    <s v="RM321"/>
    <n v="27"/>
    <x v="1"/>
    <s v="No"/>
    <n v="0"/>
    <s v="Travel_Rarely"/>
    <n v="1377"/>
    <x v="1"/>
    <x v="7"/>
    <x v="0"/>
    <x v="0"/>
    <n v="1"/>
    <n v="437"/>
    <x v="1"/>
    <x v="0"/>
    <n v="74"/>
    <n v="3"/>
    <x v="1"/>
    <x v="5"/>
    <x v="0"/>
    <x v="0"/>
    <n v="4478"/>
    <x v="0"/>
    <n v="5242"/>
    <n v="1"/>
    <s v="Y"/>
    <x v="1"/>
    <n v="11"/>
    <n v="3"/>
    <n v="1"/>
    <n v="80"/>
    <n v="0"/>
    <n v="5"/>
    <n v="3"/>
    <x v="0"/>
    <x v="5"/>
    <x v="4"/>
    <n v="0"/>
  </r>
  <r>
    <s v="RM332"/>
    <n v="27"/>
    <x v="1"/>
    <s v="No"/>
    <n v="0"/>
    <s v="Non-Travel"/>
    <n v="210"/>
    <x v="1"/>
    <x v="4"/>
    <x v="2"/>
    <x v="2"/>
    <n v="1"/>
    <n v="449"/>
    <x v="0"/>
    <x v="0"/>
    <n v="73"/>
    <n v="3"/>
    <x v="1"/>
    <x v="5"/>
    <x v="1"/>
    <x v="2"/>
    <n v="6349"/>
    <x v="1"/>
    <n v="22107"/>
    <n v="0"/>
    <s v="Y"/>
    <x v="1"/>
    <n v="13"/>
    <n v="3"/>
    <n v="4"/>
    <n v="80"/>
    <n v="1"/>
    <n v="6"/>
    <n v="0"/>
    <x v="0"/>
    <x v="5"/>
    <x v="4"/>
    <n v="1"/>
  </r>
  <r>
    <s v="RM340"/>
    <n v="27"/>
    <x v="1"/>
    <s v="No"/>
    <n v="0"/>
    <s v="Travel_Rarely"/>
    <n v="1130"/>
    <x v="1"/>
    <x v="3"/>
    <x v="3"/>
    <x v="2"/>
    <n v="1"/>
    <n v="458"/>
    <x v="2"/>
    <x v="1"/>
    <n v="56"/>
    <n v="3"/>
    <x v="1"/>
    <x v="5"/>
    <x v="1"/>
    <x v="2"/>
    <n v="6214"/>
    <x v="1"/>
    <n v="3415"/>
    <n v="1"/>
    <s v="Y"/>
    <x v="0"/>
    <n v="18"/>
    <n v="3"/>
    <n v="1"/>
    <n v="80"/>
    <n v="1"/>
    <n v="8"/>
    <n v="3"/>
    <x v="0"/>
    <x v="8"/>
    <x v="6"/>
    <n v="0"/>
  </r>
  <r>
    <s v="RM374"/>
    <n v="27"/>
    <x v="1"/>
    <s v="No"/>
    <n v="0"/>
    <s v="Travel_Rarely"/>
    <n v="1469"/>
    <x v="0"/>
    <x v="4"/>
    <x v="1"/>
    <x v="1"/>
    <n v="1"/>
    <n v="497"/>
    <x v="1"/>
    <x v="0"/>
    <n v="82"/>
    <n v="3"/>
    <x v="0"/>
    <x v="0"/>
    <x v="1"/>
    <x v="1"/>
    <n v="3816"/>
    <x v="0"/>
    <n v="17881"/>
    <n v="1"/>
    <s v="Y"/>
    <x v="0"/>
    <n v="11"/>
    <n v="3"/>
    <n v="2"/>
    <n v="80"/>
    <n v="1"/>
    <n v="5"/>
    <n v="2"/>
    <x v="0"/>
    <x v="5"/>
    <x v="2"/>
    <n v="0"/>
  </r>
  <r>
    <s v="RM486"/>
    <n v="27"/>
    <x v="1"/>
    <s v="No"/>
    <n v="0"/>
    <s v="Travel_Rarely"/>
    <n v="798"/>
    <x v="0"/>
    <x v="11"/>
    <x v="3"/>
    <x v="1"/>
    <n v="1"/>
    <n v="655"/>
    <x v="3"/>
    <x v="1"/>
    <n v="66"/>
    <n v="2"/>
    <x v="0"/>
    <x v="2"/>
    <x v="0"/>
    <x v="1"/>
    <n v="2187"/>
    <x v="0"/>
    <n v="5013"/>
    <n v="0"/>
    <s v="Y"/>
    <x v="0"/>
    <n v="12"/>
    <n v="3"/>
    <n v="3"/>
    <n v="80"/>
    <n v="2"/>
    <n v="6"/>
    <n v="5"/>
    <x v="3"/>
    <x v="5"/>
    <x v="3"/>
    <n v="0"/>
  </r>
  <r>
    <s v="RM496"/>
    <n v="27"/>
    <x v="1"/>
    <s v="Yes"/>
    <n v="1"/>
    <s v="Travel_Rarely"/>
    <n v="1420"/>
    <x v="1"/>
    <x v="7"/>
    <x v="2"/>
    <x v="2"/>
    <n v="1"/>
    <n v="667"/>
    <x v="0"/>
    <x v="0"/>
    <n v="85"/>
    <n v="3"/>
    <x v="0"/>
    <x v="1"/>
    <x v="3"/>
    <x v="1"/>
    <n v="3041"/>
    <x v="0"/>
    <n v="16346"/>
    <n v="0"/>
    <s v="Y"/>
    <x v="0"/>
    <n v="11"/>
    <n v="3"/>
    <n v="2"/>
    <n v="80"/>
    <n v="1"/>
    <n v="5"/>
    <n v="3"/>
    <x v="0"/>
    <x v="4"/>
    <x v="3"/>
    <n v="0"/>
  </r>
  <r>
    <s v="RM513"/>
    <n v="27"/>
    <x v="1"/>
    <s v="No"/>
    <n v="0"/>
    <s v="Travel_Rarely"/>
    <n v="1115"/>
    <x v="0"/>
    <x v="0"/>
    <x v="3"/>
    <x v="1"/>
    <n v="1"/>
    <n v="700"/>
    <x v="3"/>
    <x v="0"/>
    <n v="54"/>
    <n v="2"/>
    <x v="0"/>
    <x v="2"/>
    <x v="2"/>
    <x v="0"/>
    <n v="2045"/>
    <x v="0"/>
    <n v="15174"/>
    <n v="0"/>
    <s v="Y"/>
    <x v="0"/>
    <n v="13"/>
    <n v="3"/>
    <n v="4"/>
    <n v="80"/>
    <n v="0"/>
    <n v="5"/>
    <n v="0"/>
    <x v="0"/>
    <x v="4"/>
    <x v="2"/>
    <n v="1"/>
  </r>
  <r>
    <s v="RM522"/>
    <n v="27"/>
    <x v="1"/>
    <s v="No"/>
    <n v="0"/>
    <s v="Travel_Frequently"/>
    <n v="1410"/>
    <x v="1"/>
    <x v="0"/>
    <x v="2"/>
    <x v="1"/>
    <n v="1"/>
    <n v="714"/>
    <x v="1"/>
    <x v="1"/>
    <n v="71"/>
    <n v="4"/>
    <x v="1"/>
    <x v="5"/>
    <x v="2"/>
    <x v="1"/>
    <n v="4647"/>
    <x v="0"/>
    <n v="16673"/>
    <n v="1"/>
    <s v="Y"/>
    <x v="1"/>
    <n v="20"/>
    <n v="4"/>
    <n v="2"/>
    <n v="80"/>
    <n v="2"/>
    <n v="6"/>
    <n v="3"/>
    <x v="0"/>
    <x v="6"/>
    <x v="5"/>
    <n v="0"/>
  </r>
  <r>
    <s v="RM531"/>
    <n v="27"/>
    <x v="1"/>
    <s v="No"/>
    <n v="0"/>
    <s v="Travel_Rarely"/>
    <n v="608"/>
    <x v="0"/>
    <x v="4"/>
    <x v="1"/>
    <x v="0"/>
    <n v="1"/>
    <n v="725"/>
    <x v="0"/>
    <x v="1"/>
    <n v="68"/>
    <n v="3"/>
    <x v="2"/>
    <x v="4"/>
    <x v="3"/>
    <x v="2"/>
    <n v="7412"/>
    <x v="1"/>
    <n v="6009"/>
    <n v="1"/>
    <s v="Y"/>
    <x v="0"/>
    <n v="11"/>
    <n v="3"/>
    <n v="4"/>
    <n v="80"/>
    <n v="0"/>
    <n v="9"/>
    <n v="3"/>
    <x v="0"/>
    <x v="9"/>
    <x v="6"/>
    <n v="0"/>
  </r>
  <r>
    <s v="RM538"/>
    <n v="27"/>
    <x v="1"/>
    <s v="No"/>
    <n v="0"/>
    <s v="Travel_Frequently"/>
    <n v="294"/>
    <x v="0"/>
    <x v="1"/>
    <x v="1"/>
    <x v="0"/>
    <n v="1"/>
    <n v="733"/>
    <x v="1"/>
    <x v="0"/>
    <n v="32"/>
    <n v="3"/>
    <x v="2"/>
    <x v="4"/>
    <x v="3"/>
    <x v="1"/>
    <n v="8793"/>
    <x v="1"/>
    <n v="4809"/>
    <n v="1"/>
    <s v="Y"/>
    <x v="0"/>
    <n v="21"/>
    <n v="4"/>
    <n v="3"/>
    <n v="80"/>
    <n v="2"/>
    <n v="9"/>
    <n v="4"/>
    <x v="3"/>
    <x v="9"/>
    <x v="6"/>
    <n v="1"/>
  </r>
  <r>
    <s v="RM555"/>
    <n v="27"/>
    <x v="1"/>
    <s v="No"/>
    <n v="0"/>
    <s v="Travel_Rarely"/>
    <n v="975"/>
    <x v="0"/>
    <x v="17"/>
    <x v="0"/>
    <x v="1"/>
    <n v="1"/>
    <n v="764"/>
    <x v="1"/>
    <x v="1"/>
    <n v="55"/>
    <n v="2"/>
    <x v="1"/>
    <x v="6"/>
    <x v="3"/>
    <x v="0"/>
    <n v="6811"/>
    <x v="1"/>
    <n v="23398"/>
    <n v="8"/>
    <s v="Y"/>
    <x v="0"/>
    <n v="19"/>
    <n v="3"/>
    <n v="1"/>
    <n v="80"/>
    <n v="0"/>
    <n v="9"/>
    <n v="2"/>
    <x v="2"/>
    <x v="7"/>
    <x v="8"/>
    <n v="0"/>
  </r>
  <r>
    <s v="RM577"/>
    <n v="27"/>
    <x v="1"/>
    <s v="No"/>
    <n v="0"/>
    <s v="Travel_Frequently"/>
    <n v="829"/>
    <x v="1"/>
    <x v="3"/>
    <x v="2"/>
    <x v="2"/>
    <n v="1"/>
    <n v="800"/>
    <x v="0"/>
    <x v="0"/>
    <n v="84"/>
    <n v="3"/>
    <x v="1"/>
    <x v="5"/>
    <x v="2"/>
    <x v="2"/>
    <n v="4342"/>
    <x v="0"/>
    <n v="24008"/>
    <n v="0"/>
    <s v="Y"/>
    <x v="0"/>
    <n v="19"/>
    <n v="3"/>
    <n v="2"/>
    <n v="80"/>
    <n v="1"/>
    <n v="5"/>
    <n v="3"/>
    <x v="0"/>
    <x v="4"/>
    <x v="2"/>
    <n v="1"/>
  </r>
  <r>
    <s v="RM611"/>
    <n v="27"/>
    <x v="1"/>
    <s v="No"/>
    <n v="0"/>
    <s v="Travel_Rarely"/>
    <n v="269"/>
    <x v="0"/>
    <x v="2"/>
    <x v="2"/>
    <x v="3"/>
    <n v="1"/>
    <n v="844"/>
    <x v="0"/>
    <x v="0"/>
    <n v="42"/>
    <n v="2"/>
    <x v="2"/>
    <x v="7"/>
    <x v="2"/>
    <x v="1"/>
    <n v="12808"/>
    <x v="2"/>
    <n v="8842"/>
    <n v="1"/>
    <s v="Y"/>
    <x v="1"/>
    <n v="16"/>
    <n v="3"/>
    <n v="2"/>
    <n v="80"/>
    <n v="1"/>
    <n v="9"/>
    <n v="3"/>
    <x v="0"/>
    <x v="9"/>
    <x v="7"/>
    <n v="0"/>
  </r>
  <r>
    <s v="RM616"/>
    <n v="27"/>
    <x v="1"/>
    <s v="No"/>
    <n v="0"/>
    <s v="Non-Travel"/>
    <n v="443"/>
    <x v="0"/>
    <x v="0"/>
    <x v="0"/>
    <x v="1"/>
    <n v="1"/>
    <n v="850"/>
    <x v="1"/>
    <x v="0"/>
    <n v="50"/>
    <n v="3"/>
    <x v="0"/>
    <x v="2"/>
    <x v="2"/>
    <x v="2"/>
    <n v="1706"/>
    <x v="0"/>
    <n v="16571"/>
    <n v="1"/>
    <s v="Y"/>
    <x v="0"/>
    <n v="11"/>
    <n v="3"/>
    <n v="3"/>
    <n v="80"/>
    <n v="3"/>
    <n v="0"/>
    <n v="6"/>
    <x v="3"/>
    <x v="0"/>
    <x v="0"/>
    <n v="0"/>
  </r>
  <r>
    <s v="RM671"/>
    <n v="27"/>
    <x v="1"/>
    <s v="No"/>
    <n v="0"/>
    <s v="Travel_Rarely"/>
    <n v="618"/>
    <x v="0"/>
    <x v="12"/>
    <x v="0"/>
    <x v="0"/>
    <n v="1"/>
    <n v="933"/>
    <x v="2"/>
    <x v="1"/>
    <n v="76"/>
    <n v="3"/>
    <x v="0"/>
    <x v="2"/>
    <x v="0"/>
    <x v="0"/>
    <n v="2318"/>
    <x v="0"/>
    <n v="17808"/>
    <n v="1"/>
    <s v="Y"/>
    <x v="0"/>
    <n v="19"/>
    <n v="3"/>
    <n v="3"/>
    <n v="80"/>
    <n v="0"/>
    <n v="1"/>
    <n v="2"/>
    <x v="0"/>
    <x v="1"/>
    <x v="1"/>
    <n v="0"/>
  </r>
  <r>
    <s v="RM718"/>
    <n v="27"/>
    <x v="1"/>
    <s v="No"/>
    <n v="0"/>
    <s v="Travel_Rarely"/>
    <n v="1134"/>
    <x v="0"/>
    <x v="18"/>
    <x v="3"/>
    <x v="3"/>
    <n v="1"/>
    <n v="1001"/>
    <x v="0"/>
    <x v="1"/>
    <n v="37"/>
    <n v="3"/>
    <x v="0"/>
    <x v="0"/>
    <x v="1"/>
    <x v="2"/>
    <n v="2811"/>
    <x v="0"/>
    <n v="12086"/>
    <n v="9"/>
    <s v="Y"/>
    <x v="0"/>
    <n v="14"/>
    <n v="3"/>
    <n v="2"/>
    <n v="80"/>
    <n v="1"/>
    <n v="4"/>
    <n v="2"/>
    <x v="0"/>
    <x v="2"/>
    <x v="2"/>
    <n v="2"/>
  </r>
  <r>
    <s v="RM740"/>
    <n v="27"/>
    <x v="1"/>
    <s v="No"/>
    <n v="0"/>
    <s v="Travel_Rarely"/>
    <n v="1055"/>
    <x v="0"/>
    <x v="7"/>
    <x v="3"/>
    <x v="0"/>
    <n v="1"/>
    <n v="1027"/>
    <x v="3"/>
    <x v="1"/>
    <n v="47"/>
    <n v="3"/>
    <x v="1"/>
    <x v="4"/>
    <x v="2"/>
    <x v="2"/>
    <n v="4227"/>
    <x v="0"/>
    <n v="4658"/>
    <n v="0"/>
    <s v="Y"/>
    <x v="0"/>
    <n v="18"/>
    <n v="3"/>
    <n v="2"/>
    <n v="80"/>
    <n v="1"/>
    <n v="4"/>
    <n v="2"/>
    <x v="0"/>
    <x v="3"/>
    <x v="2"/>
    <n v="2"/>
  </r>
  <r>
    <s v="RM787"/>
    <n v="27"/>
    <x v="1"/>
    <s v="No"/>
    <n v="0"/>
    <s v="Non-Travel"/>
    <n v="1277"/>
    <x v="0"/>
    <x v="3"/>
    <x v="4"/>
    <x v="0"/>
    <n v="1"/>
    <n v="1094"/>
    <x v="3"/>
    <x v="0"/>
    <n v="87"/>
    <n v="1"/>
    <x v="0"/>
    <x v="0"/>
    <x v="0"/>
    <x v="2"/>
    <n v="4621"/>
    <x v="0"/>
    <n v="5869"/>
    <n v="1"/>
    <s v="Y"/>
    <x v="0"/>
    <n v="19"/>
    <n v="3"/>
    <n v="4"/>
    <n v="80"/>
    <n v="3"/>
    <n v="3"/>
    <n v="4"/>
    <x v="0"/>
    <x v="3"/>
    <x v="2"/>
    <n v="1"/>
  </r>
  <r>
    <s v="RM834"/>
    <n v="27"/>
    <x v="1"/>
    <s v="No"/>
    <n v="0"/>
    <s v="Travel_Rarely"/>
    <n v="199"/>
    <x v="0"/>
    <x v="11"/>
    <x v="0"/>
    <x v="0"/>
    <n v="1"/>
    <n v="1162"/>
    <x v="1"/>
    <x v="0"/>
    <n v="55"/>
    <n v="2"/>
    <x v="0"/>
    <x v="2"/>
    <x v="0"/>
    <x v="2"/>
    <n v="2539"/>
    <x v="0"/>
    <n v="7950"/>
    <n v="1"/>
    <s v="Y"/>
    <x v="0"/>
    <n v="13"/>
    <n v="3"/>
    <n v="3"/>
    <n v="80"/>
    <n v="1"/>
    <n v="4"/>
    <n v="0"/>
    <x v="0"/>
    <x v="4"/>
    <x v="2"/>
    <n v="2"/>
  </r>
  <r>
    <s v="RM890"/>
    <n v="27"/>
    <x v="1"/>
    <s v="No"/>
    <n v="0"/>
    <s v="Travel_Rarely"/>
    <n v="1103"/>
    <x v="0"/>
    <x v="5"/>
    <x v="0"/>
    <x v="0"/>
    <n v="1"/>
    <n v="1244"/>
    <x v="3"/>
    <x v="0"/>
    <n v="42"/>
    <n v="3"/>
    <x v="0"/>
    <x v="2"/>
    <x v="3"/>
    <x v="2"/>
    <n v="2235"/>
    <x v="0"/>
    <n v="14377"/>
    <n v="1"/>
    <s v="Y"/>
    <x v="1"/>
    <n v="14"/>
    <n v="3"/>
    <n v="4"/>
    <n v="80"/>
    <n v="2"/>
    <n v="9"/>
    <n v="3"/>
    <x v="3"/>
    <x v="9"/>
    <x v="6"/>
    <n v="6"/>
  </r>
  <r>
    <s v="RM903"/>
    <n v="27"/>
    <x v="1"/>
    <s v="No"/>
    <n v="0"/>
    <s v="Travel_Rarely"/>
    <n v="1167"/>
    <x v="0"/>
    <x v="12"/>
    <x v="1"/>
    <x v="0"/>
    <n v="1"/>
    <n v="1259"/>
    <x v="3"/>
    <x v="0"/>
    <n v="76"/>
    <n v="3"/>
    <x v="0"/>
    <x v="2"/>
    <x v="0"/>
    <x v="1"/>
    <n v="2517"/>
    <x v="0"/>
    <n v="3208"/>
    <n v="1"/>
    <s v="Y"/>
    <x v="0"/>
    <n v="11"/>
    <n v="3"/>
    <n v="2"/>
    <n v="80"/>
    <n v="3"/>
    <n v="5"/>
    <n v="2"/>
    <x v="0"/>
    <x v="5"/>
    <x v="3"/>
    <n v="0"/>
  </r>
  <r>
    <s v="RM971"/>
    <n v="27"/>
    <x v="1"/>
    <s v="No"/>
    <n v="0"/>
    <s v="Travel_Rarely"/>
    <n v="1291"/>
    <x v="1"/>
    <x v="13"/>
    <x v="0"/>
    <x v="1"/>
    <n v="1"/>
    <n v="1364"/>
    <x v="0"/>
    <x v="1"/>
    <n v="98"/>
    <n v="4"/>
    <x v="0"/>
    <x v="1"/>
    <x v="2"/>
    <x v="2"/>
    <n v="2534"/>
    <x v="0"/>
    <n v="6527"/>
    <n v="8"/>
    <s v="Y"/>
    <x v="0"/>
    <n v="14"/>
    <n v="3"/>
    <n v="2"/>
    <n v="80"/>
    <n v="1"/>
    <n v="5"/>
    <n v="4"/>
    <x v="0"/>
    <x v="1"/>
    <x v="0"/>
    <n v="0"/>
  </r>
  <r>
    <s v="RM975"/>
    <n v="27"/>
    <x v="1"/>
    <s v="No"/>
    <n v="0"/>
    <s v="Travel_Frequently"/>
    <n v="793"/>
    <x v="1"/>
    <x v="7"/>
    <x v="2"/>
    <x v="0"/>
    <n v="1"/>
    <n v="1371"/>
    <x v="1"/>
    <x v="0"/>
    <n v="43"/>
    <n v="1"/>
    <x v="1"/>
    <x v="5"/>
    <x v="2"/>
    <x v="0"/>
    <n v="5071"/>
    <x v="1"/>
    <n v="20392"/>
    <n v="3"/>
    <s v="Y"/>
    <x v="0"/>
    <n v="20"/>
    <n v="4"/>
    <n v="2"/>
    <n v="80"/>
    <n v="0"/>
    <n v="8"/>
    <n v="3"/>
    <x v="0"/>
    <x v="6"/>
    <x v="2"/>
    <n v="0"/>
  </r>
  <r>
    <s v="RM997"/>
    <n v="27"/>
    <x v="1"/>
    <s v="No"/>
    <n v="0"/>
    <s v="Travel_Rarely"/>
    <n v="205"/>
    <x v="1"/>
    <x v="1"/>
    <x v="0"/>
    <x v="2"/>
    <n v="1"/>
    <n v="1403"/>
    <x v="1"/>
    <x v="1"/>
    <n v="98"/>
    <n v="2"/>
    <x v="1"/>
    <x v="5"/>
    <x v="2"/>
    <x v="2"/>
    <n v="5769"/>
    <x v="1"/>
    <n v="7100"/>
    <n v="1"/>
    <s v="Y"/>
    <x v="1"/>
    <n v="11"/>
    <n v="3"/>
    <n v="4"/>
    <n v="80"/>
    <n v="0"/>
    <n v="6"/>
    <n v="3"/>
    <x v="0"/>
    <x v="6"/>
    <x v="2"/>
    <n v="4"/>
  </r>
  <r>
    <s v="RM998"/>
    <n v="27"/>
    <x v="1"/>
    <s v="Yes"/>
    <n v="1"/>
    <s v="Travel_Rarely"/>
    <n v="135"/>
    <x v="0"/>
    <x v="24"/>
    <x v="3"/>
    <x v="0"/>
    <n v="1"/>
    <n v="1405"/>
    <x v="1"/>
    <x v="1"/>
    <n v="51"/>
    <n v="3"/>
    <x v="0"/>
    <x v="2"/>
    <x v="0"/>
    <x v="0"/>
    <n v="2394"/>
    <x v="0"/>
    <n v="25681"/>
    <n v="1"/>
    <s v="Y"/>
    <x v="1"/>
    <n v="13"/>
    <n v="3"/>
    <n v="4"/>
    <n v="80"/>
    <n v="0"/>
    <n v="8"/>
    <n v="2"/>
    <x v="0"/>
    <x v="8"/>
    <x v="2"/>
    <n v="7"/>
  </r>
  <r>
    <s v="RM1018"/>
    <n v="27"/>
    <x v="1"/>
    <s v="No"/>
    <n v="0"/>
    <s v="Travel_Rarely"/>
    <n v="1377"/>
    <x v="0"/>
    <x v="13"/>
    <x v="2"/>
    <x v="0"/>
    <n v="1"/>
    <n v="1434"/>
    <x v="2"/>
    <x v="0"/>
    <n v="91"/>
    <n v="3"/>
    <x v="0"/>
    <x v="0"/>
    <x v="3"/>
    <x v="2"/>
    <n v="2099"/>
    <x v="0"/>
    <n v="7679"/>
    <n v="0"/>
    <s v="Y"/>
    <x v="0"/>
    <n v="14"/>
    <n v="3"/>
    <n v="2"/>
    <n v="80"/>
    <n v="0"/>
    <n v="6"/>
    <n v="3"/>
    <x v="1"/>
    <x v="5"/>
    <x v="0"/>
    <n v="1"/>
  </r>
  <r>
    <s v="RM1150"/>
    <n v="27"/>
    <x v="1"/>
    <s v="No"/>
    <n v="0"/>
    <s v="Travel_Rarely"/>
    <n v="1302"/>
    <x v="0"/>
    <x v="19"/>
    <x v="0"/>
    <x v="4"/>
    <n v="1"/>
    <n v="1619"/>
    <x v="1"/>
    <x v="0"/>
    <n v="67"/>
    <n v="2"/>
    <x v="0"/>
    <x v="0"/>
    <x v="3"/>
    <x v="1"/>
    <n v="4066"/>
    <x v="0"/>
    <n v="16290"/>
    <n v="1"/>
    <s v="Y"/>
    <x v="0"/>
    <n v="11"/>
    <n v="3"/>
    <n v="1"/>
    <n v="80"/>
    <n v="2"/>
    <n v="7"/>
    <n v="3"/>
    <x v="0"/>
    <x v="7"/>
    <x v="6"/>
    <n v="0"/>
  </r>
  <r>
    <s v="RM1170"/>
    <n v="27"/>
    <x v="1"/>
    <s v="No"/>
    <n v="0"/>
    <s v="Travel_Rarely"/>
    <n v="486"/>
    <x v="0"/>
    <x v="3"/>
    <x v="0"/>
    <x v="1"/>
    <n v="1"/>
    <n v="1647"/>
    <x v="2"/>
    <x v="1"/>
    <n v="86"/>
    <n v="4"/>
    <x v="0"/>
    <x v="2"/>
    <x v="0"/>
    <x v="2"/>
    <n v="3517"/>
    <x v="0"/>
    <n v="22490"/>
    <n v="7"/>
    <s v="Y"/>
    <x v="0"/>
    <n v="17"/>
    <n v="3"/>
    <n v="1"/>
    <n v="80"/>
    <n v="0"/>
    <n v="5"/>
    <n v="0"/>
    <x v="0"/>
    <x v="3"/>
    <x v="2"/>
    <n v="0"/>
  </r>
  <r>
    <s v="RM1171"/>
    <n v="27"/>
    <x v="1"/>
    <s v="No"/>
    <n v="0"/>
    <s v="Travel_Frequently"/>
    <n v="591"/>
    <x v="0"/>
    <x v="7"/>
    <x v="0"/>
    <x v="1"/>
    <n v="1"/>
    <n v="1648"/>
    <x v="1"/>
    <x v="0"/>
    <n v="87"/>
    <n v="3"/>
    <x v="0"/>
    <x v="2"/>
    <x v="2"/>
    <x v="0"/>
    <n v="2580"/>
    <x v="0"/>
    <n v="6297"/>
    <n v="2"/>
    <s v="Y"/>
    <x v="0"/>
    <n v="13"/>
    <n v="3"/>
    <n v="3"/>
    <n v="80"/>
    <n v="0"/>
    <n v="6"/>
    <n v="0"/>
    <x v="3"/>
    <x v="4"/>
    <x v="2"/>
    <n v="1"/>
  </r>
  <r>
    <s v="RM1249"/>
    <n v="27"/>
    <x v="1"/>
    <s v="No"/>
    <n v="0"/>
    <s v="Travel_Rarely"/>
    <n v="1054"/>
    <x v="0"/>
    <x v="3"/>
    <x v="0"/>
    <x v="1"/>
    <n v="1"/>
    <n v="1751"/>
    <x v="0"/>
    <x v="1"/>
    <n v="67"/>
    <n v="3"/>
    <x v="0"/>
    <x v="2"/>
    <x v="2"/>
    <x v="0"/>
    <n v="3445"/>
    <x v="0"/>
    <n v="6152"/>
    <n v="1"/>
    <s v="Y"/>
    <x v="0"/>
    <n v="11"/>
    <n v="3"/>
    <n v="3"/>
    <n v="80"/>
    <n v="0"/>
    <n v="6"/>
    <n v="5"/>
    <x v="3"/>
    <x v="6"/>
    <x v="2"/>
    <n v="1"/>
  </r>
  <r>
    <s v="RM1318"/>
    <n v="27"/>
    <x v="1"/>
    <s v="No"/>
    <n v="0"/>
    <s v="Travel_Frequently"/>
    <n v="1297"/>
    <x v="0"/>
    <x v="2"/>
    <x v="1"/>
    <x v="0"/>
    <n v="1"/>
    <n v="1850"/>
    <x v="1"/>
    <x v="1"/>
    <n v="53"/>
    <n v="3"/>
    <x v="0"/>
    <x v="0"/>
    <x v="2"/>
    <x v="0"/>
    <n v="2379"/>
    <x v="0"/>
    <n v="19826"/>
    <n v="0"/>
    <s v="Y"/>
    <x v="1"/>
    <n v="14"/>
    <n v="3"/>
    <n v="3"/>
    <n v="80"/>
    <n v="0"/>
    <n v="6"/>
    <n v="3"/>
    <x v="3"/>
    <x v="5"/>
    <x v="4"/>
    <n v="0"/>
  </r>
  <r>
    <s v="RM1329"/>
    <n v="27"/>
    <x v="1"/>
    <s v="No"/>
    <n v="0"/>
    <s v="Travel_Rarely"/>
    <n v="728"/>
    <x v="1"/>
    <x v="23"/>
    <x v="2"/>
    <x v="1"/>
    <n v="1"/>
    <n v="1864"/>
    <x v="2"/>
    <x v="1"/>
    <n v="36"/>
    <n v="2"/>
    <x v="1"/>
    <x v="1"/>
    <x v="0"/>
    <x v="2"/>
    <n v="3540"/>
    <x v="0"/>
    <n v="7018"/>
    <n v="1"/>
    <s v="Y"/>
    <x v="0"/>
    <n v="21"/>
    <n v="4"/>
    <n v="4"/>
    <n v="80"/>
    <n v="1"/>
    <n v="9"/>
    <n v="5"/>
    <x v="0"/>
    <x v="9"/>
    <x v="7"/>
    <n v="5"/>
  </r>
  <r>
    <s v="RM1335"/>
    <n v="27"/>
    <x v="1"/>
    <s v="No"/>
    <n v="0"/>
    <s v="Travel_Frequently"/>
    <n v="1131"/>
    <x v="0"/>
    <x v="14"/>
    <x v="0"/>
    <x v="0"/>
    <n v="1"/>
    <n v="1870"/>
    <x v="1"/>
    <x v="1"/>
    <n v="77"/>
    <n v="2"/>
    <x v="0"/>
    <x v="2"/>
    <x v="3"/>
    <x v="2"/>
    <n v="4774"/>
    <x v="0"/>
    <n v="23844"/>
    <n v="0"/>
    <s v="Y"/>
    <x v="0"/>
    <n v="19"/>
    <n v="3"/>
    <n v="4"/>
    <n v="80"/>
    <n v="1"/>
    <n v="8"/>
    <n v="2"/>
    <x v="3"/>
    <x v="7"/>
    <x v="8"/>
    <n v="7"/>
  </r>
  <r>
    <s v="RM1351"/>
    <n v="27"/>
    <x v="1"/>
    <s v="No"/>
    <n v="0"/>
    <s v="Travel_Rarely"/>
    <n v="511"/>
    <x v="1"/>
    <x v="7"/>
    <x v="1"/>
    <x v="1"/>
    <n v="1"/>
    <n v="1898"/>
    <x v="3"/>
    <x v="1"/>
    <n v="89"/>
    <n v="4"/>
    <x v="1"/>
    <x v="5"/>
    <x v="0"/>
    <x v="0"/>
    <n v="6500"/>
    <x v="1"/>
    <n v="26997"/>
    <n v="0"/>
    <s v="Y"/>
    <x v="0"/>
    <n v="14"/>
    <n v="3"/>
    <n v="2"/>
    <n v="80"/>
    <n v="0"/>
    <n v="9"/>
    <n v="5"/>
    <x v="3"/>
    <x v="8"/>
    <x v="6"/>
    <n v="0"/>
  </r>
  <r>
    <s v="RM1368"/>
    <n v="27"/>
    <x v="1"/>
    <s v="No"/>
    <n v="0"/>
    <s v="Travel_Rarely"/>
    <n v="1354"/>
    <x v="0"/>
    <x v="7"/>
    <x v="3"/>
    <x v="3"/>
    <n v="1"/>
    <n v="1931"/>
    <x v="2"/>
    <x v="0"/>
    <n v="41"/>
    <n v="3"/>
    <x v="0"/>
    <x v="2"/>
    <x v="1"/>
    <x v="2"/>
    <n v="2226"/>
    <x v="0"/>
    <n v="6073"/>
    <n v="1"/>
    <s v="Y"/>
    <x v="0"/>
    <n v="11"/>
    <n v="3"/>
    <n v="3"/>
    <n v="80"/>
    <n v="1"/>
    <n v="6"/>
    <n v="3"/>
    <x v="3"/>
    <x v="5"/>
    <x v="3"/>
    <n v="1"/>
  </r>
  <r>
    <s v="RM1380"/>
    <n v="27"/>
    <x v="1"/>
    <s v="Yes"/>
    <n v="1"/>
    <s v="Travel_Frequently"/>
    <n v="1337"/>
    <x v="2"/>
    <x v="6"/>
    <x v="0"/>
    <x v="5"/>
    <n v="1"/>
    <n v="1944"/>
    <x v="3"/>
    <x v="1"/>
    <n v="58"/>
    <n v="2"/>
    <x v="0"/>
    <x v="3"/>
    <x v="1"/>
    <x v="2"/>
    <n v="2863"/>
    <x v="0"/>
    <n v="19555"/>
    <n v="1"/>
    <s v="Y"/>
    <x v="0"/>
    <n v="12"/>
    <n v="3"/>
    <n v="1"/>
    <n v="80"/>
    <n v="0"/>
    <n v="1"/>
    <n v="2"/>
    <x v="0"/>
    <x v="1"/>
    <x v="0"/>
    <n v="0"/>
  </r>
  <r>
    <s v="RM1394"/>
    <n v="27"/>
    <x v="1"/>
    <s v="No"/>
    <n v="0"/>
    <s v="Travel_Rarely"/>
    <n v="954"/>
    <x v="1"/>
    <x v="9"/>
    <x v="0"/>
    <x v="2"/>
    <n v="1"/>
    <n v="1965"/>
    <x v="1"/>
    <x v="0"/>
    <n v="44"/>
    <n v="3"/>
    <x v="1"/>
    <x v="5"/>
    <x v="2"/>
    <x v="0"/>
    <n v="4105"/>
    <x v="0"/>
    <n v="5099"/>
    <n v="1"/>
    <s v="Y"/>
    <x v="0"/>
    <n v="14"/>
    <n v="3"/>
    <n v="1"/>
    <n v="80"/>
    <n v="0"/>
    <n v="7"/>
    <n v="5"/>
    <x v="0"/>
    <x v="7"/>
    <x v="6"/>
    <n v="0"/>
  </r>
  <r>
    <s v="RM1468"/>
    <n v="27"/>
    <x v="1"/>
    <s v="No"/>
    <n v="0"/>
    <s v="Travel_Rarely"/>
    <n v="155"/>
    <x v="0"/>
    <x v="12"/>
    <x v="0"/>
    <x v="0"/>
    <n v="1"/>
    <n v="2064"/>
    <x v="2"/>
    <x v="0"/>
    <n v="87"/>
    <n v="4"/>
    <x v="1"/>
    <x v="4"/>
    <x v="1"/>
    <x v="2"/>
    <n v="6142"/>
    <x v="1"/>
    <n v="5174"/>
    <n v="1"/>
    <s v="Y"/>
    <x v="1"/>
    <n v="20"/>
    <n v="4"/>
    <n v="2"/>
    <n v="80"/>
    <n v="1"/>
    <n v="6"/>
    <n v="0"/>
    <x v="0"/>
    <x v="6"/>
    <x v="2"/>
    <n v="0"/>
  </r>
  <r>
    <s v="RM015"/>
    <n v="28"/>
    <x v="1"/>
    <s v="Yes"/>
    <n v="1"/>
    <s v="Travel_Rarely"/>
    <n v="103"/>
    <x v="0"/>
    <x v="22"/>
    <x v="0"/>
    <x v="0"/>
    <n v="1"/>
    <n v="19"/>
    <x v="0"/>
    <x v="0"/>
    <n v="50"/>
    <n v="2"/>
    <x v="0"/>
    <x v="0"/>
    <x v="0"/>
    <x v="0"/>
    <n v="2028"/>
    <x v="0"/>
    <n v="12947"/>
    <n v="5"/>
    <s v="Y"/>
    <x v="1"/>
    <n v="14"/>
    <n v="3"/>
    <n v="2"/>
    <n v="80"/>
    <n v="0"/>
    <n v="6"/>
    <n v="4"/>
    <x v="0"/>
    <x v="4"/>
    <x v="2"/>
    <n v="0"/>
  </r>
  <r>
    <s v="RM052"/>
    <n v="28"/>
    <x v="1"/>
    <s v="Yes"/>
    <n v="1"/>
    <s v="Travel_Rarely"/>
    <n v="1434"/>
    <x v="0"/>
    <x v="2"/>
    <x v="3"/>
    <x v="3"/>
    <n v="1"/>
    <n v="65"/>
    <x v="0"/>
    <x v="0"/>
    <n v="50"/>
    <n v="3"/>
    <x v="0"/>
    <x v="0"/>
    <x v="0"/>
    <x v="0"/>
    <n v="3441"/>
    <x v="0"/>
    <n v="11179"/>
    <n v="1"/>
    <s v="Y"/>
    <x v="1"/>
    <n v="13"/>
    <n v="3"/>
    <n v="3"/>
    <n v="80"/>
    <n v="0"/>
    <n v="2"/>
    <n v="3"/>
    <x v="3"/>
    <x v="2"/>
    <x v="2"/>
    <n v="2"/>
  </r>
  <r>
    <s v="RM098"/>
    <n v="28"/>
    <x v="1"/>
    <s v="No"/>
    <n v="0"/>
    <s v="Non-Travel"/>
    <n v="120"/>
    <x v="1"/>
    <x v="12"/>
    <x v="0"/>
    <x v="1"/>
    <n v="1"/>
    <n v="129"/>
    <x v="2"/>
    <x v="0"/>
    <n v="43"/>
    <n v="3"/>
    <x v="1"/>
    <x v="5"/>
    <x v="0"/>
    <x v="2"/>
    <n v="4221"/>
    <x v="0"/>
    <n v="8863"/>
    <n v="1"/>
    <s v="Y"/>
    <x v="0"/>
    <n v="15"/>
    <n v="3"/>
    <n v="2"/>
    <n v="80"/>
    <n v="0"/>
    <n v="5"/>
    <n v="3"/>
    <x v="1"/>
    <x v="5"/>
    <x v="4"/>
    <n v="0"/>
  </r>
  <r>
    <s v="RM163"/>
    <n v="28"/>
    <x v="1"/>
    <s v="No"/>
    <n v="0"/>
    <s v="Travel_Rarely"/>
    <n v="440"/>
    <x v="0"/>
    <x v="8"/>
    <x v="0"/>
    <x v="1"/>
    <n v="1"/>
    <n v="221"/>
    <x v="0"/>
    <x v="0"/>
    <n v="42"/>
    <n v="3"/>
    <x v="0"/>
    <x v="2"/>
    <x v="2"/>
    <x v="2"/>
    <n v="2713"/>
    <x v="0"/>
    <n v="6672"/>
    <n v="1"/>
    <s v="Y"/>
    <x v="0"/>
    <n v="11"/>
    <n v="3"/>
    <n v="3"/>
    <n v="80"/>
    <n v="1"/>
    <n v="5"/>
    <n v="2"/>
    <x v="2"/>
    <x v="5"/>
    <x v="2"/>
    <n v="0"/>
  </r>
  <r>
    <s v="RM265"/>
    <n v="28"/>
    <x v="1"/>
    <s v="Yes"/>
    <n v="1"/>
    <s v="Travel_Rarely"/>
    <n v="529"/>
    <x v="0"/>
    <x v="7"/>
    <x v="3"/>
    <x v="0"/>
    <n v="1"/>
    <n v="364"/>
    <x v="3"/>
    <x v="0"/>
    <n v="79"/>
    <n v="3"/>
    <x v="0"/>
    <x v="0"/>
    <x v="0"/>
    <x v="0"/>
    <n v="3485"/>
    <x v="0"/>
    <n v="14935"/>
    <n v="2"/>
    <s v="Y"/>
    <x v="0"/>
    <n v="11"/>
    <n v="3"/>
    <n v="3"/>
    <n v="80"/>
    <n v="0"/>
    <n v="5"/>
    <n v="5"/>
    <x v="2"/>
    <x v="0"/>
    <x v="0"/>
    <n v="0"/>
  </r>
  <r>
    <s v="RM273"/>
    <n v="28"/>
    <x v="1"/>
    <s v="No"/>
    <n v="0"/>
    <s v="Travel_Rarely"/>
    <n v="1158"/>
    <x v="0"/>
    <x v="9"/>
    <x v="0"/>
    <x v="1"/>
    <n v="1"/>
    <n v="377"/>
    <x v="1"/>
    <x v="0"/>
    <n v="94"/>
    <n v="3"/>
    <x v="0"/>
    <x v="2"/>
    <x v="2"/>
    <x v="2"/>
    <n v="2070"/>
    <x v="0"/>
    <n v="2613"/>
    <n v="1"/>
    <s v="Y"/>
    <x v="0"/>
    <n v="23"/>
    <n v="4"/>
    <n v="4"/>
    <n v="80"/>
    <n v="1"/>
    <n v="5"/>
    <n v="3"/>
    <x v="3"/>
    <x v="5"/>
    <x v="2"/>
    <n v="0"/>
  </r>
  <r>
    <s v="RM290"/>
    <n v="28"/>
    <x v="1"/>
    <s v="No"/>
    <n v="0"/>
    <s v="Travel_Rarely"/>
    <n v="1117"/>
    <x v="0"/>
    <x v="3"/>
    <x v="1"/>
    <x v="0"/>
    <n v="1"/>
    <n v="395"/>
    <x v="1"/>
    <x v="1"/>
    <n v="66"/>
    <n v="3"/>
    <x v="0"/>
    <x v="2"/>
    <x v="2"/>
    <x v="0"/>
    <n v="3310"/>
    <x v="0"/>
    <n v="4488"/>
    <n v="1"/>
    <s v="Y"/>
    <x v="0"/>
    <n v="21"/>
    <n v="4"/>
    <n v="4"/>
    <n v="80"/>
    <n v="0"/>
    <n v="5"/>
    <n v="3"/>
    <x v="0"/>
    <x v="5"/>
    <x v="3"/>
    <n v="0"/>
  </r>
  <r>
    <s v="RM303"/>
    <n v="28"/>
    <x v="1"/>
    <s v="No"/>
    <n v="0"/>
    <s v="Travel_Rarely"/>
    <n v="1476"/>
    <x v="0"/>
    <x v="18"/>
    <x v="1"/>
    <x v="1"/>
    <n v="1"/>
    <n v="412"/>
    <x v="2"/>
    <x v="0"/>
    <n v="68"/>
    <n v="4"/>
    <x v="1"/>
    <x v="6"/>
    <x v="3"/>
    <x v="0"/>
    <n v="5661"/>
    <x v="1"/>
    <n v="4824"/>
    <n v="0"/>
    <s v="Y"/>
    <x v="0"/>
    <n v="19"/>
    <n v="3"/>
    <n v="3"/>
    <n v="80"/>
    <n v="0"/>
    <n v="9"/>
    <n v="2"/>
    <x v="0"/>
    <x v="8"/>
    <x v="3"/>
    <n v="0"/>
  </r>
  <r>
    <s v="RM324"/>
    <n v="28"/>
    <x v="1"/>
    <s v="Yes"/>
    <n v="1"/>
    <s v="Travel_Rarely"/>
    <n v="1157"/>
    <x v="0"/>
    <x v="7"/>
    <x v="3"/>
    <x v="1"/>
    <n v="1"/>
    <n v="440"/>
    <x v="3"/>
    <x v="0"/>
    <n v="84"/>
    <n v="1"/>
    <x v="0"/>
    <x v="2"/>
    <x v="2"/>
    <x v="2"/>
    <n v="3464"/>
    <x v="0"/>
    <n v="24737"/>
    <n v="5"/>
    <s v="Y"/>
    <x v="1"/>
    <n v="13"/>
    <n v="3"/>
    <n v="4"/>
    <n v="80"/>
    <n v="0"/>
    <n v="5"/>
    <n v="4"/>
    <x v="3"/>
    <x v="3"/>
    <x v="2"/>
    <n v="2"/>
  </r>
  <r>
    <s v="RM375"/>
    <n v="28"/>
    <x v="1"/>
    <s v="No"/>
    <n v="0"/>
    <s v="Travel_Rarely"/>
    <n v="304"/>
    <x v="1"/>
    <x v="9"/>
    <x v="3"/>
    <x v="0"/>
    <n v="1"/>
    <n v="498"/>
    <x v="2"/>
    <x v="0"/>
    <n v="92"/>
    <n v="3"/>
    <x v="1"/>
    <x v="5"/>
    <x v="2"/>
    <x v="0"/>
    <n v="5253"/>
    <x v="1"/>
    <n v="20750"/>
    <n v="1"/>
    <s v="Y"/>
    <x v="0"/>
    <n v="16"/>
    <n v="3"/>
    <n v="4"/>
    <n v="80"/>
    <n v="0"/>
    <n v="7"/>
    <n v="1"/>
    <x v="0"/>
    <x v="7"/>
    <x v="5"/>
    <n v="0"/>
  </r>
  <r>
    <s v="RM405"/>
    <n v="28"/>
    <x v="1"/>
    <s v="No"/>
    <n v="0"/>
    <s v="Travel_Rarely"/>
    <n v="1300"/>
    <x v="0"/>
    <x v="24"/>
    <x v="1"/>
    <x v="1"/>
    <n v="1"/>
    <n v="536"/>
    <x v="0"/>
    <x v="0"/>
    <n v="79"/>
    <n v="3"/>
    <x v="1"/>
    <x v="0"/>
    <x v="3"/>
    <x v="1"/>
    <n v="4558"/>
    <x v="0"/>
    <n v="13535"/>
    <n v="1"/>
    <s v="Y"/>
    <x v="0"/>
    <n v="12"/>
    <n v="3"/>
    <n v="4"/>
    <n v="80"/>
    <n v="1"/>
    <n v="10"/>
    <n v="2"/>
    <x v="0"/>
    <x v="10"/>
    <x v="0"/>
    <n v="1"/>
  </r>
  <r>
    <s v="RM541"/>
    <n v="28"/>
    <x v="1"/>
    <s v="Yes"/>
    <n v="1"/>
    <s v="Travel_Rarely"/>
    <n v="654"/>
    <x v="0"/>
    <x v="4"/>
    <x v="1"/>
    <x v="0"/>
    <n v="1"/>
    <n v="741"/>
    <x v="3"/>
    <x v="1"/>
    <n v="67"/>
    <n v="1"/>
    <x v="0"/>
    <x v="2"/>
    <x v="1"/>
    <x v="0"/>
    <n v="2216"/>
    <x v="0"/>
    <n v="3872"/>
    <n v="7"/>
    <s v="Y"/>
    <x v="1"/>
    <n v="13"/>
    <n v="3"/>
    <n v="4"/>
    <n v="80"/>
    <n v="0"/>
    <n v="10"/>
    <n v="4"/>
    <x v="0"/>
    <x v="7"/>
    <x v="6"/>
    <n v="3"/>
  </r>
  <r>
    <s v="RM599"/>
    <n v="28"/>
    <x v="1"/>
    <s v="Yes"/>
    <n v="1"/>
    <s v="Travel_Rarely"/>
    <n v="890"/>
    <x v="0"/>
    <x v="7"/>
    <x v="3"/>
    <x v="1"/>
    <n v="1"/>
    <n v="828"/>
    <x v="0"/>
    <x v="0"/>
    <n v="46"/>
    <n v="3"/>
    <x v="0"/>
    <x v="2"/>
    <x v="0"/>
    <x v="0"/>
    <n v="4382"/>
    <x v="0"/>
    <n v="16374"/>
    <n v="6"/>
    <s v="Y"/>
    <x v="0"/>
    <n v="17"/>
    <n v="3"/>
    <n v="4"/>
    <n v="80"/>
    <n v="0"/>
    <n v="5"/>
    <n v="3"/>
    <x v="3"/>
    <x v="2"/>
    <x v="2"/>
    <n v="2"/>
  </r>
  <r>
    <s v="RM613"/>
    <n v="28"/>
    <x v="1"/>
    <s v="No"/>
    <n v="0"/>
    <s v="Travel_Rarely"/>
    <n v="760"/>
    <x v="1"/>
    <x v="7"/>
    <x v="3"/>
    <x v="2"/>
    <n v="1"/>
    <n v="846"/>
    <x v="2"/>
    <x v="1"/>
    <n v="81"/>
    <n v="3"/>
    <x v="1"/>
    <x v="5"/>
    <x v="1"/>
    <x v="2"/>
    <n v="4779"/>
    <x v="0"/>
    <n v="3698"/>
    <n v="1"/>
    <s v="Y"/>
    <x v="1"/>
    <n v="20"/>
    <n v="4"/>
    <n v="1"/>
    <n v="80"/>
    <n v="0"/>
    <n v="8"/>
    <n v="2"/>
    <x v="0"/>
    <x v="8"/>
    <x v="6"/>
    <n v="7"/>
  </r>
  <r>
    <s v="RM630"/>
    <n v="28"/>
    <x v="1"/>
    <s v="No"/>
    <n v="0"/>
    <s v="Travel_Rarely"/>
    <n v="1169"/>
    <x v="2"/>
    <x v="3"/>
    <x v="1"/>
    <x v="1"/>
    <n v="1"/>
    <n v="869"/>
    <x v="2"/>
    <x v="0"/>
    <n v="63"/>
    <n v="2"/>
    <x v="0"/>
    <x v="3"/>
    <x v="2"/>
    <x v="1"/>
    <n v="4936"/>
    <x v="0"/>
    <n v="23965"/>
    <n v="1"/>
    <s v="Y"/>
    <x v="0"/>
    <n v="13"/>
    <n v="3"/>
    <n v="4"/>
    <n v="80"/>
    <n v="1"/>
    <n v="6"/>
    <n v="6"/>
    <x v="0"/>
    <x v="5"/>
    <x v="1"/>
    <n v="0"/>
  </r>
  <r>
    <s v="RM660"/>
    <n v="28"/>
    <x v="1"/>
    <s v="No"/>
    <n v="0"/>
    <s v="Travel_Rarely"/>
    <n v="821"/>
    <x v="1"/>
    <x v="2"/>
    <x v="3"/>
    <x v="1"/>
    <n v="1"/>
    <n v="916"/>
    <x v="3"/>
    <x v="0"/>
    <n v="98"/>
    <n v="3"/>
    <x v="1"/>
    <x v="5"/>
    <x v="2"/>
    <x v="0"/>
    <n v="4908"/>
    <x v="0"/>
    <n v="24252"/>
    <n v="1"/>
    <s v="Y"/>
    <x v="0"/>
    <n v="14"/>
    <n v="3"/>
    <n v="2"/>
    <n v="80"/>
    <n v="0"/>
    <n v="4"/>
    <n v="3"/>
    <x v="0"/>
    <x v="4"/>
    <x v="2"/>
    <n v="0"/>
  </r>
  <r>
    <s v="RM669"/>
    <n v="28"/>
    <x v="1"/>
    <s v="No"/>
    <n v="0"/>
    <s v="Travel_Rarely"/>
    <n v="995"/>
    <x v="0"/>
    <x v="9"/>
    <x v="0"/>
    <x v="1"/>
    <n v="1"/>
    <n v="930"/>
    <x v="0"/>
    <x v="1"/>
    <n v="77"/>
    <n v="3"/>
    <x v="0"/>
    <x v="2"/>
    <x v="0"/>
    <x v="1"/>
    <n v="2377"/>
    <x v="0"/>
    <n v="9834"/>
    <n v="5"/>
    <s v="Y"/>
    <x v="0"/>
    <n v="18"/>
    <n v="3"/>
    <n v="2"/>
    <n v="80"/>
    <n v="1"/>
    <n v="6"/>
    <n v="2"/>
    <x v="0"/>
    <x v="2"/>
    <x v="2"/>
    <n v="2"/>
  </r>
  <r>
    <s v="RM765"/>
    <n v="28"/>
    <x v="1"/>
    <s v="No"/>
    <n v="0"/>
    <s v="Travel_Rarely"/>
    <n v="1144"/>
    <x v="1"/>
    <x v="1"/>
    <x v="2"/>
    <x v="1"/>
    <n v="1"/>
    <n v="1056"/>
    <x v="1"/>
    <x v="0"/>
    <n v="74"/>
    <n v="3"/>
    <x v="0"/>
    <x v="1"/>
    <x v="1"/>
    <x v="2"/>
    <n v="1052"/>
    <x v="0"/>
    <n v="23384"/>
    <n v="1"/>
    <s v="Y"/>
    <x v="0"/>
    <n v="22"/>
    <n v="4"/>
    <n v="2"/>
    <n v="80"/>
    <n v="0"/>
    <n v="1"/>
    <n v="5"/>
    <x v="0"/>
    <x v="1"/>
    <x v="0"/>
    <n v="0"/>
  </r>
  <r>
    <s v="RM781"/>
    <n v="28"/>
    <x v="1"/>
    <s v="Yes"/>
    <n v="1"/>
    <s v="Non-Travel"/>
    <n v="1366"/>
    <x v="0"/>
    <x v="22"/>
    <x v="1"/>
    <x v="3"/>
    <n v="1"/>
    <n v="1082"/>
    <x v="2"/>
    <x v="0"/>
    <n v="72"/>
    <n v="2"/>
    <x v="2"/>
    <x v="6"/>
    <x v="3"/>
    <x v="0"/>
    <n v="8722"/>
    <x v="1"/>
    <n v="12355"/>
    <n v="1"/>
    <s v="Y"/>
    <x v="0"/>
    <n v="12"/>
    <n v="3"/>
    <n v="1"/>
    <n v="80"/>
    <n v="0"/>
    <n v="10"/>
    <n v="2"/>
    <x v="3"/>
    <x v="10"/>
    <x v="6"/>
    <n v="1"/>
  </r>
  <r>
    <s v="RM789"/>
    <n v="28"/>
    <x v="1"/>
    <s v="No"/>
    <n v="0"/>
    <s v="Travel_Rarely"/>
    <n v="857"/>
    <x v="0"/>
    <x v="1"/>
    <x v="0"/>
    <x v="4"/>
    <n v="1"/>
    <n v="1097"/>
    <x v="0"/>
    <x v="1"/>
    <n v="59"/>
    <n v="3"/>
    <x v="1"/>
    <x v="2"/>
    <x v="0"/>
    <x v="0"/>
    <n v="3660"/>
    <x v="0"/>
    <n v="7909"/>
    <n v="3"/>
    <s v="Y"/>
    <x v="0"/>
    <n v="13"/>
    <n v="3"/>
    <n v="4"/>
    <n v="80"/>
    <n v="0"/>
    <n v="10"/>
    <n v="4"/>
    <x v="1"/>
    <x v="8"/>
    <x v="6"/>
    <n v="1"/>
  </r>
  <r>
    <s v="RM794"/>
    <n v="28"/>
    <x v="1"/>
    <s v="No"/>
    <n v="0"/>
    <s v="Travel_Rarely"/>
    <n v="895"/>
    <x v="0"/>
    <x v="14"/>
    <x v="1"/>
    <x v="0"/>
    <n v="1"/>
    <n v="1102"/>
    <x v="3"/>
    <x v="0"/>
    <n v="50"/>
    <n v="3"/>
    <x v="0"/>
    <x v="0"/>
    <x v="0"/>
    <x v="1"/>
    <n v="2207"/>
    <x v="0"/>
    <n v="22482"/>
    <n v="1"/>
    <s v="Y"/>
    <x v="0"/>
    <n v="16"/>
    <n v="3"/>
    <n v="4"/>
    <n v="80"/>
    <n v="1"/>
    <n v="4"/>
    <n v="5"/>
    <x v="3"/>
    <x v="4"/>
    <x v="2"/>
    <n v="2"/>
  </r>
  <r>
    <s v="RM801"/>
    <n v="28"/>
    <x v="1"/>
    <s v="Yes"/>
    <n v="1"/>
    <s v="Travel_Frequently"/>
    <n v="1009"/>
    <x v="0"/>
    <x v="4"/>
    <x v="0"/>
    <x v="1"/>
    <n v="1"/>
    <n v="1111"/>
    <x v="3"/>
    <x v="0"/>
    <n v="45"/>
    <n v="2"/>
    <x v="0"/>
    <x v="0"/>
    <x v="1"/>
    <x v="1"/>
    <n v="2596"/>
    <x v="0"/>
    <n v="7160"/>
    <n v="1"/>
    <s v="Y"/>
    <x v="0"/>
    <n v="15"/>
    <n v="3"/>
    <n v="1"/>
    <n v="80"/>
    <n v="2"/>
    <n v="1"/>
    <n v="2"/>
    <x v="0"/>
    <x v="1"/>
    <x v="0"/>
    <n v="0"/>
  </r>
  <r>
    <s v="RM810"/>
    <n v="28"/>
    <x v="1"/>
    <s v="No"/>
    <n v="0"/>
    <s v="Travel_Rarely"/>
    <n v="950"/>
    <x v="0"/>
    <x v="0"/>
    <x v="0"/>
    <x v="1"/>
    <n v="1"/>
    <n v="1121"/>
    <x v="1"/>
    <x v="1"/>
    <n v="93"/>
    <n v="3"/>
    <x v="2"/>
    <x v="4"/>
    <x v="1"/>
    <x v="1"/>
    <n v="7655"/>
    <x v="1"/>
    <n v="8039"/>
    <n v="0"/>
    <s v="Y"/>
    <x v="0"/>
    <n v="17"/>
    <n v="3"/>
    <n v="2"/>
    <n v="80"/>
    <n v="3"/>
    <n v="10"/>
    <n v="3"/>
    <x v="3"/>
    <x v="9"/>
    <x v="6"/>
    <n v="1"/>
  </r>
  <r>
    <s v="RM820"/>
    <n v="28"/>
    <x v="1"/>
    <s v="No"/>
    <n v="0"/>
    <s v="Travel_Rarely"/>
    <n v="1451"/>
    <x v="0"/>
    <x v="7"/>
    <x v="2"/>
    <x v="0"/>
    <n v="1"/>
    <n v="1136"/>
    <x v="3"/>
    <x v="0"/>
    <n v="67"/>
    <n v="2"/>
    <x v="0"/>
    <x v="2"/>
    <x v="1"/>
    <x v="2"/>
    <n v="3201"/>
    <x v="0"/>
    <n v="19911"/>
    <n v="0"/>
    <s v="Y"/>
    <x v="0"/>
    <n v="17"/>
    <n v="3"/>
    <n v="1"/>
    <n v="80"/>
    <n v="0"/>
    <n v="6"/>
    <n v="2"/>
    <x v="2"/>
    <x v="5"/>
    <x v="3"/>
    <n v="0"/>
  </r>
  <r>
    <s v="RM828"/>
    <n v="28"/>
    <x v="1"/>
    <s v="No"/>
    <n v="0"/>
    <s v="Travel_Frequently"/>
    <n v="773"/>
    <x v="0"/>
    <x v="11"/>
    <x v="0"/>
    <x v="0"/>
    <n v="1"/>
    <n v="1154"/>
    <x v="0"/>
    <x v="0"/>
    <n v="39"/>
    <n v="2"/>
    <x v="0"/>
    <x v="2"/>
    <x v="0"/>
    <x v="1"/>
    <n v="2703"/>
    <x v="0"/>
    <n v="22088"/>
    <n v="1"/>
    <s v="Y"/>
    <x v="1"/>
    <n v="14"/>
    <n v="3"/>
    <n v="4"/>
    <n v="80"/>
    <n v="1"/>
    <n v="3"/>
    <n v="2"/>
    <x v="0"/>
    <x v="3"/>
    <x v="1"/>
    <n v="0"/>
  </r>
  <r>
    <s v="RM843"/>
    <n v="28"/>
    <x v="1"/>
    <s v="Yes"/>
    <n v="1"/>
    <s v="Travel_Rarely"/>
    <n v="1485"/>
    <x v="0"/>
    <x v="15"/>
    <x v="2"/>
    <x v="0"/>
    <n v="1"/>
    <n v="1175"/>
    <x v="0"/>
    <x v="1"/>
    <n v="79"/>
    <n v="3"/>
    <x v="0"/>
    <x v="0"/>
    <x v="2"/>
    <x v="2"/>
    <n v="2515"/>
    <x v="0"/>
    <n v="22955"/>
    <n v="1"/>
    <s v="Y"/>
    <x v="1"/>
    <n v="11"/>
    <n v="3"/>
    <n v="4"/>
    <n v="80"/>
    <n v="0"/>
    <n v="1"/>
    <n v="4"/>
    <x v="3"/>
    <x v="1"/>
    <x v="1"/>
    <n v="0"/>
  </r>
  <r>
    <s v="RM869"/>
    <n v="28"/>
    <x v="1"/>
    <s v="No"/>
    <n v="0"/>
    <s v="Travel_Rarely"/>
    <n v="1179"/>
    <x v="0"/>
    <x v="19"/>
    <x v="3"/>
    <x v="1"/>
    <n v="1"/>
    <n v="1216"/>
    <x v="1"/>
    <x v="0"/>
    <n v="78"/>
    <n v="2"/>
    <x v="0"/>
    <x v="0"/>
    <x v="3"/>
    <x v="2"/>
    <n v="3196"/>
    <x v="0"/>
    <n v="12449"/>
    <n v="1"/>
    <s v="Y"/>
    <x v="0"/>
    <n v="12"/>
    <n v="3"/>
    <n v="3"/>
    <n v="80"/>
    <n v="3"/>
    <n v="6"/>
    <n v="2"/>
    <x v="0"/>
    <x v="6"/>
    <x v="5"/>
    <n v="3"/>
  </r>
  <r>
    <s v="RM922"/>
    <n v="28"/>
    <x v="1"/>
    <s v="No"/>
    <n v="0"/>
    <s v="Travel_Frequently"/>
    <n v="791"/>
    <x v="0"/>
    <x v="4"/>
    <x v="3"/>
    <x v="1"/>
    <n v="1"/>
    <n v="1286"/>
    <x v="1"/>
    <x v="0"/>
    <n v="44"/>
    <n v="3"/>
    <x v="0"/>
    <x v="0"/>
    <x v="0"/>
    <x v="0"/>
    <n v="2154"/>
    <x v="0"/>
    <n v="6842"/>
    <n v="0"/>
    <s v="Y"/>
    <x v="1"/>
    <n v="11"/>
    <n v="3"/>
    <n v="3"/>
    <n v="80"/>
    <n v="0"/>
    <n v="5"/>
    <n v="2"/>
    <x v="3"/>
    <x v="4"/>
    <x v="2"/>
    <n v="0"/>
  </r>
  <r>
    <s v="RM930"/>
    <n v="28"/>
    <x v="1"/>
    <s v="No"/>
    <n v="0"/>
    <s v="Travel_Frequently"/>
    <n v="193"/>
    <x v="0"/>
    <x v="7"/>
    <x v="0"/>
    <x v="0"/>
    <n v="1"/>
    <n v="1296"/>
    <x v="1"/>
    <x v="0"/>
    <n v="52"/>
    <n v="2"/>
    <x v="0"/>
    <x v="0"/>
    <x v="2"/>
    <x v="2"/>
    <n v="3867"/>
    <x v="0"/>
    <n v="14222"/>
    <n v="1"/>
    <s v="Y"/>
    <x v="1"/>
    <n v="12"/>
    <n v="3"/>
    <n v="2"/>
    <n v="80"/>
    <n v="1"/>
    <n v="2"/>
    <n v="2"/>
    <x v="0"/>
    <x v="2"/>
    <x v="2"/>
    <n v="2"/>
  </r>
  <r>
    <s v="RM934"/>
    <n v="28"/>
    <x v="1"/>
    <s v="No"/>
    <n v="0"/>
    <s v="Travel_Rarely"/>
    <n v="640"/>
    <x v="0"/>
    <x v="4"/>
    <x v="0"/>
    <x v="3"/>
    <n v="1"/>
    <n v="1301"/>
    <x v="1"/>
    <x v="0"/>
    <n v="84"/>
    <n v="3"/>
    <x v="0"/>
    <x v="2"/>
    <x v="3"/>
    <x v="0"/>
    <n v="2080"/>
    <x v="0"/>
    <n v="4732"/>
    <n v="2"/>
    <s v="Y"/>
    <x v="0"/>
    <n v="11"/>
    <n v="3"/>
    <n v="2"/>
    <n v="80"/>
    <n v="0"/>
    <n v="5"/>
    <n v="2"/>
    <x v="3"/>
    <x v="3"/>
    <x v="2"/>
    <n v="1"/>
  </r>
  <r>
    <s v="RM945"/>
    <n v="28"/>
    <x v="1"/>
    <s v="No"/>
    <n v="0"/>
    <s v="Non-Travel"/>
    <n v="1476"/>
    <x v="0"/>
    <x v="4"/>
    <x v="0"/>
    <x v="0"/>
    <n v="1"/>
    <n v="1315"/>
    <x v="0"/>
    <x v="1"/>
    <n v="55"/>
    <n v="1"/>
    <x v="1"/>
    <x v="0"/>
    <x v="2"/>
    <x v="2"/>
    <n v="6674"/>
    <x v="1"/>
    <n v="16392"/>
    <n v="0"/>
    <s v="Y"/>
    <x v="0"/>
    <n v="11"/>
    <n v="3"/>
    <n v="1"/>
    <n v="80"/>
    <n v="3"/>
    <n v="10"/>
    <n v="6"/>
    <x v="0"/>
    <x v="9"/>
    <x v="7"/>
    <n v="7"/>
  </r>
  <r>
    <s v="RM985"/>
    <n v="28"/>
    <x v="1"/>
    <s v="No"/>
    <n v="0"/>
    <s v="Travel_Rarely"/>
    <n v="736"/>
    <x v="1"/>
    <x v="20"/>
    <x v="0"/>
    <x v="0"/>
    <n v="1"/>
    <n v="1387"/>
    <x v="0"/>
    <x v="0"/>
    <n v="48"/>
    <n v="2"/>
    <x v="1"/>
    <x v="5"/>
    <x v="3"/>
    <x v="2"/>
    <n v="4724"/>
    <x v="0"/>
    <n v="24232"/>
    <n v="1"/>
    <s v="Y"/>
    <x v="0"/>
    <n v="11"/>
    <n v="3"/>
    <n v="3"/>
    <n v="80"/>
    <n v="1"/>
    <n v="5"/>
    <n v="0"/>
    <x v="0"/>
    <x v="5"/>
    <x v="3"/>
    <n v="0"/>
  </r>
  <r>
    <s v="RM1042"/>
    <n v="28"/>
    <x v="1"/>
    <s v="No"/>
    <n v="0"/>
    <s v="Travel_Rarely"/>
    <n v="866"/>
    <x v="1"/>
    <x v="2"/>
    <x v="0"/>
    <x v="1"/>
    <n v="1"/>
    <n v="1469"/>
    <x v="1"/>
    <x v="0"/>
    <n v="84"/>
    <n v="3"/>
    <x v="1"/>
    <x v="5"/>
    <x v="3"/>
    <x v="0"/>
    <n v="8463"/>
    <x v="1"/>
    <n v="23490"/>
    <n v="0"/>
    <s v="Y"/>
    <x v="0"/>
    <n v="18"/>
    <n v="3"/>
    <n v="4"/>
    <n v="80"/>
    <n v="0"/>
    <n v="6"/>
    <n v="4"/>
    <x v="0"/>
    <x v="5"/>
    <x v="4"/>
    <n v="1"/>
  </r>
  <r>
    <s v="RM1057"/>
    <n v="28"/>
    <x v="1"/>
    <s v="Yes"/>
    <n v="1"/>
    <s v="Travel_Frequently"/>
    <n v="1496"/>
    <x v="1"/>
    <x v="4"/>
    <x v="0"/>
    <x v="3"/>
    <n v="1"/>
    <n v="1486"/>
    <x v="3"/>
    <x v="0"/>
    <n v="92"/>
    <n v="3"/>
    <x v="0"/>
    <x v="1"/>
    <x v="0"/>
    <x v="2"/>
    <n v="2909"/>
    <x v="0"/>
    <n v="15747"/>
    <n v="3"/>
    <s v="Y"/>
    <x v="0"/>
    <n v="15"/>
    <n v="3"/>
    <n v="4"/>
    <n v="80"/>
    <n v="1"/>
    <n v="5"/>
    <n v="3"/>
    <x v="1"/>
    <x v="3"/>
    <x v="2"/>
    <n v="1"/>
  </r>
  <r>
    <s v="RM1069"/>
    <n v="28"/>
    <x v="1"/>
    <s v="Yes"/>
    <n v="1"/>
    <s v="Travel_Frequently"/>
    <n v="289"/>
    <x v="0"/>
    <x v="7"/>
    <x v="1"/>
    <x v="1"/>
    <n v="1"/>
    <n v="1504"/>
    <x v="0"/>
    <x v="0"/>
    <n v="38"/>
    <n v="2"/>
    <x v="0"/>
    <x v="0"/>
    <x v="3"/>
    <x v="0"/>
    <n v="2561"/>
    <x v="0"/>
    <n v="5355"/>
    <n v="7"/>
    <s v="Y"/>
    <x v="0"/>
    <n v="11"/>
    <n v="3"/>
    <n v="3"/>
    <n v="80"/>
    <n v="0"/>
    <n v="8"/>
    <n v="2"/>
    <x v="3"/>
    <x v="0"/>
    <x v="0"/>
    <n v="0"/>
  </r>
  <r>
    <s v="RM1070"/>
    <n v="28"/>
    <x v="1"/>
    <s v="No"/>
    <n v="0"/>
    <s v="Travel_Rarely"/>
    <n v="1423"/>
    <x v="0"/>
    <x v="4"/>
    <x v="0"/>
    <x v="0"/>
    <n v="1"/>
    <n v="1506"/>
    <x v="3"/>
    <x v="0"/>
    <n v="72"/>
    <n v="2"/>
    <x v="0"/>
    <x v="2"/>
    <x v="0"/>
    <x v="1"/>
    <n v="1563"/>
    <x v="0"/>
    <n v="12530"/>
    <n v="1"/>
    <s v="Y"/>
    <x v="0"/>
    <n v="14"/>
    <n v="3"/>
    <n v="4"/>
    <n v="80"/>
    <n v="1"/>
    <n v="1"/>
    <n v="2"/>
    <x v="2"/>
    <x v="1"/>
    <x v="0"/>
    <n v="0"/>
  </r>
  <r>
    <s v="RM1071"/>
    <n v="28"/>
    <x v="1"/>
    <s v="No"/>
    <n v="0"/>
    <s v="Travel_Frequently"/>
    <n v="467"/>
    <x v="1"/>
    <x v="17"/>
    <x v="0"/>
    <x v="0"/>
    <n v="1"/>
    <n v="1507"/>
    <x v="0"/>
    <x v="0"/>
    <n v="55"/>
    <n v="3"/>
    <x v="1"/>
    <x v="5"/>
    <x v="3"/>
    <x v="0"/>
    <n v="4898"/>
    <x v="0"/>
    <n v="11827"/>
    <n v="0"/>
    <s v="Y"/>
    <x v="0"/>
    <n v="14"/>
    <n v="3"/>
    <n v="4"/>
    <n v="80"/>
    <n v="0"/>
    <n v="5"/>
    <n v="5"/>
    <x v="0"/>
    <x v="4"/>
    <x v="2"/>
    <n v="1"/>
  </r>
  <r>
    <s v="RM1074"/>
    <n v="28"/>
    <x v="1"/>
    <s v="No"/>
    <n v="0"/>
    <s v="Travel_Rarely"/>
    <n v="1083"/>
    <x v="0"/>
    <x v="26"/>
    <x v="2"/>
    <x v="0"/>
    <n v="1"/>
    <n v="1514"/>
    <x v="0"/>
    <x v="0"/>
    <n v="96"/>
    <n v="1"/>
    <x v="1"/>
    <x v="4"/>
    <x v="1"/>
    <x v="2"/>
    <n v="6549"/>
    <x v="1"/>
    <n v="3173"/>
    <n v="1"/>
    <s v="Y"/>
    <x v="0"/>
    <n v="14"/>
    <n v="3"/>
    <n v="2"/>
    <n v="80"/>
    <n v="2"/>
    <n v="8"/>
    <n v="2"/>
    <x v="3"/>
    <x v="8"/>
    <x v="8"/>
    <n v="1"/>
  </r>
  <r>
    <s v="RM1137"/>
    <n v="28"/>
    <x v="1"/>
    <s v="Yes"/>
    <n v="1"/>
    <s v="Travel_Rarely"/>
    <n v="329"/>
    <x v="0"/>
    <x v="22"/>
    <x v="0"/>
    <x v="1"/>
    <n v="1"/>
    <n v="1604"/>
    <x v="0"/>
    <x v="0"/>
    <n v="51"/>
    <n v="3"/>
    <x v="0"/>
    <x v="0"/>
    <x v="1"/>
    <x v="2"/>
    <n v="2408"/>
    <x v="0"/>
    <n v="7324"/>
    <n v="1"/>
    <s v="Y"/>
    <x v="1"/>
    <n v="17"/>
    <n v="3"/>
    <n v="3"/>
    <n v="80"/>
    <n v="3"/>
    <n v="1"/>
    <n v="3"/>
    <x v="0"/>
    <x v="1"/>
    <x v="1"/>
    <n v="0"/>
  </r>
  <r>
    <s v="RM1152"/>
    <n v="28"/>
    <x v="1"/>
    <s v="No"/>
    <n v="0"/>
    <s v="Travel_Rarely"/>
    <n v="580"/>
    <x v="0"/>
    <x v="28"/>
    <x v="0"/>
    <x v="1"/>
    <n v="1"/>
    <n v="1622"/>
    <x v="2"/>
    <x v="1"/>
    <n v="39"/>
    <n v="1"/>
    <x v="1"/>
    <x v="4"/>
    <x v="3"/>
    <x v="1"/>
    <n v="4877"/>
    <x v="0"/>
    <n v="20460"/>
    <n v="0"/>
    <s v="Y"/>
    <x v="0"/>
    <n v="21"/>
    <n v="4"/>
    <n v="2"/>
    <n v="80"/>
    <n v="1"/>
    <n v="6"/>
    <n v="5"/>
    <x v="3"/>
    <x v="5"/>
    <x v="3"/>
    <n v="0"/>
  </r>
  <r>
    <s v="RM1284"/>
    <n v="28"/>
    <x v="1"/>
    <s v="No"/>
    <n v="0"/>
    <s v="Travel_Rarely"/>
    <n v="1181"/>
    <x v="0"/>
    <x v="4"/>
    <x v="0"/>
    <x v="0"/>
    <n v="1"/>
    <n v="1799"/>
    <x v="0"/>
    <x v="0"/>
    <n v="82"/>
    <n v="3"/>
    <x v="0"/>
    <x v="2"/>
    <x v="2"/>
    <x v="2"/>
    <n v="2044"/>
    <x v="0"/>
    <n v="5531"/>
    <n v="1"/>
    <s v="Y"/>
    <x v="0"/>
    <n v="11"/>
    <n v="3"/>
    <n v="3"/>
    <n v="80"/>
    <n v="1"/>
    <n v="5"/>
    <n v="6"/>
    <x v="1"/>
    <x v="5"/>
    <x v="3"/>
    <n v="0"/>
  </r>
  <r>
    <s v="RM1308"/>
    <n v="28"/>
    <x v="1"/>
    <s v="No"/>
    <n v="0"/>
    <s v="Travel_Rarely"/>
    <n v="1217"/>
    <x v="0"/>
    <x v="4"/>
    <x v="0"/>
    <x v="1"/>
    <n v="1"/>
    <n v="1834"/>
    <x v="0"/>
    <x v="1"/>
    <n v="67"/>
    <n v="3"/>
    <x v="0"/>
    <x v="2"/>
    <x v="3"/>
    <x v="2"/>
    <n v="3591"/>
    <x v="0"/>
    <n v="12719"/>
    <n v="1"/>
    <s v="Y"/>
    <x v="0"/>
    <n v="25"/>
    <n v="4"/>
    <n v="3"/>
    <n v="80"/>
    <n v="1"/>
    <n v="3"/>
    <n v="3"/>
    <x v="0"/>
    <x v="3"/>
    <x v="2"/>
    <n v="1"/>
  </r>
  <r>
    <s v="RM1324"/>
    <n v="28"/>
    <x v="1"/>
    <s v="No"/>
    <n v="0"/>
    <s v="Non-Travel"/>
    <n v="280"/>
    <x v="2"/>
    <x v="4"/>
    <x v="1"/>
    <x v="0"/>
    <n v="1"/>
    <n v="1858"/>
    <x v="0"/>
    <x v="0"/>
    <n v="43"/>
    <n v="3"/>
    <x v="0"/>
    <x v="3"/>
    <x v="2"/>
    <x v="1"/>
    <n v="2706"/>
    <x v="0"/>
    <n v="10494"/>
    <n v="1"/>
    <s v="Y"/>
    <x v="0"/>
    <n v="15"/>
    <n v="3"/>
    <n v="2"/>
    <n v="80"/>
    <n v="1"/>
    <n v="3"/>
    <n v="2"/>
    <x v="0"/>
    <x v="3"/>
    <x v="2"/>
    <n v="2"/>
  </r>
  <r>
    <s v="RM1338"/>
    <n v="28"/>
    <x v="1"/>
    <s v="No"/>
    <n v="0"/>
    <s v="Travel_Rarely"/>
    <n v="1172"/>
    <x v="1"/>
    <x v="0"/>
    <x v="0"/>
    <x v="1"/>
    <n v="1"/>
    <n v="1875"/>
    <x v="2"/>
    <x v="1"/>
    <n v="78"/>
    <n v="3"/>
    <x v="0"/>
    <x v="1"/>
    <x v="1"/>
    <x v="2"/>
    <n v="2856"/>
    <x v="0"/>
    <n v="3692"/>
    <n v="1"/>
    <s v="Y"/>
    <x v="0"/>
    <n v="19"/>
    <n v="3"/>
    <n v="4"/>
    <n v="80"/>
    <n v="1"/>
    <n v="1"/>
    <n v="3"/>
    <x v="0"/>
    <x v="1"/>
    <x v="0"/>
    <n v="0"/>
  </r>
  <r>
    <s v="RM1365"/>
    <n v="28"/>
    <x v="1"/>
    <s v="No"/>
    <n v="0"/>
    <s v="Travel_Frequently"/>
    <n v="783"/>
    <x v="1"/>
    <x v="4"/>
    <x v="1"/>
    <x v="0"/>
    <n v="1"/>
    <n v="1927"/>
    <x v="0"/>
    <x v="0"/>
    <n v="42"/>
    <n v="2"/>
    <x v="1"/>
    <x v="5"/>
    <x v="2"/>
    <x v="2"/>
    <n v="6834"/>
    <x v="1"/>
    <n v="19255"/>
    <n v="1"/>
    <s v="Y"/>
    <x v="1"/>
    <n v="12"/>
    <n v="3"/>
    <n v="3"/>
    <n v="80"/>
    <n v="1"/>
    <n v="7"/>
    <n v="2"/>
    <x v="0"/>
    <x v="7"/>
    <x v="6"/>
    <n v="0"/>
  </r>
  <r>
    <s v="RM1370"/>
    <n v="28"/>
    <x v="1"/>
    <s v="Yes"/>
    <n v="1"/>
    <s v="Travel_Rarely"/>
    <n v="1475"/>
    <x v="1"/>
    <x v="25"/>
    <x v="1"/>
    <x v="2"/>
    <n v="1"/>
    <n v="1933"/>
    <x v="1"/>
    <x v="1"/>
    <n v="84"/>
    <n v="3"/>
    <x v="1"/>
    <x v="5"/>
    <x v="0"/>
    <x v="0"/>
    <n v="9854"/>
    <x v="1"/>
    <n v="23352"/>
    <n v="3"/>
    <s v="Y"/>
    <x v="1"/>
    <n v="11"/>
    <n v="3"/>
    <n v="4"/>
    <n v="80"/>
    <n v="0"/>
    <n v="6"/>
    <n v="0"/>
    <x v="0"/>
    <x v="2"/>
    <x v="0"/>
    <n v="2"/>
  </r>
  <r>
    <s v="RM1382"/>
    <n v="28"/>
    <x v="1"/>
    <s v="No"/>
    <n v="0"/>
    <s v="Non-Travel"/>
    <n v="1103"/>
    <x v="0"/>
    <x v="18"/>
    <x v="0"/>
    <x v="1"/>
    <n v="1"/>
    <n v="1947"/>
    <x v="0"/>
    <x v="0"/>
    <n v="49"/>
    <n v="3"/>
    <x v="0"/>
    <x v="2"/>
    <x v="0"/>
    <x v="0"/>
    <n v="2144"/>
    <x v="0"/>
    <n v="2122"/>
    <n v="1"/>
    <s v="Y"/>
    <x v="0"/>
    <n v="14"/>
    <n v="3"/>
    <n v="3"/>
    <n v="80"/>
    <n v="0"/>
    <n v="5"/>
    <n v="3"/>
    <x v="3"/>
    <x v="5"/>
    <x v="3"/>
    <n v="1"/>
  </r>
  <r>
    <s v="RM1391"/>
    <n v="28"/>
    <x v="1"/>
    <s v="Yes"/>
    <n v="1"/>
    <s v="Travel_Rarely"/>
    <n v="1404"/>
    <x v="0"/>
    <x v="24"/>
    <x v="0"/>
    <x v="3"/>
    <n v="1"/>
    <n v="1960"/>
    <x v="0"/>
    <x v="0"/>
    <n v="32"/>
    <n v="2"/>
    <x v="0"/>
    <x v="0"/>
    <x v="2"/>
    <x v="1"/>
    <n v="2367"/>
    <x v="0"/>
    <n v="18779"/>
    <n v="5"/>
    <s v="Y"/>
    <x v="0"/>
    <n v="12"/>
    <n v="3"/>
    <n v="1"/>
    <n v="80"/>
    <n v="1"/>
    <n v="6"/>
    <n v="2"/>
    <x v="3"/>
    <x v="4"/>
    <x v="1"/>
    <n v="0"/>
  </r>
  <r>
    <s v="RM012"/>
    <n v="29"/>
    <x v="1"/>
    <s v="No"/>
    <n v="0"/>
    <s v="Travel_Rarely"/>
    <n v="153"/>
    <x v="0"/>
    <x v="14"/>
    <x v="1"/>
    <x v="0"/>
    <n v="1"/>
    <n v="15"/>
    <x v="1"/>
    <x v="1"/>
    <n v="49"/>
    <n v="2"/>
    <x v="1"/>
    <x v="0"/>
    <x v="0"/>
    <x v="0"/>
    <n v="4193"/>
    <x v="0"/>
    <n v="12682"/>
    <n v="0"/>
    <s v="Y"/>
    <x v="1"/>
    <n v="12"/>
    <n v="3"/>
    <n v="4"/>
    <n v="80"/>
    <n v="0"/>
    <n v="10"/>
    <n v="3"/>
    <x v="0"/>
    <x v="9"/>
    <x v="5"/>
    <n v="0"/>
  </r>
  <r>
    <s v="RM016"/>
    <n v="29"/>
    <x v="1"/>
    <s v="No"/>
    <n v="0"/>
    <s v="Travel_Rarely"/>
    <n v="1389"/>
    <x v="0"/>
    <x v="8"/>
    <x v="3"/>
    <x v="0"/>
    <n v="1"/>
    <n v="20"/>
    <x v="2"/>
    <x v="1"/>
    <n v="51"/>
    <n v="4"/>
    <x v="2"/>
    <x v="4"/>
    <x v="3"/>
    <x v="1"/>
    <n v="9980"/>
    <x v="1"/>
    <n v="10195"/>
    <n v="1"/>
    <s v="Y"/>
    <x v="0"/>
    <n v="11"/>
    <n v="3"/>
    <n v="3"/>
    <n v="80"/>
    <n v="1"/>
    <n v="10"/>
    <n v="1"/>
    <x v="0"/>
    <x v="10"/>
    <x v="9"/>
    <n v="8"/>
  </r>
  <r>
    <s v="RM072"/>
    <n v="29"/>
    <x v="1"/>
    <s v="No"/>
    <n v="0"/>
    <s v="Travel_Rarely"/>
    <n v="1328"/>
    <x v="0"/>
    <x v="7"/>
    <x v="0"/>
    <x v="0"/>
    <n v="1"/>
    <n v="94"/>
    <x v="0"/>
    <x v="0"/>
    <n v="76"/>
    <n v="3"/>
    <x v="0"/>
    <x v="2"/>
    <x v="1"/>
    <x v="2"/>
    <n v="2703"/>
    <x v="0"/>
    <n v="4956"/>
    <n v="0"/>
    <s v="Y"/>
    <x v="0"/>
    <n v="23"/>
    <n v="4"/>
    <n v="4"/>
    <n v="80"/>
    <n v="1"/>
    <n v="6"/>
    <n v="3"/>
    <x v="0"/>
    <x v="5"/>
    <x v="4"/>
    <n v="0"/>
  </r>
  <r>
    <s v="RM156"/>
    <n v="29"/>
    <x v="1"/>
    <s v="No"/>
    <n v="0"/>
    <s v="Non-Travel"/>
    <n v="1496"/>
    <x v="0"/>
    <x v="4"/>
    <x v="2"/>
    <x v="3"/>
    <n v="1"/>
    <n v="208"/>
    <x v="1"/>
    <x v="0"/>
    <n v="41"/>
    <n v="3"/>
    <x v="1"/>
    <x v="4"/>
    <x v="0"/>
    <x v="2"/>
    <n v="4319"/>
    <x v="0"/>
    <n v="26283"/>
    <n v="1"/>
    <s v="Y"/>
    <x v="0"/>
    <n v="13"/>
    <n v="3"/>
    <n v="1"/>
    <n v="80"/>
    <n v="1"/>
    <n v="10"/>
    <n v="1"/>
    <x v="0"/>
    <x v="10"/>
    <x v="6"/>
    <n v="0"/>
  </r>
  <r>
    <s v="RM206"/>
    <n v="29"/>
    <x v="1"/>
    <s v="Yes"/>
    <n v="1"/>
    <s v="Travel_Rarely"/>
    <n v="121"/>
    <x v="1"/>
    <x v="28"/>
    <x v="0"/>
    <x v="2"/>
    <n v="1"/>
    <n v="283"/>
    <x v="2"/>
    <x v="1"/>
    <n v="35"/>
    <n v="3"/>
    <x v="2"/>
    <x v="5"/>
    <x v="2"/>
    <x v="2"/>
    <n v="7639"/>
    <x v="1"/>
    <n v="24525"/>
    <n v="1"/>
    <s v="Y"/>
    <x v="0"/>
    <n v="22"/>
    <n v="4"/>
    <n v="4"/>
    <n v="80"/>
    <n v="3"/>
    <n v="10"/>
    <n v="3"/>
    <x v="3"/>
    <x v="10"/>
    <x v="4"/>
    <n v="1"/>
  </r>
  <r>
    <s v="RM218"/>
    <n v="29"/>
    <x v="1"/>
    <s v="Yes"/>
    <n v="1"/>
    <s v="Travel_Rarely"/>
    <n v="992"/>
    <x v="0"/>
    <x v="4"/>
    <x v="0"/>
    <x v="3"/>
    <n v="1"/>
    <n v="300"/>
    <x v="0"/>
    <x v="0"/>
    <n v="85"/>
    <n v="3"/>
    <x v="0"/>
    <x v="2"/>
    <x v="0"/>
    <x v="0"/>
    <n v="2058"/>
    <x v="0"/>
    <n v="19757"/>
    <n v="0"/>
    <s v="Y"/>
    <x v="0"/>
    <n v="14"/>
    <n v="3"/>
    <n v="4"/>
    <n v="80"/>
    <n v="0"/>
    <n v="7"/>
    <n v="1"/>
    <x v="3"/>
    <x v="6"/>
    <x v="2"/>
    <n v="1"/>
  </r>
  <r>
    <s v="RM228"/>
    <n v="29"/>
    <x v="1"/>
    <s v="No"/>
    <n v="0"/>
    <s v="Travel_Frequently"/>
    <n v="1413"/>
    <x v="1"/>
    <x v="4"/>
    <x v="2"/>
    <x v="1"/>
    <n v="1"/>
    <n v="312"/>
    <x v="2"/>
    <x v="1"/>
    <n v="42"/>
    <n v="3"/>
    <x v="2"/>
    <x v="5"/>
    <x v="2"/>
    <x v="2"/>
    <n v="7918"/>
    <x v="1"/>
    <n v="6599"/>
    <n v="1"/>
    <s v="Y"/>
    <x v="0"/>
    <n v="14"/>
    <n v="3"/>
    <n v="4"/>
    <n v="80"/>
    <n v="1"/>
    <n v="11"/>
    <n v="5"/>
    <x v="0"/>
    <x v="11"/>
    <x v="10"/>
    <n v="4"/>
  </r>
  <r>
    <s v="RM230"/>
    <n v="29"/>
    <x v="1"/>
    <s v="Yes"/>
    <n v="1"/>
    <s v="Travel_Rarely"/>
    <n v="896"/>
    <x v="0"/>
    <x v="16"/>
    <x v="2"/>
    <x v="1"/>
    <n v="1"/>
    <n v="315"/>
    <x v="0"/>
    <x v="0"/>
    <n v="86"/>
    <n v="2"/>
    <x v="0"/>
    <x v="2"/>
    <x v="2"/>
    <x v="0"/>
    <n v="2389"/>
    <x v="0"/>
    <n v="14961"/>
    <n v="1"/>
    <s v="Y"/>
    <x v="1"/>
    <n v="13"/>
    <n v="3"/>
    <n v="3"/>
    <n v="80"/>
    <n v="0"/>
    <n v="4"/>
    <n v="3"/>
    <x v="3"/>
    <x v="4"/>
    <x v="3"/>
    <n v="0"/>
  </r>
  <r>
    <s v="RM253"/>
    <n v="29"/>
    <x v="1"/>
    <s v="No"/>
    <n v="0"/>
    <s v="Travel_Rarely"/>
    <n v="665"/>
    <x v="0"/>
    <x v="14"/>
    <x v="0"/>
    <x v="0"/>
    <n v="1"/>
    <n v="346"/>
    <x v="0"/>
    <x v="0"/>
    <n v="60"/>
    <n v="3"/>
    <x v="0"/>
    <x v="2"/>
    <x v="2"/>
    <x v="0"/>
    <n v="2340"/>
    <x v="0"/>
    <n v="22673"/>
    <n v="1"/>
    <s v="Y"/>
    <x v="0"/>
    <n v="19"/>
    <n v="3"/>
    <n v="1"/>
    <n v="80"/>
    <n v="0"/>
    <n v="6"/>
    <n v="1"/>
    <x v="0"/>
    <x v="6"/>
    <x v="5"/>
    <n v="1"/>
  </r>
  <r>
    <s v="RM255"/>
    <n v="29"/>
    <x v="1"/>
    <s v="No"/>
    <n v="0"/>
    <s v="Travel_Rarely"/>
    <n v="1247"/>
    <x v="1"/>
    <x v="21"/>
    <x v="1"/>
    <x v="2"/>
    <n v="1"/>
    <n v="349"/>
    <x v="1"/>
    <x v="0"/>
    <n v="45"/>
    <n v="3"/>
    <x v="1"/>
    <x v="5"/>
    <x v="2"/>
    <x v="1"/>
    <n v="6931"/>
    <x v="1"/>
    <n v="10732"/>
    <n v="2"/>
    <s v="Y"/>
    <x v="0"/>
    <n v="14"/>
    <n v="3"/>
    <n v="4"/>
    <n v="80"/>
    <n v="1"/>
    <n v="10"/>
    <n v="2"/>
    <x v="0"/>
    <x v="3"/>
    <x v="2"/>
    <n v="0"/>
  </r>
  <r>
    <s v="RM266"/>
    <n v="29"/>
    <x v="1"/>
    <s v="No"/>
    <n v="0"/>
    <s v="Travel_Rarely"/>
    <n v="1210"/>
    <x v="1"/>
    <x v="7"/>
    <x v="0"/>
    <x v="1"/>
    <n v="1"/>
    <n v="366"/>
    <x v="3"/>
    <x v="0"/>
    <n v="78"/>
    <n v="2"/>
    <x v="1"/>
    <x v="5"/>
    <x v="1"/>
    <x v="2"/>
    <n v="6644"/>
    <x v="1"/>
    <n v="3687"/>
    <n v="2"/>
    <s v="Y"/>
    <x v="0"/>
    <n v="19"/>
    <n v="3"/>
    <n v="2"/>
    <n v="80"/>
    <n v="2"/>
    <n v="10"/>
    <n v="2"/>
    <x v="0"/>
    <x v="0"/>
    <x v="0"/>
    <n v="0"/>
  </r>
  <r>
    <s v="RM283"/>
    <n v="29"/>
    <x v="1"/>
    <s v="No"/>
    <n v="0"/>
    <s v="Travel_Frequently"/>
    <n v="442"/>
    <x v="1"/>
    <x v="7"/>
    <x v="1"/>
    <x v="0"/>
    <n v="1"/>
    <n v="388"/>
    <x v="2"/>
    <x v="0"/>
    <n v="44"/>
    <n v="3"/>
    <x v="1"/>
    <x v="5"/>
    <x v="2"/>
    <x v="0"/>
    <n v="4554"/>
    <x v="0"/>
    <n v="20260"/>
    <n v="1"/>
    <s v="Y"/>
    <x v="0"/>
    <n v="18"/>
    <n v="3"/>
    <n v="1"/>
    <n v="80"/>
    <n v="0"/>
    <n v="10"/>
    <n v="3"/>
    <x v="3"/>
    <x v="10"/>
    <x v="6"/>
    <n v="0"/>
  </r>
  <r>
    <s v="RM337"/>
    <n v="29"/>
    <x v="1"/>
    <s v="Yes"/>
    <n v="1"/>
    <s v="Travel_Rarely"/>
    <n v="318"/>
    <x v="0"/>
    <x v="3"/>
    <x v="3"/>
    <x v="4"/>
    <n v="1"/>
    <n v="454"/>
    <x v="2"/>
    <x v="0"/>
    <n v="77"/>
    <n v="1"/>
    <x v="0"/>
    <x v="0"/>
    <x v="3"/>
    <x v="2"/>
    <n v="2119"/>
    <x v="0"/>
    <n v="4759"/>
    <n v="1"/>
    <s v="Y"/>
    <x v="1"/>
    <n v="11"/>
    <n v="3"/>
    <n v="4"/>
    <n v="80"/>
    <n v="0"/>
    <n v="7"/>
    <n v="4"/>
    <x v="3"/>
    <x v="7"/>
    <x v="6"/>
    <n v="0"/>
  </r>
  <r>
    <s v="RM338"/>
    <n v="29"/>
    <x v="1"/>
    <s v="No"/>
    <n v="0"/>
    <s v="Travel_Rarely"/>
    <n v="738"/>
    <x v="0"/>
    <x v="9"/>
    <x v="4"/>
    <x v="4"/>
    <n v="1"/>
    <n v="455"/>
    <x v="2"/>
    <x v="0"/>
    <n v="30"/>
    <n v="2"/>
    <x v="0"/>
    <x v="0"/>
    <x v="2"/>
    <x v="0"/>
    <n v="3983"/>
    <x v="0"/>
    <n v="7621"/>
    <n v="0"/>
    <s v="Y"/>
    <x v="0"/>
    <n v="17"/>
    <n v="3"/>
    <n v="3"/>
    <n v="80"/>
    <n v="0"/>
    <n v="4"/>
    <n v="2"/>
    <x v="0"/>
    <x v="3"/>
    <x v="2"/>
    <n v="2"/>
  </r>
  <r>
    <s v="RM344"/>
    <n v="29"/>
    <x v="1"/>
    <s v="No"/>
    <n v="0"/>
    <s v="Travel_Rarely"/>
    <n v="144"/>
    <x v="1"/>
    <x v="1"/>
    <x v="2"/>
    <x v="2"/>
    <n v="1"/>
    <n v="463"/>
    <x v="1"/>
    <x v="1"/>
    <n v="39"/>
    <n v="2"/>
    <x v="1"/>
    <x v="5"/>
    <x v="1"/>
    <x v="1"/>
    <n v="8268"/>
    <x v="1"/>
    <n v="11866"/>
    <n v="1"/>
    <s v="Y"/>
    <x v="1"/>
    <n v="14"/>
    <n v="3"/>
    <n v="1"/>
    <n v="80"/>
    <n v="2"/>
    <n v="7"/>
    <n v="2"/>
    <x v="0"/>
    <x v="7"/>
    <x v="6"/>
    <n v="1"/>
  </r>
  <r>
    <s v="RM350"/>
    <n v="29"/>
    <x v="1"/>
    <s v="No"/>
    <n v="0"/>
    <s v="Non-Travel"/>
    <n v="746"/>
    <x v="1"/>
    <x v="7"/>
    <x v="0"/>
    <x v="0"/>
    <n v="1"/>
    <n v="469"/>
    <x v="1"/>
    <x v="0"/>
    <n v="61"/>
    <n v="3"/>
    <x v="1"/>
    <x v="5"/>
    <x v="0"/>
    <x v="2"/>
    <n v="4649"/>
    <x v="0"/>
    <n v="16928"/>
    <n v="1"/>
    <s v="Y"/>
    <x v="0"/>
    <n v="14"/>
    <n v="3"/>
    <n v="1"/>
    <n v="80"/>
    <n v="1"/>
    <n v="4"/>
    <n v="3"/>
    <x v="3"/>
    <x v="4"/>
    <x v="3"/>
    <n v="0"/>
  </r>
  <r>
    <s v="RM372"/>
    <n v="29"/>
    <x v="1"/>
    <s v="No"/>
    <n v="0"/>
    <s v="Travel_Rarely"/>
    <n v="1283"/>
    <x v="0"/>
    <x v="23"/>
    <x v="0"/>
    <x v="0"/>
    <n v="1"/>
    <n v="495"/>
    <x v="1"/>
    <x v="0"/>
    <n v="54"/>
    <n v="3"/>
    <x v="0"/>
    <x v="2"/>
    <x v="2"/>
    <x v="0"/>
    <n v="2201"/>
    <x v="0"/>
    <n v="18168"/>
    <n v="9"/>
    <s v="Y"/>
    <x v="0"/>
    <n v="16"/>
    <n v="3"/>
    <n v="4"/>
    <n v="80"/>
    <n v="0"/>
    <n v="6"/>
    <n v="4"/>
    <x v="0"/>
    <x v="3"/>
    <x v="2"/>
    <n v="1"/>
  </r>
  <r>
    <s v="RM421"/>
    <n v="29"/>
    <x v="1"/>
    <s v="No"/>
    <n v="0"/>
    <s v="Travel_Rarely"/>
    <n v="986"/>
    <x v="0"/>
    <x v="0"/>
    <x v="3"/>
    <x v="1"/>
    <n v="1"/>
    <n v="564"/>
    <x v="2"/>
    <x v="0"/>
    <n v="93"/>
    <n v="2"/>
    <x v="2"/>
    <x v="7"/>
    <x v="0"/>
    <x v="2"/>
    <n v="11935"/>
    <x v="2"/>
    <n v="21526"/>
    <n v="1"/>
    <s v="Y"/>
    <x v="0"/>
    <n v="18"/>
    <n v="3"/>
    <n v="3"/>
    <n v="80"/>
    <n v="0"/>
    <n v="10"/>
    <n v="2"/>
    <x v="0"/>
    <x v="10"/>
    <x v="2"/>
    <n v="0"/>
  </r>
  <r>
    <s v="RM422"/>
    <n v="29"/>
    <x v="1"/>
    <s v="Yes"/>
    <n v="1"/>
    <s v="Travel_Rarely"/>
    <n v="408"/>
    <x v="0"/>
    <x v="10"/>
    <x v="4"/>
    <x v="3"/>
    <n v="1"/>
    <n v="565"/>
    <x v="0"/>
    <x v="1"/>
    <n v="71"/>
    <n v="2"/>
    <x v="0"/>
    <x v="2"/>
    <x v="1"/>
    <x v="2"/>
    <n v="2546"/>
    <x v="0"/>
    <n v="18300"/>
    <n v="5"/>
    <s v="Y"/>
    <x v="0"/>
    <n v="16"/>
    <n v="3"/>
    <n v="2"/>
    <n v="80"/>
    <n v="0"/>
    <n v="6"/>
    <n v="2"/>
    <x v="1"/>
    <x v="2"/>
    <x v="2"/>
    <n v="1"/>
  </r>
  <r>
    <s v="RM455"/>
    <n v="29"/>
    <x v="1"/>
    <s v="No"/>
    <n v="0"/>
    <s v="Travel_Rarely"/>
    <n v="232"/>
    <x v="0"/>
    <x v="19"/>
    <x v="0"/>
    <x v="3"/>
    <n v="1"/>
    <n v="611"/>
    <x v="1"/>
    <x v="0"/>
    <n v="34"/>
    <n v="3"/>
    <x v="1"/>
    <x v="4"/>
    <x v="2"/>
    <x v="1"/>
    <n v="4262"/>
    <x v="0"/>
    <n v="22645"/>
    <n v="4"/>
    <s v="Y"/>
    <x v="0"/>
    <n v="12"/>
    <n v="3"/>
    <n v="2"/>
    <n v="80"/>
    <n v="2"/>
    <n v="8"/>
    <n v="2"/>
    <x v="1"/>
    <x v="3"/>
    <x v="2"/>
    <n v="1"/>
  </r>
  <r>
    <s v="RM508"/>
    <n v="29"/>
    <x v="1"/>
    <s v="No"/>
    <n v="0"/>
    <s v="Travel_Rarely"/>
    <n v="1176"/>
    <x v="1"/>
    <x v="0"/>
    <x v="1"/>
    <x v="1"/>
    <n v="1"/>
    <n v="690"/>
    <x v="2"/>
    <x v="1"/>
    <n v="62"/>
    <n v="3"/>
    <x v="1"/>
    <x v="5"/>
    <x v="0"/>
    <x v="2"/>
    <n v="5561"/>
    <x v="1"/>
    <n v="3487"/>
    <n v="1"/>
    <s v="Y"/>
    <x v="0"/>
    <n v="14"/>
    <n v="3"/>
    <n v="1"/>
    <n v="80"/>
    <n v="1"/>
    <n v="6"/>
    <n v="5"/>
    <x v="3"/>
    <x v="6"/>
    <x v="0"/>
    <n v="1"/>
  </r>
  <r>
    <s v="RM520"/>
    <n v="29"/>
    <x v="1"/>
    <s v="No"/>
    <n v="0"/>
    <s v="Travel_Frequently"/>
    <n v="806"/>
    <x v="0"/>
    <x v="4"/>
    <x v="3"/>
    <x v="0"/>
    <n v="1"/>
    <n v="710"/>
    <x v="2"/>
    <x v="0"/>
    <n v="76"/>
    <n v="1"/>
    <x v="0"/>
    <x v="2"/>
    <x v="2"/>
    <x v="1"/>
    <n v="2720"/>
    <x v="0"/>
    <n v="18959"/>
    <n v="1"/>
    <s v="Y"/>
    <x v="0"/>
    <n v="18"/>
    <n v="3"/>
    <n v="4"/>
    <n v="80"/>
    <n v="1"/>
    <n v="10"/>
    <n v="5"/>
    <x v="0"/>
    <x v="10"/>
    <x v="6"/>
    <n v="2"/>
  </r>
  <r>
    <s v="RM547"/>
    <n v="29"/>
    <x v="1"/>
    <s v="No"/>
    <n v="0"/>
    <s v="Travel_Rarely"/>
    <n v="1396"/>
    <x v="1"/>
    <x v="1"/>
    <x v="0"/>
    <x v="0"/>
    <n v="1"/>
    <n v="749"/>
    <x v="0"/>
    <x v="0"/>
    <n v="99"/>
    <n v="3"/>
    <x v="0"/>
    <x v="1"/>
    <x v="0"/>
    <x v="0"/>
    <n v="2642"/>
    <x v="0"/>
    <n v="2755"/>
    <n v="1"/>
    <s v="Y"/>
    <x v="0"/>
    <n v="11"/>
    <n v="3"/>
    <n v="3"/>
    <n v="80"/>
    <n v="0"/>
    <n v="1"/>
    <n v="6"/>
    <x v="0"/>
    <x v="1"/>
    <x v="0"/>
    <n v="0"/>
  </r>
  <r>
    <s v="RM556"/>
    <n v="29"/>
    <x v="1"/>
    <s v="No"/>
    <n v="0"/>
    <s v="Travel_Rarely"/>
    <n v="1090"/>
    <x v="1"/>
    <x v="1"/>
    <x v="0"/>
    <x v="2"/>
    <n v="1"/>
    <n v="766"/>
    <x v="1"/>
    <x v="0"/>
    <n v="83"/>
    <n v="3"/>
    <x v="0"/>
    <x v="1"/>
    <x v="1"/>
    <x v="1"/>
    <n v="2297"/>
    <x v="0"/>
    <n v="17967"/>
    <n v="1"/>
    <s v="Y"/>
    <x v="0"/>
    <n v="14"/>
    <n v="3"/>
    <n v="4"/>
    <n v="80"/>
    <n v="2"/>
    <n v="2"/>
    <n v="2"/>
    <x v="0"/>
    <x v="2"/>
    <x v="2"/>
    <n v="2"/>
  </r>
  <r>
    <s v="RM573"/>
    <n v="29"/>
    <x v="1"/>
    <s v="No"/>
    <n v="0"/>
    <s v="Travel_Rarely"/>
    <n v="657"/>
    <x v="0"/>
    <x v="28"/>
    <x v="0"/>
    <x v="1"/>
    <n v="1"/>
    <n v="793"/>
    <x v="2"/>
    <x v="1"/>
    <n v="66"/>
    <n v="3"/>
    <x v="1"/>
    <x v="6"/>
    <x v="0"/>
    <x v="2"/>
    <n v="4335"/>
    <x v="0"/>
    <n v="25549"/>
    <n v="4"/>
    <s v="Y"/>
    <x v="0"/>
    <n v="12"/>
    <n v="3"/>
    <n v="1"/>
    <n v="80"/>
    <n v="1"/>
    <n v="11"/>
    <n v="3"/>
    <x v="3"/>
    <x v="8"/>
    <x v="6"/>
    <n v="1"/>
  </r>
  <r>
    <s v="RM590"/>
    <n v="29"/>
    <x v="1"/>
    <s v="Yes"/>
    <n v="1"/>
    <s v="Travel_Rarely"/>
    <n v="805"/>
    <x v="0"/>
    <x v="4"/>
    <x v="1"/>
    <x v="0"/>
    <n v="1"/>
    <n v="816"/>
    <x v="2"/>
    <x v="1"/>
    <n v="36"/>
    <n v="2"/>
    <x v="0"/>
    <x v="0"/>
    <x v="3"/>
    <x v="2"/>
    <n v="2319"/>
    <x v="0"/>
    <n v="6689"/>
    <n v="1"/>
    <s v="Y"/>
    <x v="1"/>
    <n v="11"/>
    <n v="3"/>
    <n v="4"/>
    <n v="80"/>
    <n v="1"/>
    <n v="1"/>
    <n v="1"/>
    <x v="0"/>
    <x v="1"/>
    <x v="0"/>
    <n v="0"/>
  </r>
  <r>
    <s v="RM595"/>
    <n v="29"/>
    <x v="1"/>
    <s v="No"/>
    <n v="0"/>
    <s v="Travel_Rarely"/>
    <n v="1252"/>
    <x v="0"/>
    <x v="23"/>
    <x v="1"/>
    <x v="0"/>
    <n v="1"/>
    <n v="824"/>
    <x v="0"/>
    <x v="0"/>
    <n v="81"/>
    <n v="4"/>
    <x v="0"/>
    <x v="2"/>
    <x v="0"/>
    <x v="2"/>
    <n v="2700"/>
    <x v="0"/>
    <n v="23779"/>
    <n v="1"/>
    <s v="Y"/>
    <x v="0"/>
    <n v="24"/>
    <n v="4"/>
    <n v="3"/>
    <n v="80"/>
    <n v="1"/>
    <n v="10"/>
    <n v="3"/>
    <x v="0"/>
    <x v="10"/>
    <x v="6"/>
    <n v="0"/>
  </r>
  <r>
    <s v="RM646"/>
    <n v="29"/>
    <x v="1"/>
    <s v="Yes"/>
    <n v="1"/>
    <s v="Travel_Rarely"/>
    <n v="341"/>
    <x v="1"/>
    <x v="4"/>
    <x v="0"/>
    <x v="1"/>
    <n v="1"/>
    <n v="896"/>
    <x v="2"/>
    <x v="1"/>
    <n v="48"/>
    <n v="2"/>
    <x v="0"/>
    <x v="1"/>
    <x v="0"/>
    <x v="1"/>
    <n v="2800"/>
    <x v="0"/>
    <n v="23522"/>
    <n v="6"/>
    <s v="Y"/>
    <x v="1"/>
    <n v="19"/>
    <n v="3"/>
    <n v="3"/>
    <n v="80"/>
    <n v="3"/>
    <n v="5"/>
    <n v="3"/>
    <x v="0"/>
    <x v="3"/>
    <x v="2"/>
    <n v="0"/>
  </r>
  <r>
    <s v="RM658"/>
    <n v="29"/>
    <x v="1"/>
    <s v="No"/>
    <n v="0"/>
    <s v="Travel_Rarely"/>
    <n v="1086"/>
    <x v="0"/>
    <x v="17"/>
    <x v="2"/>
    <x v="1"/>
    <n v="1"/>
    <n v="912"/>
    <x v="3"/>
    <x v="1"/>
    <n v="62"/>
    <n v="2"/>
    <x v="0"/>
    <x v="0"/>
    <x v="2"/>
    <x v="1"/>
    <n v="2532"/>
    <x v="0"/>
    <n v="6054"/>
    <n v="6"/>
    <s v="Y"/>
    <x v="0"/>
    <n v="14"/>
    <n v="3"/>
    <n v="3"/>
    <n v="80"/>
    <n v="3"/>
    <n v="8"/>
    <n v="5"/>
    <x v="0"/>
    <x v="4"/>
    <x v="3"/>
    <n v="0"/>
  </r>
  <r>
    <s v="RM698"/>
    <n v="29"/>
    <x v="1"/>
    <s v="No"/>
    <n v="0"/>
    <s v="Travel_Frequently"/>
    <n v="1404"/>
    <x v="1"/>
    <x v="21"/>
    <x v="0"/>
    <x v="3"/>
    <n v="1"/>
    <n v="974"/>
    <x v="0"/>
    <x v="1"/>
    <n v="84"/>
    <n v="3"/>
    <x v="0"/>
    <x v="1"/>
    <x v="2"/>
    <x v="2"/>
    <n v="2157"/>
    <x v="0"/>
    <n v="18203"/>
    <n v="1"/>
    <s v="Y"/>
    <x v="0"/>
    <n v="15"/>
    <n v="3"/>
    <n v="2"/>
    <n v="80"/>
    <n v="1"/>
    <n v="3"/>
    <n v="5"/>
    <x v="0"/>
    <x v="3"/>
    <x v="1"/>
    <n v="0"/>
  </r>
  <r>
    <s v="RM712"/>
    <n v="29"/>
    <x v="1"/>
    <s v="Yes"/>
    <n v="1"/>
    <s v="Travel_Rarely"/>
    <n v="906"/>
    <x v="0"/>
    <x v="1"/>
    <x v="0"/>
    <x v="0"/>
    <n v="1"/>
    <n v="994"/>
    <x v="1"/>
    <x v="1"/>
    <n v="92"/>
    <n v="2"/>
    <x v="0"/>
    <x v="2"/>
    <x v="3"/>
    <x v="0"/>
    <n v="2404"/>
    <x v="0"/>
    <n v="11479"/>
    <n v="6"/>
    <s v="Y"/>
    <x v="1"/>
    <n v="20"/>
    <n v="4"/>
    <n v="3"/>
    <n v="80"/>
    <n v="0"/>
    <n v="3"/>
    <n v="5"/>
    <x v="0"/>
    <x v="0"/>
    <x v="0"/>
    <n v="0"/>
  </r>
  <r>
    <s v="RM809"/>
    <n v="29"/>
    <x v="1"/>
    <s v="No"/>
    <n v="0"/>
    <s v="Travel_Rarely"/>
    <n v="1107"/>
    <x v="0"/>
    <x v="27"/>
    <x v="3"/>
    <x v="0"/>
    <n v="1"/>
    <n v="1120"/>
    <x v="0"/>
    <x v="1"/>
    <n v="93"/>
    <n v="3"/>
    <x v="0"/>
    <x v="2"/>
    <x v="2"/>
    <x v="1"/>
    <n v="2514"/>
    <x v="0"/>
    <n v="26968"/>
    <n v="4"/>
    <s v="Y"/>
    <x v="0"/>
    <n v="22"/>
    <n v="4"/>
    <n v="1"/>
    <n v="80"/>
    <n v="1"/>
    <n v="11"/>
    <n v="1"/>
    <x v="0"/>
    <x v="7"/>
    <x v="5"/>
    <n v="1"/>
  </r>
  <r>
    <s v="RM824"/>
    <n v="29"/>
    <x v="1"/>
    <s v="No"/>
    <n v="0"/>
    <s v="Travel_Frequently"/>
    <n v="490"/>
    <x v="0"/>
    <x v="1"/>
    <x v="0"/>
    <x v="0"/>
    <n v="1"/>
    <n v="1143"/>
    <x v="1"/>
    <x v="1"/>
    <n v="61"/>
    <n v="3"/>
    <x v="0"/>
    <x v="2"/>
    <x v="1"/>
    <x v="1"/>
    <n v="3291"/>
    <x v="0"/>
    <n v="17940"/>
    <n v="0"/>
    <s v="Y"/>
    <x v="0"/>
    <n v="14"/>
    <n v="3"/>
    <n v="4"/>
    <n v="80"/>
    <n v="2"/>
    <n v="8"/>
    <n v="2"/>
    <x v="3"/>
    <x v="7"/>
    <x v="5"/>
    <n v="1"/>
  </r>
  <r>
    <s v="RM826"/>
    <n v="29"/>
    <x v="1"/>
    <s v="No"/>
    <n v="0"/>
    <s v="Travel_Rarely"/>
    <n v="718"/>
    <x v="0"/>
    <x v="3"/>
    <x v="2"/>
    <x v="1"/>
    <n v="1"/>
    <n v="1150"/>
    <x v="2"/>
    <x v="0"/>
    <n v="79"/>
    <n v="2"/>
    <x v="1"/>
    <x v="4"/>
    <x v="2"/>
    <x v="2"/>
    <n v="5056"/>
    <x v="1"/>
    <n v="17689"/>
    <n v="1"/>
    <s v="Y"/>
    <x v="1"/>
    <n v="15"/>
    <n v="3"/>
    <n v="3"/>
    <n v="80"/>
    <n v="1"/>
    <n v="10"/>
    <n v="2"/>
    <x v="3"/>
    <x v="10"/>
    <x v="6"/>
    <n v="1"/>
  </r>
  <r>
    <s v="RM837"/>
    <n v="29"/>
    <x v="1"/>
    <s v="Yes"/>
    <n v="1"/>
    <s v="Travel_Rarely"/>
    <n v="408"/>
    <x v="1"/>
    <x v="23"/>
    <x v="2"/>
    <x v="0"/>
    <n v="1"/>
    <n v="1165"/>
    <x v="1"/>
    <x v="1"/>
    <n v="45"/>
    <n v="2"/>
    <x v="2"/>
    <x v="5"/>
    <x v="3"/>
    <x v="2"/>
    <n v="7336"/>
    <x v="1"/>
    <n v="11162"/>
    <n v="1"/>
    <s v="Y"/>
    <x v="0"/>
    <n v="13"/>
    <n v="3"/>
    <n v="1"/>
    <n v="80"/>
    <n v="1"/>
    <n v="11"/>
    <n v="3"/>
    <x v="2"/>
    <x v="11"/>
    <x v="7"/>
    <n v="3"/>
  </r>
  <r>
    <s v="RM853"/>
    <n v="29"/>
    <x v="1"/>
    <s v="No"/>
    <n v="0"/>
    <s v="Travel_Rarely"/>
    <n v="1401"/>
    <x v="0"/>
    <x v="11"/>
    <x v="2"/>
    <x v="1"/>
    <n v="1"/>
    <n v="1192"/>
    <x v="2"/>
    <x v="1"/>
    <n v="54"/>
    <n v="3"/>
    <x v="0"/>
    <x v="0"/>
    <x v="2"/>
    <x v="2"/>
    <n v="3131"/>
    <x v="0"/>
    <n v="26342"/>
    <n v="1"/>
    <s v="Y"/>
    <x v="0"/>
    <n v="13"/>
    <n v="3"/>
    <n v="1"/>
    <n v="80"/>
    <n v="1"/>
    <n v="10"/>
    <n v="5"/>
    <x v="0"/>
    <x v="10"/>
    <x v="7"/>
    <n v="0"/>
  </r>
  <r>
    <s v="RM860"/>
    <n v="29"/>
    <x v="1"/>
    <s v="No"/>
    <n v="0"/>
    <s v="Travel_Rarely"/>
    <n v="942"/>
    <x v="0"/>
    <x v="14"/>
    <x v="2"/>
    <x v="0"/>
    <n v="1"/>
    <n v="1202"/>
    <x v="2"/>
    <x v="1"/>
    <n v="69"/>
    <n v="1"/>
    <x v="0"/>
    <x v="2"/>
    <x v="2"/>
    <x v="2"/>
    <n v="2168"/>
    <x v="0"/>
    <n v="26933"/>
    <n v="0"/>
    <s v="Y"/>
    <x v="1"/>
    <n v="18"/>
    <n v="3"/>
    <n v="1"/>
    <n v="80"/>
    <n v="1"/>
    <n v="6"/>
    <n v="2"/>
    <x v="3"/>
    <x v="5"/>
    <x v="4"/>
    <n v="1"/>
  </r>
  <r>
    <s v="RM894"/>
    <n v="29"/>
    <x v="1"/>
    <s v="No"/>
    <n v="0"/>
    <s v="Travel_Rarely"/>
    <n v="1010"/>
    <x v="0"/>
    <x v="4"/>
    <x v="0"/>
    <x v="0"/>
    <n v="1"/>
    <n v="1249"/>
    <x v="3"/>
    <x v="1"/>
    <n v="97"/>
    <n v="3"/>
    <x v="0"/>
    <x v="2"/>
    <x v="2"/>
    <x v="1"/>
    <n v="3760"/>
    <x v="0"/>
    <n v="5598"/>
    <n v="1"/>
    <s v="Y"/>
    <x v="0"/>
    <n v="15"/>
    <n v="3"/>
    <n v="1"/>
    <n v="80"/>
    <n v="3"/>
    <n v="3"/>
    <n v="5"/>
    <x v="0"/>
    <x v="3"/>
    <x v="2"/>
    <n v="1"/>
  </r>
  <r>
    <s v="RM904"/>
    <n v="29"/>
    <x v="1"/>
    <s v="No"/>
    <n v="0"/>
    <s v="Travel_Rarely"/>
    <n v="1329"/>
    <x v="0"/>
    <x v="17"/>
    <x v="0"/>
    <x v="0"/>
    <n v="1"/>
    <n v="1260"/>
    <x v="0"/>
    <x v="0"/>
    <n v="82"/>
    <n v="3"/>
    <x v="1"/>
    <x v="6"/>
    <x v="2"/>
    <x v="1"/>
    <n v="6623"/>
    <x v="1"/>
    <n v="4204"/>
    <n v="1"/>
    <s v="Y"/>
    <x v="1"/>
    <n v="11"/>
    <n v="3"/>
    <n v="2"/>
    <n v="80"/>
    <n v="2"/>
    <n v="6"/>
    <n v="2"/>
    <x v="0"/>
    <x v="6"/>
    <x v="0"/>
    <n v="1"/>
  </r>
  <r>
    <s v="RM906"/>
    <n v="29"/>
    <x v="1"/>
    <s v="No"/>
    <n v="0"/>
    <s v="Travel_Rarely"/>
    <n v="694"/>
    <x v="0"/>
    <x v="4"/>
    <x v="0"/>
    <x v="0"/>
    <n v="1"/>
    <n v="1264"/>
    <x v="1"/>
    <x v="1"/>
    <n v="87"/>
    <n v="2"/>
    <x v="3"/>
    <x v="7"/>
    <x v="2"/>
    <x v="1"/>
    <n v="16124"/>
    <x v="3"/>
    <n v="3423"/>
    <n v="3"/>
    <s v="Y"/>
    <x v="0"/>
    <n v="14"/>
    <n v="3"/>
    <n v="2"/>
    <n v="80"/>
    <n v="2"/>
    <n v="9"/>
    <n v="2"/>
    <x v="3"/>
    <x v="7"/>
    <x v="6"/>
    <n v="1"/>
  </r>
  <r>
    <s v="RM933"/>
    <n v="29"/>
    <x v="1"/>
    <s v="Yes"/>
    <n v="1"/>
    <s v="Travel_Rarely"/>
    <n v="806"/>
    <x v="0"/>
    <x v="17"/>
    <x v="0"/>
    <x v="3"/>
    <n v="1"/>
    <n v="1299"/>
    <x v="2"/>
    <x v="1"/>
    <n v="39"/>
    <n v="3"/>
    <x v="0"/>
    <x v="0"/>
    <x v="0"/>
    <x v="1"/>
    <n v="3339"/>
    <x v="0"/>
    <n v="17285"/>
    <n v="3"/>
    <s v="Y"/>
    <x v="1"/>
    <n v="13"/>
    <n v="3"/>
    <n v="1"/>
    <n v="80"/>
    <n v="2"/>
    <n v="10"/>
    <n v="2"/>
    <x v="0"/>
    <x v="7"/>
    <x v="6"/>
    <n v="7"/>
  </r>
  <r>
    <s v="RM1006"/>
    <n v="29"/>
    <x v="1"/>
    <s v="No"/>
    <n v="0"/>
    <s v="Travel_Rarely"/>
    <n v="332"/>
    <x v="2"/>
    <x v="24"/>
    <x v="0"/>
    <x v="4"/>
    <n v="1"/>
    <n v="1419"/>
    <x v="2"/>
    <x v="0"/>
    <n v="51"/>
    <n v="2"/>
    <x v="2"/>
    <x v="3"/>
    <x v="3"/>
    <x v="0"/>
    <n v="7988"/>
    <x v="1"/>
    <n v="9769"/>
    <n v="1"/>
    <s v="Y"/>
    <x v="0"/>
    <n v="13"/>
    <n v="3"/>
    <n v="1"/>
    <n v="80"/>
    <n v="0"/>
    <n v="10"/>
    <n v="3"/>
    <x v="3"/>
    <x v="10"/>
    <x v="9"/>
    <n v="0"/>
  </r>
  <r>
    <s v="RM1008"/>
    <n v="29"/>
    <x v="1"/>
    <s v="Yes"/>
    <n v="1"/>
    <s v="Travel_Frequently"/>
    <n v="337"/>
    <x v="0"/>
    <x v="5"/>
    <x v="2"/>
    <x v="4"/>
    <n v="1"/>
    <n v="1421"/>
    <x v="0"/>
    <x v="1"/>
    <n v="84"/>
    <n v="3"/>
    <x v="2"/>
    <x v="6"/>
    <x v="2"/>
    <x v="0"/>
    <n v="7553"/>
    <x v="1"/>
    <n v="22930"/>
    <n v="0"/>
    <s v="Y"/>
    <x v="1"/>
    <n v="12"/>
    <n v="3"/>
    <n v="1"/>
    <n v="80"/>
    <n v="0"/>
    <n v="9"/>
    <n v="1"/>
    <x v="0"/>
    <x v="8"/>
    <x v="6"/>
    <n v="7"/>
  </r>
  <r>
    <s v="RM1058"/>
    <n v="29"/>
    <x v="1"/>
    <s v="Yes"/>
    <n v="1"/>
    <s v="Travel_Frequently"/>
    <n v="115"/>
    <x v="1"/>
    <x v="25"/>
    <x v="0"/>
    <x v="3"/>
    <n v="1"/>
    <n v="1487"/>
    <x v="3"/>
    <x v="1"/>
    <n v="51"/>
    <n v="3"/>
    <x v="1"/>
    <x v="5"/>
    <x v="1"/>
    <x v="0"/>
    <n v="5765"/>
    <x v="1"/>
    <n v="17485"/>
    <n v="5"/>
    <s v="Y"/>
    <x v="0"/>
    <n v="11"/>
    <n v="3"/>
    <n v="1"/>
    <n v="80"/>
    <n v="0"/>
    <n v="7"/>
    <n v="4"/>
    <x v="2"/>
    <x v="5"/>
    <x v="3"/>
    <n v="0"/>
  </r>
  <r>
    <s v="RM1064"/>
    <n v="29"/>
    <x v="1"/>
    <s v="No"/>
    <n v="0"/>
    <s v="Travel_Rarely"/>
    <n v="1246"/>
    <x v="1"/>
    <x v="19"/>
    <x v="0"/>
    <x v="0"/>
    <n v="1"/>
    <n v="1497"/>
    <x v="0"/>
    <x v="0"/>
    <n v="77"/>
    <n v="2"/>
    <x v="1"/>
    <x v="5"/>
    <x v="0"/>
    <x v="1"/>
    <n v="8620"/>
    <x v="1"/>
    <n v="23757"/>
    <n v="1"/>
    <s v="Y"/>
    <x v="0"/>
    <n v="14"/>
    <n v="3"/>
    <n v="3"/>
    <n v="80"/>
    <n v="2"/>
    <n v="10"/>
    <n v="3"/>
    <x v="0"/>
    <x v="10"/>
    <x v="6"/>
    <n v="0"/>
  </r>
  <r>
    <s v="RM1073"/>
    <n v="29"/>
    <x v="1"/>
    <s v="No"/>
    <n v="0"/>
    <s v="Travel_Frequently"/>
    <n v="410"/>
    <x v="0"/>
    <x v="7"/>
    <x v="2"/>
    <x v="0"/>
    <n v="1"/>
    <n v="1513"/>
    <x v="1"/>
    <x v="1"/>
    <n v="97"/>
    <n v="3"/>
    <x v="0"/>
    <x v="0"/>
    <x v="1"/>
    <x v="2"/>
    <n v="3180"/>
    <x v="0"/>
    <n v="4668"/>
    <n v="0"/>
    <s v="Y"/>
    <x v="0"/>
    <n v="13"/>
    <n v="3"/>
    <n v="3"/>
    <n v="80"/>
    <n v="3"/>
    <n v="4"/>
    <n v="3"/>
    <x v="0"/>
    <x v="3"/>
    <x v="2"/>
    <n v="0"/>
  </r>
  <r>
    <s v="RM1078"/>
    <n v="29"/>
    <x v="1"/>
    <s v="Yes"/>
    <n v="1"/>
    <s v="Travel_Rarely"/>
    <n v="224"/>
    <x v="0"/>
    <x v="4"/>
    <x v="3"/>
    <x v="3"/>
    <n v="1"/>
    <n v="1522"/>
    <x v="3"/>
    <x v="0"/>
    <n v="100"/>
    <n v="2"/>
    <x v="0"/>
    <x v="2"/>
    <x v="3"/>
    <x v="0"/>
    <n v="2362"/>
    <x v="0"/>
    <n v="7568"/>
    <n v="6"/>
    <s v="Y"/>
    <x v="0"/>
    <n v="13"/>
    <n v="3"/>
    <n v="3"/>
    <n v="80"/>
    <n v="0"/>
    <n v="11"/>
    <n v="2"/>
    <x v="2"/>
    <x v="9"/>
    <x v="6"/>
    <n v="0"/>
  </r>
  <r>
    <s v="RM1091"/>
    <n v="29"/>
    <x v="1"/>
    <s v="No"/>
    <n v="0"/>
    <s v="Travel_Rarely"/>
    <n v="441"/>
    <x v="0"/>
    <x v="3"/>
    <x v="2"/>
    <x v="4"/>
    <n v="1"/>
    <n v="1544"/>
    <x v="0"/>
    <x v="1"/>
    <n v="39"/>
    <n v="1"/>
    <x v="1"/>
    <x v="6"/>
    <x v="3"/>
    <x v="2"/>
    <n v="9715"/>
    <x v="1"/>
    <n v="7288"/>
    <n v="3"/>
    <s v="Y"/>
    <x v="0"/>
    <n v="13"/>
    <n v="3"/>
    <n v="3"/>
    <n v="80"/>
    <n v="1"/>
    <n v="9"/>
    <n v="3"/>
    <x v="0"/>
    <x v="7"/>
    <x v="6"/>
    <n v="0"/>
  </r>
  <r>
    <s v="RM1105"/>
    <n v="29"/>
    <x v="1"/>
    <s v="No"/>
    <n v="0"/>
    <s v="Travel_Rarely"/>
    <n v="598"/>
    <x v="0"/>
    <x v="9"/>
    <x v="0"/>
    <x v="0"/>
    <n v="1"/>
    <n v="1558"/>
    <x v="0"/>
    <x v="0"/>
    <n v="91"/>
    <n v="4"/>
    <x v="0"/>
    <x v="2"/>
    <x v="0"/>
    <x v="2"/>
    <n v="2451"/>
    <x v="0"/>
    <n v="22376"/>
    <n v="6"/>
    <s v="Y"/>
    <x v="0"/>
    <n v="18"/>
    <n v="3"/>
    <n v="1"/>
    <n v="80"/>
    <n v="2"/>
    <n v="5"/>
    <n v="2"/>
    <x v="3"/>
    <x v="1"/>
    <x v="0"/>
    <n v="0"/>
  </r>
  <r>
    <s v="RM1123"/>
    <n v="29"/>
    <x v="1"/>
    <s v="No"/>
    <n v="0"/>
    <s v="Travel_Rarely"/>
    <n v="1370"/>
    <x v="0"/>
    <x v="0"/>
    <x v="2"/>
    <x v="1"/>
    <n v="1"/>
    <n v="1586"/>
    <x v="2"/>
    <x v="0"/>
    <n v="87"/>
    <n v="3"/>
    <x v="0"/>
    <x v="0"/>
    <x v="3"/>
    <x v="0"/>
    <n v="4723"/>
    <x v="0"/>
    <n v="16213"/>
    <n v="1"/>
    <s v="Y"/>
    <x v="1"/>
    <n v="18"/>
    <n v="3"/>
    <n v="4"/>
    <n v="80"/>
    <n v="0"/>
    <n v="10"/>
    <n v="3"/>
    <x v="0"/>
    <x v="10"/>
    <x v="9"/>
    <n v="1"/>
  </r>
  <r>
    <s v="RM1126"/>
    <n v="29"/>
    <x v="1"/>
    <s v="No"/>
    <n v="0"/>
    <s v="Travel_Frequently"/>
    <n v="995"/>
    <x v="0"/>
    <x v="7"/>
    <x v="2"/>
    <x v="0"/>
    <n v="1"/>
    <n v="1590"/>
    <x v="3"/>
    <x v="0"/>
    <n v="87"/>
    <n v="3"/>
    <x v="1"/>
    <x v="6"/>
    <x v="2"/>
    <x v="1"/>
    <n v="8853"/>
    <x v="1"/>
    <n v="24483"/>
    <n v="1"/>
    <s v="Y"/>
    <x v="0"/>
    <n v="19"/>
    <n v="3"/>
    <n v="4"/>
    <n v="80"/>
    <n v="1"/>
    <n v="6"/>
    <n v="0"/>
    <x v="1"/>
    <x v="6"/>
    <x v="4"/>
    <n v="1"/>
  </r>
  <r>
    <s v="RM1173"/>
    <n v="29"/>
    <x v="1"/>
    <s v="No"/>
    <n v="0"/>
    <s v="Travel_Rarely"/>
    <n v="469"/>
    <x v="1"/>
    <x v="1"/>
    <x v="0"/>
    <x v="1"/>
    <n v="1"/>
    <n v="1650"/>
    <x v="0"/>
    <x v="0"/>
    <n v="42"/>
    <n v="2"/>
    <x v="1"/>
    <x v="5"/>
    <x v="0"/>
    <x v="0"/>
    <n v="5869"/>
    <x v="1"/>
    <n v="23413"/>
    <n v="9"/>
    <s v="Y"/>
    <x v="0"/>
    <n v="11"/>
    <n v="3"/>
    <n v="3"/>
    <n v="80"/>
    <n v="0"/>
    <n v="8"/>
    <n v="2"/>
    <x v="0"/>
    <x v="5"/>
    <x v="2"/>
    <n v="1"/>
  </r>
  <r>
    <s v="RM1189"/>
    <n v="29"/>
    <x v="1"/>
    <s v="No"/>
    <n v="0"/>
    <s v="Travel_Rarely"/>
    <n v="991"/>
    <x v="1"/>
    <x v="2"/>
    <x v="0"/>
    <x v="1"/>
    <n v="1"/>
    <n v="1669"/>
    <x v="3"/>
    <x v="0"/>
    <n v="43"/>
    <n v="2"/>
    <x v="1"/>
    <x v="5"/>
    <x v="1"/>
    <x v="1"/>
    <n v="4187"/>
    <x v="0"/>
    <n v="3356"/>
    <n v="1"/>
    <s v="Y"/>
    <x v="1"/>
    <n v="13"/>
    <n v="3"/>
    <n v="2"/>
    <n v="80"/>
    <n v="1"/>
    <n v="10"/>
    <n v="3"/>
    <x v="3"/>
    <x v="10"/>
    <x v="0"/>
    <n v="0"/>
  </r>
  <r>
    <s v="RM1220"/>
    <n v="29"/>
    <x v="1"/>
    <s v="No"/>
    <n v="0"/>
    <s v="Travel_Rarely"/>
    <n v="1082"/>
    <x v="0"/>
    <x v="9"/>
    <x v="3"/>
    <x v="1"/>
    <n v="1"/>
    <n v="1709"/>
    <x v="1"/>
    <x v="1"/>
    <n v="43"/>
    <n v="3"/>
    <x v="0"/>
    <x v="0"/>
    <x v="0"/>
    <x v="2"/>
    <n v="2974"/>
    <x v="0"/>
    <n v="25412"/>
    <n v="9"/>
    <s v="Y"/>
    <x v="0"/>
    <n v="17"/>
    <n v="3"/>
    <n v="3"/>
    <n v="80"/>
    <n v="1"/>
    <n v="9"/>
    <n v="2"/>
    <x v="0"/>
    <x v="5"/>
    <x v="3"/>
    <n v="1"/>
  </r>
  <r>
    <s v="RM1250"/>
    <n v="29"/>
    <x v="1"/>
    <s v="Yes"/>
    <n v="1"/>
    <s v="Travel_Rarely"/>
    <n v="428"/>
    <x v="1"/>
    <x v="9"/>
    <x v="0"/>
    <x v="2"/>
    <n v="1"/>
    <n v="1752"/>
    <x v="2"/>
    <x v="1"/>
    <n v="52"/>
    <n v="1"/>
    <x v="0"/>
    <x v="1"/>
    <x v="1"/>
    <x v="0"/>
    <n v="2760"/>
    <x v="0"/>
    <n v="14630"/>
    <n v="1"/>
    <s v="Y"/>
    <x v="0"/>
    <n v="13"/>
    <n v="3"/>
    <n v="3"/>
    <n v="80"/>
    <n v="0"/>
    <n v="2"/>
    <n v="3"/>
    <x v="0"/>
    <x v="2"/>
    <x v="2"/>
    <n v="2"/>
  </r>
  <r>
    <s v="RM1251"/>
    <n v="29"/>
    <x v="1"/>
    <s v="No"/>
    <n v="0"/>
    <s v="Travel_Frequently"/>
    <n v="461"/>
    <x v="0"/>
    <x v="4"/>
    <x v="0"/>
    <x v="0"/>
    <n v="1"/>
    <n v="1753"/>
    <x v="1"/>
    <x v="0"/>
    <n v="70"/>
    <n v="4"/>
    <x v="1"/>
    <x v="6"/>
    <x v="0"/>
    <x v="0"/>
    <n v="6294"/>
    <x v="1"/>
    <n v="23060"/>
    <n v="8"/>
    <s v="Y"/>
    <x v="1"/>
    <n v="12"/>
    <n v="3"/>
    <n v="4"/>
    <n v="80"/>
    <n v="0"/>
    <n v="10"/>
    <n v="5"/>
    <x v="1"/>
    <x v="3"/>
    <x v="2"/>
    <n v="0"/>
  </r>
  <r>
    <s v="RM1259"/>
    <n v="29"/>
    <x v="1"/>
    <s v="No"/>
    <n v="0"/>
    <s v="Travel_Rarely"/>
    <n v="590"/>
    <x v="0"/>
    <x v="12"/>
    <x v="0"/>
    <x v="3"/>
    <n v="1"/>
    <n v="1762"/>
    <x v="1"/>
    <x v="1"/>
    <n v="91"/>
    <n v="2"/>
    <x v="0"/>
    <x v="2"/>
    <x v="3"/>
    <x v="1"/>
    <n v="2109"/>
    <x v="0"/>
    <n v="10007"/>
    <n v="1"/>
    <s v="Y"/>
    <x v="0"/>
    <n v="13"/>
    <n v="3"/>
    <n v="3"/>
    <n v="80"/>
    <n v="1"/>
    <n v="1"/>
    <n v="2"/>
    <x v="0"/>
    <x v="1"/>
    <x v="0"/>
    <n v="0"/>
  </r>
  <r>
    <s v="RM1314"/>
    <n v="29"/>
    <x v="1"/>
    <s v="Yes"/>
    <n v="1"/>
    <s v="Travel_Rarely"/>
    <n v="350"/>
    <x v="2"/>
    <x v="25"/>
    <x v="0"/>
    <x v="5"/>
    <n v="1"/>
    <n v="1844"/>
    <x v="3"/>
    <x v="0"/>
    <n v="56"/>
    <n v="2"/>
    <x v="0"/>
    <x v="3"/>
    <x v="3"/>
    <x v="1"/>
    <n v="2335"/>
    <x v="0"/>
    <n v="3157"/>
    <n v="4"/>
    <s v="Y"/>
    <x v="1"/>
    <n v="15"/>
    <n v="3"/>
    <n v="4"/>
    <n v="80"/>
    <n v="3"/>
    <n v="4"/>
    <n v="3"/>
    <x v="0"/>
    <x v="2"/>
    <x v="2"/>
    <n v="2"/>
  </r>
  <r>
    <s v="RM1319"/>
    <n v="29"/>
    <x v="1"/>
    <s v="No"/>
    <n v="0"/>
    <s v="Travel_Frequently"/>
    <n v="574"/>
    <x v="0"/>
    <x v="21"/>
    <x v="2"/>
    <x v="1"/>
    <n v="1"/>
    <n v="1852"/>
    <x v="1"/>
    <x v="0"/>
    <n v="40"/>
    <n v="3"/>
    <x v="0"/>
    <x v="0"/>
    <x v="2"/>
    <x v="2"/>
    <n v="3812"/>
    <x v="0"/>
    <n v="7003"/>
    <n v="1"/>
    <s v="Y"/>
    <x v="0"/>
    <n v="13"/>
    <n v="3"/>
    <n v="2"/>
    <n v="80"/>
    <n v="0"/>
    <n v="11"/>
    <n v="3"/>
    <x v="1"/>
    <x v="11"/>
    <x v="7"/>
    <n v="3"/>
  </r>
  <r>
    <s v="RM1325"/>
    <n v="29"/>
    <x v="1"/>
    <s v="No"/>
    <n v="0"/>
    <s v="Travel_Rarely"/>
    <n v="726"/>
    <x v="0"/>
    <x v="26"/>
    <x v="2"/>
    <x v="0"/>
    <n v="1"/>
    <n v="1859"/>
    <x v="1"/>
    <x v="0"/>
    <n v="93"/>
    <n v="1"/>
    <x v="1"/>
    <x v="6"/>
    <x v="0"/>
    <x v="1"/>
    <n v="6384"/>
    <x v="1"/>
    <n v="21143"/>
    <n v="8"/>
    <s v="Y"/>
    <x v="0"/>
    <n v="17"/>
    <n v="3"/>
    <n v="4"/>
    <n v="80"/>
    <n v="2"/>
    <n v="11"/>
    <n v="3"/>
    <x v="0"/>
    <x v="7"/>
    <x v="0"/>
    <n v="1"/>
  </r>
  <r>
    <s v="RM1330"/>
    <n v="29"/>
    <x v="1"/>
    <s v="No"/>
    <n v="0"/>
    <s v="Travel_Rarely"/>
    <n v="352"/>
    <x v="2"/>
    <x v="11"/>
    <x v="2"/>
    <x v="1"/>
    <n v="1"/>
    <n v="1865"/>
    <x v="1"/>
    <x v="0"/>
    <n v="87"/>
    <n v="2"/>
    <x v="0"/>
    <x v="3"/>
    <x v="1"/>
    <x v="2"/>
    <n v="2804"/>
    <x v="0"/>
    <n v="15434"/>
    <n v="1"/>
    <s v="Y"/>
    <x v="0"/>
    <n v="11"/>
    <n v="3"/>
    <n v="4"/>
    <n v="80"/>
    <n v="0"/>
    <n v="1"/>
    <n v="3"/>
    <x v="0"/>
    <x v="1"/>
    <x v="0"/>
    <n v="0"/>
  </r>
  <r>
    <s v="RM1333"/>
    <n v="29"/>
    <x v="1"/>
    <s v="Yes"/>
    <n v="1"/>
    <s v="Travel_Frequently"/>
    <n v="459"/>
    <x v="0"/>
    <x v="22"/>
    <x v="1"/>
    <x v="0"/>
    <n v="1"/>
    <n v="1868"/>
    <x v="1"/>
    <x v="0"/>
    <n v="73"/>
    <n v="2"/>
    <x v="0"/>
    <x v="2"/>
    <x v="2"/>
    <x v="0"/>
    <n v="2439"/>
    <x v="0"/>
    <n v="14753"/>
    <n v="1"/>
    <s v="Y"/>
    <x v="1"/>
    <n v="24"/>
    <n v="4"/>
    <n v="2"/>
    <n v="80"/>
    <n v="0"/>
    <n v="1"/>
    <n v="3"/>
    <x v="3"/>
    <x v="1"/>
    <x v="0"/>
    <n v="1"/>
  </r>
  <r>
    <s v="RM1344"/>
    <n v="29"/>
    <x v="1"/>
    <s v="No"/>
    <n v="0"/>
    <s v="Travel_Rarely"/>
    <n v="592"/>
    <x v="0"/>
    <x v="17"/>
    <x v="0"/>
    <x v="0"/>
    <n v="1"/>
    <n v="1883"/>
    <x v="1"/>
    <x v="0"/>
    <n v="59"/>
    <n v="3"/>
    <x v="0"/>
    <x v="0"/>
    <x v="3"/>
    <x v="0"/>
    <n v="2062"/>
    <x v="0"/>
    <n v="19384"/>
    <n v="3"/>
    <s v="Y"/>
    <x v="0"/>
    <n v="14"/>
    <n v="3"/>
    <n v="2"/>
    <n v="80"/>
    <n v="0"/>
    <n v="11"/>
    <n v="2"/>
    <x v="0"/>
    <x v="3"/>
    <x v="2"/>
    <n v="1"/>
  </r>
  <r>
    <s v="RM1366"/>
    <n v="29"/>
    <x v="1"/>
    <s v="Yes"/>
    <n v="1"/>
    <s v="Travel_Frequently"/>
    <n v="746"/>
    <x v="1"/>
    <x v="22"/>
    <x v="0"/>
    <x v="3"/>
    <n v="1"/>
    <n v="1928"/>
    <x v="0"/>
    <x v="0"/>
    <n v="45"/>
    <n v="4"/>
    <x v="0"/>
    <x v="1"/>
    <x v="3"/>
    <x v="0"/>
    <n v="1091"/>
    <x v="0"/>
    <n v="10642"/>
    <n v="1"/>
    <s v="Y"/>
    <x v="0"/>
    <n v="17"/>
    <n v="3"/>
    <n v="4"/>
    <n v="80"/>
    <n v="0"/>
    <n v="1"/>
    <n v="3"/>
    <x v="0"/>
    <x v="1"/>
    <x v="0"/>
    <n v="0"/>
  </r>
  <r>
    <s v="RM1388"/>
    <n v="29"/>
    <x v="1"/>
    <s v="No"/>
    <n v="0"/>
    <s v="Travel_Rarely"/>
    <n v="136"/>
    <x v="0"/>
    <x v="4"/>
    <x v="0"/>
    <x v="0"/>
    <n v="1"/>
    <n v="1954"/>
    <x v="3"/>
    <x v="0"/>
    <n v="89"/>
    <n v="3"/>
    <x v="1"/>
    <x v="6"/>
    <x v="3"/>
    <x v="2"/>
    <n v="5373"/>
    <x v="1"/>
    <n v="6225"/>
    <n v="0"/>
    <s v="Y"/>
    <x v="0"/>
    <n v="12"/>
    <n v="3"/>
    <n v="1"/>
    <n v="80"/>
    <n v="1"/>
    <n v="6"/>
    <n v="5"/>
    <x v="3"/>
    <x v="5"/>
    <x v="3"/>
    <n v="0"/>
  </r>
  <r>
    <s v="RM1443"/>
    <n v="29"/>
    <x v="1"/>
    <s v="Yes"/>
    <n v="1"/>
    <s v="Travel_Rarely"/>
    <n v="1092"/>
    <x v="0"/>
    <x v="4"/>
    <x v="3"/>
    <x v="1"/>
    <n v="1"/>
    <n v="2027"/>
    <x v="3"/>
    <x v="0"/>
    <n v="36"/>
    <n v="3"/>
    <x v="0"/>
    <x v="2"/>
    <x v="2"/>
    <x v="2"/>
    <n v="4787"/>
    <x v="0"/>
    <n v="26124"/>
    <n v="9"/>
    <s v="Y"/>
    <x v="1"/>
    <n v="14"/>
    <n v="3"/>
    <n v="2"/>
    <n v="80"/>
    <n v="3"/>
    <n v="4"/>
    <n v="3"/>
    <x v="1"/>
    <x v="2"/>
    <x v="2"/>
    <n v="2"/>
  </r>
  <r>
    <s v="RM1460"/>
    <n v="29"/>
    <x v="1"/>
    <s v="No"/>
    <n v="0"/>
    <s v="Travel_Rarely"/>
    <n v="1378"/>
    <x v="0"/>
    <x v="25"/>
    <x v="1"/>
    <x v="4"/>
    <n v="1"/>
    <n v="2053"/>
    <x v="1"/>
    <x v="0"/>
    <n v="46"/>
    <n v="2"/>
    <x v="1"/>
    <x v="0"/>
    <x v="1"/>
    <x v="2"/>
    <n v="4025"/>
    <x v="0"/>
    <n v="23679"/>
    <n v="4"/>
    <s v="Y"/>
    <x v="1"/>
    <n v="13"/>
    <n v="3"/>
    <n v="1"/>
    <n v="80"/>
    <n v="1"/>
    <n v="10"/>
    <n v="2"/>
    <x v="0"/>
    <x v="4"/>
    <x v="3"/>
    <n v="0"/>
  </r>
  <r>
    <s v="RM1461"/>
    <n v="29"/>
    <x v="1"/>
    <s v="No"/>
    <n v="0"/>
    <s v="Travel_Rarely"/>
    <n v="468"/>
    <x v="0"/>
    <x v="27"/>
    <x v="3"/>
    <x v="1"/>
    <n v="1"/>
    <n v="2054"/>
    <x v="1"/>
    <x v="1"/>
    <n v="73"/>
    <n v="2"/>
    <x v="0"/>
    <x v="2"/>
    <x v="3"/>
    <x v="0"/>
    <n v="3785"/>
    <x v="0"/>
    <n v="8489"/>
    <n v="1"/>
    <s v="Y"/>
    <x v="0"/>
    <n v="14"/>
    <n v="3"/>
    <n v="2"/>
    <n v="80"/>
    <n v="0"/>
    <n v="5"/>
    <n v="3"/>
    <x v="2"/>
    <x v="5"/>
    <x v="4"/>
    <n v="0"/>
  </r>
  <r>
    <s v="RM008"/>
    <n v="30"/>
    <x v="1"/>
    <s v="No"/>
    <n v="0"/>
    <s v="Travel_Rarely"/>
    <n v="1358"/>
    <x v="0"/>
    <x v="22"/>
    <x v="2"/>
    <x v="0"/>
    <n v="1"/>
    <n v="11"/>
    <x v="1"/>
    <x v="0"/>
    <n v="67"/>
    <n v="3"/>
    <x v="0"/>
    <x v="0"/>
    <x v="0"/>
    <x v="1"/>
    <n v="2693"/>
    <x v="0"/>
    <n v="13335"/>
    <n v="1"/>
    <s v="Y"/>
    <x v="0"/>
    <n v="22"/>
    <n v="4"/>
    <n v="2"/>
    <n v="80"/>
    <n v="1"/>
    <n v="1"/>
    <n v="2"/>
    <x v="0"/>
    <x v="1"/>
    <x v="0"/>
    <n v="0"/>
  </r>
  <r>
    <s v="RM033"/>
    <n v="30"/>
    <x v="1"/>
    <s v="No"/>
    <n v="0"/>
    <s v="Travel_Rarely"/>
    <n v="125"/>
    <x v="0"/>
    <x v="9"/>
    <x v="1"/>
    <x v="1"/>
    <n v="1"/>
    <n v="41"/>
    <x v="1"/>
    <x v="0"/>
    <n v="83"/>
    <n v="2"/>
    <x v="0"/>
    <x v="0"/>
    <x v="0"/>
    <x v="0"/>
    <n v="2206"/>
    <x v="0"/>
    <n v="16117"/>
    <n v="1"/>
    <s v="Y"/>
    <x v="0"/>
    <n v="13"/>
    <n v="3"/>
    <n v="1"/>
    <n v="80"/>
    <n v="0"/>
    <n v="10"/>
    <n v="5"/>
    <x v="0"/>
    <x v="10"/>
    <x v="0"/>
    <n v="1"/>
  </r>
  <r>
    <s v="RM045"/>
    <n v="30"/>
    <x v="1"/>
    <s v="No"/>
    <n v="0"/>
    <s v="Travel_Frequently"/>
    <n v="721"/>
    <x v="0"/>
    <x v="4"/>
    <x v="1"/>
    <x v="1"/>
    <n v="1"/>
    <n v="57"/>
    <x v="0"/>
    <x v="1"/>
    <n v="58"/>
    <n v="3"/>
    <x v="1"/>
    <x v="0"/>
    <x v="2"/>
    <x v="0"/>
    <n v="4011"/>
    <x v="0"/>
    <n v="10781"/>
    <n v="1"/>
    <s v="Y"/>
    <x v="0"/>
    <n v="23"/>
    <n v="4"/>
    <n v="4"/>
    <n v="80"/>
    <n v="0"/>
    <n v="12"/>
    <n v="2"/>
    <x v="0"/>
    <x v="12"/>
    <x v="7"/>
    <n v="3"/>
  </r>
  <r>
    <s v="RM081"/>
    <n v="30"/>
    <x v="1"/>
    <s v="No"/>
    <n v="0"/>
    <s v="Travel_Rarely"/>
    <n v="852"/>
    <x v="0"/>
    <x v="4"/>
    <x v="2"/>
    <x v="0"/>
    <n v="1"/>
    <n v="104"/>
    <x v="1"/>
    <x v="0"/>
    <n v="55"/>
    <n v="2"/>
    <x v="1"/>
    <x v="0"/>
    <x v="2"/>
    <x v="2"/>
    <n v="5126"/>
    <x v="1"/>
    <n v="15998"/>
    <n v="1"/>
    <s v="Y"/>
    <x v="1"/>
    <n v="12"/>
    <n v="3"/>
    <n v="3"/>
    <n v="80"/>
    <n v="2"/>
    <n v="10"/>
    <n v="1"/>
    <x v="3"/>
    <x v="10"/>
    <x v="7"/>
    <n v="3"/>
  </r>
  <r>
    <s v="RM089"/>
    <n v="30"/>
    <x v="1"/>
    <s v="No"/>
    <n v="0"/>
    <s v="Travel_Rarely"/>
    <n v="288"/>
    <x v="0"/>
    <x v="7"/>
    <x v="0"/>
    <x v="0"/>
    <n v="1"/>
    <n v="117"/>
    <x v="0"/>
    <x v="0"/>
    <n v="99"/>
    <n v="2"/>
    <x v="1"/>
    <x v="6"/>
    <x v="2"/>
    <x v="2"/>
    <n v="4152"/>
    <x v="0"/>
    <n v="15830"/>
    <n v="1"/>
    <s v="Y"/>
    <x v="0"/>
    <n v="19"/>
    <n v="3"/>
    <n v="1"/>
    <n v="80"/>
    <n v="3"/>
    <n v="11"/>
    <n v="3"/>
    <x v="0"/>
    <x v="11"/>
    <x v="10"/>
    <n v="10"/>
  </r>
  <r>
    <s v="RM093"/>
    <n v="30"/>
    <x v="1"/>
    <s v="No"/>
    <n v="0"/>
    <s v="Travel_Rarely"/>
    <n v="1334"/>
    <x v="1"/>
    <x v="12"/>
    <x v="1"/>
    <x v="1"/>
    <n v="1"/>
    <n v="121"/>
    <x v="0"/>
    <x v="1"/>
    <n v="63"/>
    <n v="2"/>
    <x v="1"/>
    <x v="5"/>
    <x v="1"/>
    <x v="1"/>
    <n v="5209"/>
    <x v="1"/>
    <n v="19760"/>
    <n v="1"/>
    <s v="Y"/>
    <x v="1"/>
    <n v="12"/>
    <n v="3"/>
    <n v="2"/>
    <n v="80"/>
    <n v="3"/>
    <n v="11"/>
    <n v="4"/>
    <x v="3"/>
    <x v="11"/>
    <x v="7"/>
    <n v="2"/>
  </r>
  <r>
    <s v="RM121"/>
    <n v="30"/>
    <x v="1"/>
    <s v="No"/>
    <n v="0"/>
    <s v="Travel_Frequently"/>
    <n v="1312"/>
    <x v="0"/>
    <x v="23"/>
    <x v="0"/>
    <x v="0"/>
    <n v="1"/>
    <n v="159"/>
    <x v="3"/>
    <x v="0"/>
    <n v="96"/>
    <n v="1"/>
    <x v="0"/>
    <x v="2"/>
    <x v="0"/>
    <x v="1"/>
    <n v="2613"/>
    <x v="0"/>
    <n v="22310"/>
    <n v="1"/>
    <s v="Y"/>
    <x v="0"/>
    <n v="25"/>
    <n v="4"/>
    <n v="3"/>
    <n v="80"/>
    <n v="3"/>
    <n v="10"/>
    <n v="2"/>
    <x v="3"/>
    <x v="10"/>
    <x v="6"/>
    <n v="0"/>
  </r>
  <r>
    <s v="RM140"/>
    <n v="30"/>
    <x v="1"/>
    <s v="No"/>
    <n v="0"/>
    <s v="Travel_Rarely"/>
    <n v="1240"/>
    <x v="2"/>
    <x v="9"/>
    <x v="0"/>
    <x v="5"/>
    <n v="1"/>
    <n v="184"/>
    <x v="0"/>
    <x v="0"/>
    <n v="48"/>
    <n v="3"/>
    <x v="1"/>
    <x v="3"/>
    <x v="2"/>
    <x v="2"/>
    <n v="6347"/>
    <x v="1"/>
    <n v="13982"/>
    <n v="0"/>
    <s v="Y"/>
    <x v="1"/>
    <n v="19"/>
    <n v="3"/>
    <n v="4"/>
    <n v="80"/>
    <n v="0"/>
    <n v="12"/>
    <n v="2"/>
    <x v="2"/>
    <x v="11"/>
    <x v="9"/>
    <n v="4"/>
  </r>
  <r>
    <s v="RM144"/>
    <n v="30"/>
    <x v="1"/>
    <s v="No"/>
    <n v="0"/>
    <s v="Travel_Rarely"/>
    <n v="438"/>
    <x v="0"/>
    <x v="16"/>
    <x v="0"/>
    <x v="0"/>
    <n v="1"/>
    <n v="194"/>
    <x v="3"/>
    <x v="1"/>
    <n v="75"/>
    <n v="3"/>
    <x v="0"/>
    <x v="2"/>
    <x v="0"/>
    <x v="0"/>
    <n v="2632"/>
    <x v="0"/>
    <n v="23910"/>
    <n v="1"/>
    <s v="Y"/>
    <x v="0"/>
    <n v="14"/>
    <n v="3"/>
    <n v="3"/>
    <n v="80"/>
    <n v="0"/>
    <n v="5"/>
    <n v="4"/>
    <x v="3"/>
    <x v="5"/>
    <x v="4"/>
    <n v="0"/>
  </r>
  <r>
    <s v="RM146"/>
    <n v="30"/>
    <x v="1"/>
    <s v="No"/>
    <n v="0"/>
    <s v="Travel_Rarely"/>
    <n v="201"/>
    <x v="0"/>
    <x v="2"/>
    <x v="0"/>
    <x v="3"/>
    <n v="1"/>
    <n v="197"/>
    <x v="1"/>
    <x v="1"/>
    <n v="84"/>
    <n v="3"/>
    <x v="0"/>
    <x v="2"/>
    <x v="3"/>
    <x v="1"/>
    <n v="3204"/>
    <x v="0"/>
    <n v="10415"/>
    <n v="5"/>
    <s v="Y"/>
    <x v="0"/>
    <n v="14"/>
    <n v="3"/>
    <n v="4"/>
    <n v="80"/>
    <n v="1"/>
    <n v="8"/>
    <n v="3"/>
    <x v="0"/>
    <x v="3"/>
    <x v="2"/>
    <n v="2"/>
  </r>
  <r>
    <s v="RM147"/>
    <n v="30"/>
    <x v="1"/>
    <s v="No"/>
    <n v="0"/>
    <s v="Travel_Rarely"/>
    <n v="1427"/>
    <x v="0"/>
    <x v="7"/>
    <x v="2"/>
    <x v="1"/>
    <n v="1"/>
    <n v="198"/>
    <x v="2"/>
    <x v="0"/>
    <n v="35"/>
    <n v="2"/>
    <x v="0"/>
    <x v="0"/>
    <x v="2"/>
    <x v="0"/>
    <n v="2720"/>
    <x v="0"/>
    <n v="11162"/>
    <n v="0"/>
    <s v="Y"/>
    <x v="0"/>
    <n v="13"/>
    <n v="3"/>
    <n v="4"/>
    <n v="80"/>
    <n v="0"/>
    <n v="6"/>
    <n v="3"/>
    <x v="0"/>
    <x v="5"/>
    <x v="3"/>
    <n v="1"/>
  </r>
  <r>
    <s v="RM168"/>
    <n v="30"/>
    <x v="1"/>
    <s v="No"/>
    <n v="0"/>
    <s v="Travel_Rarely"/>
    <n v="1339"/>
    <x v="1"/>
    <x v="2"/>
    <x v="0"/>
    <x v="0"/>
    <n v="1"/>
    <n v="228"/>
    <x v="2"/>
    <x v="1"/>
    <n v="41"/>
    <n v="3"/>
    <x v="2"/>
    <x v="5"/>
    <x v="2"/>
    <x v="2"/>
    <n v="9419"/>
    <x v="1"/>
    <n v="8053"/>
    <n v="2"/>
    <s v="Y"/>
    <x v="0"/>
    <n v="12"/>
    <n v="3"/>
    <n v="3"/>
    <n v="80"/>
    <n v="1"/>
    <n v="12"/>
    <n v="2"/>
    <x v="0"/>
    <x v="10"/>
    <x v="9"/>
    <n v="7"/>
  </r>
  <r>
    <s v="RM174"/>
    <n v="30"/>
    <x v="1"/>
    <s v="No"/>
    <n v="0"/>
    <s v="Non-Travel"/>
    <n v="111"/>
    <x v="0"/>
    <x v="9"/>
    <x v="0"/>
    <x v="1"/>
    <n v="1"/>
    <n v="239"/>
    <x v="0"/>
    <x v="0"/>
    <n v="66"/>
    <n v="3"/>
    <x v="1"/>
    <x v="0"/>
    <x v="3"/>
    <x v="1"/>
    <n v="3072"/>
    <x v="0"/>
    <n v="11012"/>
    <n v="1"/>
    <s v="Y"/>
    <x v="0"/>
    <n v="11"/>
    <n v="3"/>
    <n v="3"/>
    <n v="80"/>
    <n v="2"/>
    <n v="12"/>
    <n v="4"/>
    <x v="0"/>
    <x v="12"/>
    <x v="9"/>
    <n v="6"/>
  </r>
  <r>
    <s v="RM212"/>
    <n v="30"/>
    <x v="1"/>
    <s v="No"/>
    <n v="0"/>
    <s v="Non-Travel"/>
    <n v="829"/>
    <x v="0"/>
    <x v="4"/>
    <x v="2"/>
    <x v="0"/>
    <n v="1"/>
    <n v="292"/>
    <x v="0"/>
    <x v="0"/>
    <n v="88"/>
    <n v="2"/>
    <x v="2"/>
    <x v="4"/>
    <x v="0"/>
    <x v="0"/>
    <n v="8474"/>
    <x v="1"/>
    <n v="20925"/>
    <n v="1"/>
    <s v="Y"/>
    <x v="0"/>
    <n v="22"/>
    <n v="4"/>
    <n v="3"/>
    <n v="80"/>
    <n v="0"/>
    <n v="12"/>
    <n v="2"/>
    <x v="0"/>
    <x v="11"/>
    <x v="7"/>
    <n v="5"/>
  </r>
  <r>
    <s v="RM215"/>
    <n v="30"/>
    <x v="1"/>
    <s v="Yes"/>
    <n v="1"/>
    <s v="Travel_Rarely"/>
    <n v="1005"/>
    <x v="0"/>
    <x v="0"/>
    <x v="0"/>
    <x v="3"/>
    <n v="1"/>
    <n v="297"/>
    <x v="1"/>
    <x v="1"/>
    <n v="88"/>
    <n v="3"/>
    <x v="0"/>
    <x v="2"/>
    <x v="3"/>
    <x v="0"/>
    <n v="2657"/>
    <x v="0"/>
    <n v="8556"/>
    <n v="5"/>
    <s v="Y"/>
    <x v="1"/>
    <n v="11"/>
    <n v="3"/>
    <n v="3"/>
    <n v="80"/>
    <n v="0"/>
    <n v="8"/>
    <n v="5"/>
    <x v="0"/>
    <x v="5"/>
    <x v="2"/>
    <n v="0"/>
  </r>
  <r>
    <s v="RM217"/>
    <n v="30"/>
    <x v="1"/>
    <s v="Yes"/>
    <n v="1"/>
    <s v="Travel_Frequently"/>
    <n v="334"/>
    <x v="1"/>
    <x v="20"/>
    <x v="3"/>
    <x v="2"/>
    <n v="1"/>
    <n v="299"/>
    <x v="0"/>
    <x v="1"/>
    <n v="52"/>
    <n v="2"/>
    <x v="1"/>
    <x v="5"/>
    <x v="3"/>
    <x v="0"/>
    <n v="6696"/>
    <x v="1"/>
    <n v="22967"/>
    <n v="5"/>
    <s v="Y"/>
    <x v="0"/>
    <n v="15"/>
    <n v="3"/>
    <n v="3"/>
    <n v="80"/>
    <n v="0"/>
    <n v="9"/>
    <n v="5"/>
    <x v="3"/>
    <x v="6"/>
    <x v="3"/>
    <n v="0"/>
  </r>
  <r>
    <s v="RM325"/>
    <n v="30"/>
    <x v="1"/>
    <s v="No"/>
    <n v="0"/>
    <s v="Travel_Rarely"/>
    <n v="1275"/>
    <x v="0"/>
    <x v="27"/>
    <x v="1"/>
    <x v="1"/>
    <n v="1"/>
    <n v="441"/>
    <x v="1"/>
    <x v="1"/>
    <n v="64"/>
    <n v="3"/>
    <x v="1"/>
    <x v="2"/>
    <x v="2"/>
    <x v="2"/>
    <n v="5775"/>
    <x v="1"/>
    <n v="11934"/>
    <n v="1"/>
    <s v="Y"/>
    <x v="0"/>
    <n v="13"/>
    <n v="3"/>
    <n v="4"/>
    <n v="80"/>
    <n v="2"/>
    <n v="11"/>
    <n v="2"/>
    <x v="0"/>
    <x v="10"/>
    <x v="7"/>
    <n v="1"/>
  </r>
  <r>
    <s v="RM339"/>
    <n v="30"/>
    <x v="1"/>
    <s v="No"/>
    <n v="0"/>
    <s v="Travel_Rarely"/>
    <n v="570"/>
    <x v="1"/>
    <x v="2"/>
    <x v="0"/>
    <x v="2"/>
    <n v="1"/>
    <n v="456"/>
    <x v="1"/>
    <x v="1"/>
    <n v="30"/>
    <n v="2"/>
    <x v="1"/>
    <x v="5"/>
    <x v="0"/>
    <x v="1"/>
    <n v="6118"/>
    <x v="1"/>
    <n v="5431"/>
    <n v="1"/>
    <s v="Y"/>
    <x v="0"/>
    <n v="13"/>
    <n v="3"/>
    <n v="3"/>
    <n v="80"/>
    <n v="3"/>
    <n v="10"/>
    <n v="2"/>
    <x v="0"/>
    <x v="10"/>
    <x v="9"/>
    <n v="1"/>
  </r>
  <r>
    <s v="RM355"/>
    <n v="30"/>
    <x v="1"/>
    <s v="No"/>
    <n v="0"/>
    <s v="Non-Travel"/>
    <n v="641"/>
    <x v="1"/>
    <x v="10"/>
    <x v="1"/>
    <x v="3"/>
    <n v="1"/>
    <n v="475"/>
    <x v="1"/>
    <x v="1"/>
    <n v="85"/>
    <n v="3"/>
    <x v="1"/>
    <x v="5"/>
    <x v="0"/>
    <x v="2"/>
    <n v="4736"/>
    <x v="0"/>
    <n v="6069"/>
    <n v="7"/>
    <s v="Y"/>
    <x v="1"/>
    <n v="12"/>
    <n v="3"/>
    <n v="2"/>
    <n v="80"/>
    <n v="1"/>
    <n v="4"/>
    <n v="2"/>
    <x v="1"/>
    <x v="2"/>
    <x v="2"/>
    <n v="2"/>
  </r>
  <r>
    <s v="RM382"/>
    <n v="30"/>
    <x v="1"/>
    <s v="No"/>
    <n v="0"/>
    <s v="Travel_Rarely"/>
    <n v="202"/>
    <x v="1"/>
    <x v="7"/>
    <x v="2"/>
    <x v="3"/>
    <n v="1"/>
    <n v="508"/>
    <x v="0"/>
    <x v="0"/>
    <n v="72"/>
    <n v="3"/>
    <x v="0"/>
    <x v="1"/>
    <x v="1"/>
    <x v="2"/>
    <n v="2476"/>
    <x v="0"/>
    <n v="17434"/>
    <n v="1"/>
    <s v="Y"/>
    <x v="0"/>
    <n v="18"/>
    <n v="3"/>
    <n v="1"/>
    <n v="80"/>
    <n v="1"/>
    <n v="1"/>
    <n v="3"/>
    <x v="0"/>
    <x v="1"/>
    <x v="0"/>
    <n v="0"/>
  </r>
  <r>
    <s v="RM386"/>
    <n v="30"/>
    <x v="1"/>
    <s v="Yes"/>
    <n v="1"/>
    <s v="Travel_Frequently"/>
    <n v="464"/>
    <x v="0"/>
    <x v="12"/>
    <x v="0"/>
    <x v="3"/>
    <n v="1"/>
    <n v="514"/>
    <x v="0"/>
    <x v="0"/>
    <n v="40"/>
    <n v="3"/>
    <x v="0"/>
    <x v="2"/>
    <x v="2"/>
    <x v="0"/>
    <n v="2285"/>
    <x v="0"/>
    <n v="3427"/>
    <n v="9"/>
    <s v="Y"/>
    <x v="1"/>
    <n v="23"/>
    <n v="4"/>
    <n v="3"/>
    <n v="80"/>
    <n v="0"/>
    <n v="3"/>
    <n v="4"/>
    <x v="0"/>
    <x v="1"/>
    <x v="0"/>
    <n v="0"/>
  </r>
  <r>
    <s v="RM403"/>
    <n v="30"/>
    <x v="1"/>
    <s v="No"/>
    <n v="0"/>
    <s v="Travel_Rarely"/>
    <n v="1082"/>
    <x v="1"/>
    <x v="15"/>
    <x v="0"/>
    <x v="3"/>
    <n v="1"/>
    <n v="533"/>
    <x v="2"/>
    <x v="1"/>
    <n v="83"/>
    <n v="3"/>
    <x v="1"/>
    <x v="5"/>
    <x v="0"/>
    <x v="0"/>
    <n v="6577"/>
    <x v="1"/>
    <n v="19558"/>
    <n v="0"/>
    <s v="Y"/>
    <x v="0"/>
    <n v="11"/>
    <n v="3"/>
    <n v="2"/>
    <n v="80"/>
    <n v="0"/>
    <n v="6"/>
    <n v="6"/>
    <x v="0"/>
    <x v="5"/>
    <x v="4"/>
    <n v="4"/>
  </r>
  <r>
    <s v="RM411"/>
    <n v="30"/>
    <x v="1"/>
    <s v="No"/>
    <n v="0"/>
    <s v="Travel_Rarely"/>
    <n v="317"/>
    <x v="0"/>
    <x v="7"/>
    <x v="0"/>
    <x v="0"/>
    <n v="1"/>
    <n v="548"/>
    <x v="0"/>
    <x v="1"/>
    <n v="43"/>
    <n v="1"/>
    <x v="1"/>
    <x v="4"/>
    <x v="2"/>
    <x v="0"/>
    <n v="6091"/>
    <x v="1"/>
    <n v="24793"/>
    <n v="2"/>
    <s v="Y"/>
    <x v="0"/>
    <n v="20"/>
    <n v="4"/>
    <n v="3"/>
    <n v="80"/>
    <n v="0"/>
    <n v="11"/>
    <n v="2"/>
    <x v="0"/>
    <x v="5"/>
    <x v="4"/>
    <n v="0"/>
  </r>
  <r>
    <s v="RM420"/>
    <n v="30"/>
    <x v="1"/>
    <s v="No"/>
    <n v="0"/>
    <s v="Non-Travel"/>
    <n v="1400"/>
    <x v="0"/>
    <x v="0"/>
    <x v="0"/>
    <x v="0"/>
    <n v="1"/>
    <n v="562"/>
    <x v="0"/>
    <x v="0"/>
    <n v="53"/>
    <n v="3"/>
    <x v="0"/>
    <x v="0"/>
    <x v="2"/>
    <x v="2"/>
    <n v="2097"/>
    <x v="0"/>
    <n v="16734"/>
    <n v="4"/>
    <s v="Y"/>
    <x v="0"/>
    <n v="15"/>
    <n v="3"/>
    <n v="3"/>
    <n v="80"/>
    <n v="1"/>
    <n v="9"/>
    <n v="3"/>
    <x v="2"/>
    <x v="5"/>
    <x v="3"/>
    <n v="1"/>
  </r>
  <r>
    <s v="RM424"/>
    <n v="30"/>
    <x v="1"/>
    <s v="No"/>
    <n v="0"/>
    <s v="Non-Travel"/>
    <n v="1398"/>
    <x v="1"/>
    <x v="6"/>
    <x v="3"/>
    <x v="4"/>
    <n v="1"/>
    <n v="567"/>
    <x v="0"/>
    <x v="1"/>
    <n v="69"/>
    <n v="3"/>
    <x v="2"/>
    <x v="5"/>
    <x v="3"/>
    <x v="2"/>
    <n v="8412"/>
    <x v="1"/>
    <n v="2890"/>
    <n v="0"/>
    <s v="Y"/>
    <x v="0"/>
    <n v="11"/>
    <n v="3"/>
    <n v="3"/>
    <n v="80"/>
    <n v="0"/>
    <n v="10"/>
    <n v="3"/>
    <x v="0"/>
    <x v="9"/>
    <x v="7"/>
    <n v="7"/>
  </r>
  <r>
    <s v="RM427"/>
    <n v="30"/>
    <x v="1"/>
    <s v="No"/>
    <n v="0"/>
    <s v="Non-Travel"/>
    <n v="1116"/>
    <x v="0"/>
    <x v="7"/>
    <x v="0"/>
    <x v="1"/>
    <n v="1"/>
    <n v="571"/>
    <x v="0"/>
    <x v="1"/>
    <n v="49"/>
    <n v="3"/>
    <x v="0"/>
    <x v="0"/>
    <x v="2"/>
    <x v="0"/>
    <n v="2564"/>
    <x v="0"/>
    <n v="7181"/>
    <n v="0"/>
    <s v="Y"/>
    <x v="0"/>
    <n v="14"/>
    <n v="3"/>
    <n v="3"/>
    <n v="80"/>
    <n v="0"/>
    <n v="12"/>
    <n v="2"/>
    <x v="3"/>
    <x v="11"/>
    <x v="6"/>
    <n v="6"/>
  </r>
  <r>
    <s v="RM438"/>
    <n v="30"/>
    <x v="1"/>
    <s v="No"/>
    <n v="0"/>
    <s v="Travel_Rarely"/>
    <n v="413"/>
    <x v="1"/>
    <x v="17"/>
    <x v="2"/>
    <x v="2"/>
    <n v="1"/>
    <n v="585"/>
    <x v="1"/>
    <x v="0"/>
    <n v="57"/>
    <n v="3"/>
    <x v="0"/>
    <x v="1"/>
    <x v="1"/>
    <x v="0"/>
    <n v="2983"/>
    <x v="0"/>
    <n v="18398"/>
    <n v="0"/>
    <s v="Y"/>
    <x v="0"/>
    <n v="14"/>
    <n v="3"/>
    <n v="1"/>
    <n v="80"/>
    <n v="0"/>
    <n v="4"/>
    <n v="3"/>
    <x v="0"/>
    <x v="3"/>
    <x v="2"/>
    <n v="1"/>
  </r>
  <r>
    <s v="RM481"/>
    <n v="30"/>
    <x v="1"/>
    <s v="Yes"/>
    <n v="1"/>
    <s v="Travel_Frequently"/>
    <n v="448"/>
    <x v="1"/>
    <x v="15"/>
    <x v="3"/>
    <x v="0"/>
    <n v="1"/>
    <n v="648"/>
    <x v="2"/>
    <x v="0"/>
    <n v="74"/>
    <n v="2"/>
    <x v="0"/>
    <x v="1"/>
    <x v="3"/>
    <x v="2"/>
    <n v="2033"/>
    <x v="0"/>
    <n v="14470"/>
    <n v="1"/>
    <s v="Y"/>
    <x v="0"/>
    <n v="18"/>
    <n v="3"/>
    <n v="3"/>
    <n v="80"/>
    <n v="1"/>
    <n v="1"/>
    <n v="2"/>
    <x v="1"/>
    <x v="1"/>
    <x v="0"/>
    <n v="0"/>
  </r>
  <r>
    <s v="RM502"/>
    <n v="30"/>
    <x v="1"/>
    <s v="No"/>
    <n v="0"/>
    <s v="Travel_Frequently"/>
    <n v="160"/>
    <x v="0"/>
    <x v="0"/>
    <x v="0"/>
    <x v="1"/>
    <n v="1"/>
    <n v="680"/>
    <x v="0"/>
    <x v="1"/>
    <n v="71"/>
    <n v="3"/>
    <x v="0"/>
    <x v="2"/>
    <x v="0"/>
    <x v="1"/>
    <n v="2083"/>
    <x v="0"/>
    <n v="22653"/>
    <n v="1"/>
    <s v="Y"/>
    <x v="0"/>
    <n v="20"/>
    <n v="4"/>
    <n v="3"/>
    <n v="80"/>
    <n v="1"/>
    <n v="1"/>
    <n v="2"/>
    <x v="0"/>
    <x v="1"/>
    <x v="0"/>
    <n v="0"/>
  </r>
  <r>
    <s v="RM546"/>
    <n v="30"/>
    <x v="1"/>
    <s v="No"/>
    <n v="0"/>
    <s v="Travel_Rarely"/>
    <n v="501"/>
    <x v="1"/>
    <x v="28"/>
    <x v="4"/>
    <x v="2"/>
    <n v="1"/>
    <n v="747"/>
    <x v="0"/>
    <x v="0"/>
    <n v="99"/>
    <n v="3"/>
    <x v="1"/>
    <x v="5"/>
    <x v="2"/>
    <x v="1"/>
    <n v="5304"/>
    <x v="1"/>
    <n v="25275"/>
    <n v="7"/>
    <s v="Y"/>
    <x v="0"/>
    <n v="23"/>
    <n v="4"/>
    <n v="4"/>
    <n v="80"/>
    <n v="1"/>
    <n v="10"/>
    <n v="2"/>
    <x v="3"/>
    <x v="8"/>
    <x v="6"/>
    <n v="7"/>
  </r>
  <r>
    <s v="RM582"/>
    <n v="30"/>
    <x v="1"/>
    <s v="No"/>
    <n v="0"/>
    <s v="Travel_Rarely"/>
    <n v="921"/>
    <x v="0"/>
    <x v="4"/>
    <x v="0"/>
    <x v="0"/>
    <n v="1"/>
    <n v="806"/>
    <x v="1"/>
    <x v="0"/>
    <n v="38"/>
    <n v="1"/>
    <x v="0"/>
    <x v="0"/>
    <x v="0"/>
    <x v="2"/>
    <n v="3833"/>
    <x v="0"/>
    <n v="24375"/>
    <n v="3"/>
    <s v="Y"/>
    <x v="0"/>
    <n v="21"/>
    <n v="4"/>
    <n v="3"/>
    <n v="80"/>
    <n v="2"/>
    <n v="7"/>
    <n v="2"/>
    <x v="0"/>
    <x v="2"/>
    <x v="2"/>
    <n v="0"/>
  </r>
  <r>
    <s v="RM603"/>
    <n v="30"/>
    <x v="1"/>
    <s v="No"/>
    <n v="0"/>
    <s v="Travel_Rarely"/>
    <n v="946"/>
    <x v="0"/>
    <x v="7"/>
    <x v="0"/>
    <x v="1"/>
    <n v="1"/>
    <n v="833"/>
    <x v="0"/>
    <x v="1"/>
    <n v="52"/>
    <n v="2"/>
    <x v="1"/>
    <x v="4"/>
    <x v="2"/>
    <x v="0"/>
    <n v="6877"/>
    <x v="1"/>
    <n v="20234"/>
    <n v="5"/>
    <s v="Y"/>
    <x v="1"/>
    <n v="24"/>
    <n v="4"/>
    <n v="2"/>
    <n v="80"/>
    <n v="0"/>
    <n v="12"/>
    <n v="4"/>
    <x v="3"/>
    <x v="0"/>
    <x v="0"/>
    <n v="0"/>
  </r>
  <r>
    <s v="RM624"/>
    <n v="30"/>
    <x v="1"/>
    <s v="No"/>
    <n v="0"/>
    <s v="Travel_Frequently"/>
    <n v="1012"/>
    <x v="0"/>
    <x v="2"/>
    <x v="3"/>
    <x v="0"/>
    <n v="1"/>
    <n v="861"/>
    <x v="2"/>
    <x v="0"/>
    <n v="75"/>
    <n v="2"/>
    <x v="0"/>
    <x v="2"/>
    <x v="2"/>
    <x v="1"/>
    <n v="3761"/>
    <x v="0"/>
    <n v="2373"/>
    <n v="9"/>
    <s v="Y"/>
    <x v="0"/>
    <n v="12"/>
    <n v="3"/>
    <n v="2"/>
    <n v="80"/>
    <n v="1"/>
    <n v="10"/>
    <n v="3"/>
    <x v="3"/>
    <x v="5"/>
    <x v="4"/>
    <n v="0"/>
  </r>
  <r>
    <s v="RM703"/>
    <n v="30"/>
    <x v="1"/>
    <s v="No"/>
    <n v="0"/>
    <s v="Travel_Rarely"/>
    <n v="231"/>
    <x v="1"/>
    <x v="3"/>
    <x v="1"/>
    <x v="4"/>
    <n v="1"/>
    <n v="982"/>
    <x v="0"/>
    <x v="0"/>
    <n v="62"/>
    <n v="3"/>
    <x v="2"/>
    <x v="5"/>
    <x v="0"/>
    <x v="1"/>
    <n v="7264"/>
    <x v="1"/>
    <n v="9977"/>
    <n v="5"/>
    <s v="Y"/>
    <x v="0"/>
    <n v="11"/>
    <n v="3"/>
    <n v="1"/>
    <n v="80"/>
    <n v="1"/>
    <n v="10"/>
    <n v="2"/>
    <x v="1"/>
    <x v="8"/>
    <x v="4"/>
    <n v="7"/>
  </r>
  <r>
    <s v="RM721"/>
    <n v="30"/>
    <x v="1"/>
    <s v="Yes"/>
    <n v="1"/>
    <s v="Travel_Rarely"/>
    <n v="138"/>
    <x v="0"/>
    <x v="6"/>
    <x v="0"/>
    <x v="0"/>
    <n v="1"/>
    <n v="1004"/>
    <x v="3"/>
    <x v="1"/>
    <n v="48"/>
    <n v="3"/>
    <x v="0"/>
    <x v="2"/>
    <x v="0"/>
    <x v="2"/>
    <n v="2132"/>
    <x v="0"/>
    <n v="11539"/>
    <n v="4"/>
    <s v="Y"/>
    <x v="1"/>
    <n v="11"/>
    <n v="3"/>
    <n v="2"/>
    <n v="80"/>
    <n v="0"/>
    <n v="7"/>
    <n v="2"/>
    <x v="0"/>
    <x v="5"/>
    <x v="2"/>
    <n v="0"/>
  </r>
  <r>
    <s v="RM731"/>
    <n v="30"/>
    <x v="1"/>
    <s v="No"/>
    <n v="0"/>
    <s v="Travel_Rarely"/>
    <n v="153"/>
    <x v="0"/>
    <x v="3"/>
    <x v="1"/>
    <x v="0"/>
    <n v="1"/>
    <n v="1015"/>
    <x v="2"/>
    <x v="1"/>
    <n v="73"/>
    <n v="4"/>
    <x v="2"/>
    <x v="7"/>
    <x v="3"/>
    <x v="2"/>
    <n v="11416"/>
    <x v="2"/>
    <n v="17802"/>
    <n v="0"/>
    <s v="Y"/>
    <x v="1"/>
    <n v="12"/>
    <n v="3"/>
    <n v="3"/>
    <n v="80"/>
    <n v="3"/>
    <n v="9"/>
    <n v="4"/>
    <x v="3"/>
    <x v="8"/>
    <x v="6"/>
    <n v="1"/>
  </r>
  <r>
    <s v="RM733"/>
    <n v="30"/>
    <x v="1"/>
    <s v="Yes"/>
    <n v="1"/>
    <s v="Travel_Frequently"/>
    <n v="109"/>
    <x v="0"/>
    <x v="2"/>
    <x v="0"/>
    <x v="1"/>
    <n v="1"/>
    <n v="1017"/>
    <x v="2"/>
    <x v="1"/>
    <n v="60"/>
    <n v="3"/>
    <x v="0"/>
    <x v="0"/>
    <x v="1"/>
    <x v="0"/>
    <n v="2422"/>
    <x v="0"/>
    <n v="25725"/>
    <n v="0"/>
    <s v="Y"/>
    <x v="0"/>
    <n v="17"/>
    <n v="3"/>
    <n v="1"/>
    <n v="80"/>
    <n v="0"/>
    <n v="4"/>
    <n v="3"/>
    <x v="0"/>
    <x v="3"/>
    <x v="2"/>
    <n v="1"/>
  </r>
  <r>
    <s v="RM783"/>
    <n v="30"/>
    <x v="1"/>
    <s v="No"/>
    <n v="0"/>
    <s v="Travel_Rarely"/>
    <n v="1176"/>
    <x v="0"/>
    <x v="21"/>
    <x v="0"/>
    <x v="4"/>
    <n v="1"/>
    <n v="1084"/>
    <x v="0"/>
    <x v="0"/>
    <n v="85"/>
    <n v="3"/>
    <x v="1"/>
    <x v="4"/>
    <x v="3"/>
    <x v="2"/>
    <n v="9957"/>
    <x v="1"/>
    <n v="9096"/>
    <n v="0"/>
    <s v="Y"/>
    <x v="0"/>
    <n v="15"/>
    <n v="3"/>
    <n v="3"/>
    <n v="80"/>
    <n v="1"/>
    <n v="7"/>
    <n v="1"/>
    <x v="3"/>
    <x v="6"/>
    <x v="2"/>
    <n v="0"/>
  </r>
  <r>
    <s v="RM845"/>
    <n v="30"/>
    <x v="1"/>
    <s v="No"/>
    <n v="0"/>
    <s v="Travel_Rarely"/>
    <n v="852"/>
    <x v="1"/>
    <x v="1"/>
    <x v="0"/>
    <x v="2"/>
    <n v="1"/>
    <n v="1179"/>
    <x v="0"/>
    <x v="0"/>
    <n v="72"/>
    <n v="2"/>
    <x v="1"/>
    <x v="5"/>
    <x v="0"/>
    <x v="2"/>
    <n v="6578"/>
    <x v="1"/>
    <n v="2706"/>
    <n v="1"/>
    <s v="Y"/>
    <x v="0"/>
    <n v="18"/>
    <n v="3"/>
    <n v="1"/>
    <n v="80"/>
    <n v="1"/>
    <n v="10"/>
    <n v="3"/>
    <x v="0"/>
    <x v="10"/>
    <x v="3"/>
    <n v="1"/>
  </r>
  <r>
    <s v="RM866"/>
    <n v="30"/>
    <x v="1"/>
    <s v="No"/>
    <n v="0"/>
    <s v="Travel_Rarely"/>
    <n v="1329"/>
    <x v="1"/>
    <x v="26"/>
    <x v="3"/>
    <x v="0"/>
    <n v="1"/>
    <n v="1211"/>
    <x v="0"/>
    <x v="0"/>
    <n v="61"/>
    <n v="3"/>
    <x v="1"/>
    <x v="5"/>
    <x v="3"/>
    <x v="1"/>
    <n v="4115"/>
    <x v="0"/>
    <n v="13192"/>
    <n v="8"/>
    <s v="Y"/>
    <x v="0"/>
    <n v="19"/>
    <n v="3"/>
    <n v="3"/>
    <n v="80"/>
    <n v="3"/>
    <n v="8"/>
    <n v="3"/>
    <x v="0"/>
    <x v="4"/>
    <x v="3"/>
    <n v="0"/>
  </r>
  <r>
    <s v="RM875"/>
    <n v="30"/>
    <x v="1"/>
    <s v="No"/>
    <n v="0"/>
    <s v="Travel_Rarely"/>
    <n v="853"/>
    <x v="0"/>
    <x v="17"/>
    <x v="3"/>
    <x v="0"/>
    <n v="1"/>
    <n v="1224"/>
    <x v="0"/>
    <x v="0"/>
    <n v="49"/>
    <n v="3"/>
    <x v="1"/>
    <x v="0"/>
    <x v="0"/>
    <x v="1"/>
    <n v="3491"/>
    <x v="0"/>
    <n v="11309"/>
    <n v="1"/>
    <s v="Y"/>
    <x v="0"/>
    <n v="13"/>
    <n v="3"/>
    <n v="1"/>
    <n v="80"/>
    <n v="3"/>
    <n v="10"/>
    <n v="4"/>
    <x v="3"/>
    <x v="10"/>
    <x v="6"/>
    <n v="8"/>
  </r>
  <r>
    <s v="RM887"/>
    <n v="30"/>
    <x v="1"/>
    <s v="No"/>
    <n v="0"/>
    <s v="Travel_Rarely"/>
    <n v="1465"/>
    <x v="0"/>
    <x v="4"/>
    <x v="0"/>
    <x v="1"/>
    <n v="1"/>
    <n v="1241"/>
    <x v="1"/>
    <x v="0"/>
    <n v="63"/>
    <n v="3"/>
    <x v="0"/>
    <x v="2"/>
    <x v="1"/>
    <x v="2"/>
    <n v="3579"/>
    <x v="0"/>
    <n v="9369"/>
    <n v="0"/>
    <s v="Y"/>
    <x v="1"/>
    <n v="21"/>
    <n v="4"/>
    <n v="1"/>
    <n v="80"/>
    <n v="1"/>
    <n v="12"/>
    <n v="2"/>
    <x v="0"/>
    <x v="11"/>
    <x v="9"/>
    <n v="5"/>
  </r>
  <r>
    <s v="RM932"/>
    <n v="30"/>
    <x v="1"/>
    <s v="No"/>
    <n v="0"/>
    <s v="Non-Travel"/>
    <n v="879"/>
    <x v="0"/>
    <x v="9"/>
    <x v="1"/>
    <x v="1"/>
    <n v="1"/>
    <n v="1298"/>
    <x v="0"/>
    <x v="1"/>
    <n v="72"/>
    <n v="3"/>
    <x v="1"/>
    <x v="4"/>
    <x v="0"/>
    <x v="0"/>
    <n v="4695"/>
    <x v="0"/>
    <n v="12858"/>
    <n v="7"/>
    <s v="Y"/>
    <x v="1"/>
    <n v="18"/>
    <n v="3"/>
    <n v="3"/>
    <n v="80"/>
    <n v="0"/>
    <n v="10"/>
    <n v="3"/>
    <x v="0"/>
    <x v="8"/>
    <x v="4"/>
    <n v="1"/>
  </r>
  <r>
    <s v="RM942"/>
    <n v="30"/>
    <x v="1"/>
    <s v="No"/>
    <n v="0"/>
    <s v="Travel_Rarely"/>
    <n v="1138"/>
    <x v="0"/>
    <x v="11"/>
    <x v="0"/>
    <x v="3"/>
    <n v="1"/>
    <n v="1311"/>
    <x v="3"/>
    <x v="1"/>
    <n v="48"/>
    <n v="2"/>
    <x v="1"/>
    <x v="0"/>
    <x v="2"/>
    <x v="2"/>
    <n v="4627"/>
    <x v="0"/>
    <n v="23631"/>
    <n v="0"/>
    <s v="Y"/>
    <x v="0"/>
    <n v="12"/>
    <n v="3"/>
    <n v="1"/>
    <n v="80"/>
    <n v="1"/>
    <n v="10"/>
    <n v="6"/>
    <x v="0"/>
    <x v="9"/>
    <x v="2"/>
    <n v="6"/>
  </r>
  <r>
    <s v="RM949"/>
    <n v="30"/>
    <x v="1"/>
    <s v="No"/>
    <n v="0"/>
    <s v="Travel_Rarely"/>
    <n v="634"/>
    <x v="0"/>
    <x v="24"/>
    <x v="3"/>
    <x v="1"/>
    <n v="1"/>
    <n v="1321"/>
    <x v="2"/>
    <x v="1"/>
    <n v="95"/>
    <n v="3"/>
    <x v="2"/>
    <x v="8"/>
    <x v="3"/>
    <x v="2"/>
    <n v="11916"/>
    <x v="2"/>
    <n v="25927"/>
    <n v="1"/>
    <s v="Y"/>
    <x v="1"/>
    <n v="23"/>
    <n v="4"/>
    <n v="4"/>
    <n v="80"/>
    <n v="2"/>
    <n v="9"/>
    <n v="2"/>
    <x v="0"/>
    <x v="9"/>
    <x v="1"/>
    <n v="0"/>
  </r>
  <r>
    <s v="RM1014"/>
    <n v="30"/>
    <x v="1"/>
    <s v="No"/>
    <n v="0"/>
    <s v="Travel_Rarely"/>
    <n v="855"/>
    <x v="1"/>
    <x v="17"/>
    <x v="3"/>
    <x v="2"/>
    <n v="1"/>
    <n v="1428"/>
    <x v="1"/>
    <x v="1"/>
    <n v="73"/>
    <n v="3"/>
    <x v="1"/>
    <x v="5"/>
    <x v="3"/>
    <x v="1"/>
    <n v="4779"/>
    <x v="0"/>
    <n v="12761"/>
    <n v="7"/>
    <s v="Y"/>
    <x v="0"/>
    <n v="14"/>
    <n v="3"/>
    <n v="2"/>
    <n v="80"/>
    <n v="2"/>
    <n v="8"/>
    <n v="3"/>
    <x v="0"/>
    <x v="3"/>
    <x v="2"/>
    <n v="0"/>
  </r>
  <r>
    <s v="RM1050"/>
    <n v="30"/>
    <x v="1"/>
    <s v="No"/>
    <n v="0"/>
    <s v="Travel_Rarely"/>
    <n v="1358"/>
    <x v="1"/>
    <x v="18"/>
    <x v="2"/>
    <x v="0"/>
    <n v="1"/>
    <n v="1479"/>
    <x v="1"/>
    <x v="0"/>
    <n v="96"/>
    <n v="3"/>
    <x v="1"/>
    <x v="5"/>
    <x v="0"/>
    <x v="2"/>
    <n v="5301"/>
    <x v="1"/>
    <n v="2939"/>
    <n v="8"/>
    <s v="Y"/>
    <x v="0"/>
    <n v="15"/>
    <n v="3"/>
    <n v="3"/>
    <n v="80"/>
    <n v="2"/>
    <n v="4"/>
    <n v="2"/>
    <x v="3"/>
    <x v="2"/>
    <x v="1"/>
    <n v="2"/>
  </r>
  <r>
    <s v="RM1053"/>
    <n v="30"/>
    <x v="1"/>
    <s v="No"/>
    <n v="0"/>
    <s v="Non-Travel"/>
    <n v="990"/>
    <x v="0"/>
    <x v="17"/>
    <x v="0"/>
    <x v="3"/>
    <n v="1"/>
    <n v="1482"/>
    <x v="0"/>
    <x v="0"/>
    <n v="64"/>
    <n v="3"/>
    <x v="0"/>
    <x v="2"/>
    <x v="0"/>
    <x v="1"/>
    <n v="1274"/>
    <x v="0"/>
    <n v="7152"/>
    <n v="1"/>
    <s v="Y"/>
    <x v="0"/>
    <n v="13"/>
    <n v="3"/>
    <n v="2"/>
    <n v="80"/>
    <n v="2"/>
    <n v="1"/>
    <n v="2"/>
    <x v="3"/>
    <x v="1"/>
    <x v="0"/>
    <n v="0"/>
  </r>
  <r>
    <s v="RM1065"/>
    <n v="30"/>
    <x v="1"/>
    <s v="No"/>
    <n v="0"/>
    <s v="Travel_Rarely"/>
    <n v="330"/>
    <x v="2"/>
    <x v="4"/>
    <x v="0"/>
    <x v="0"/>
    <n v="1"/>
    <n v="1499"/>
    <x v="0"/>
    <x v="0"/>
    <n v="46"/>
    <n v="3"/>
    <x v="0"/>
    <x v="3"/>
    <x v="0"/>
    <x v="1"/>
    <n v="2064"/>
    <x v="0"/>
    <n v="15428"/>
    <n v="0"/>
    <s v="Y"/>
    <x v="0"/>
    <n v="21"/>
    <n v="4"/>
    <n v="1"/>
    <n v="80"/>
    <n v="1"/>
    <n v="6"/>
    <n v="3"/>
    <x v="1"/>
    <x v="5"/>
    <x v="3"/>
    <n v="1"/>
  </r>
  <r>
    <s v="RM1107"/>
    <n v="30"/>
    <x v="1"/>
    <s v="Yes"/>
    <n v="1"/>
    <s v="Travel_Rarely"/>
    <n v="740"/>
    <x v="1"/>
    <x v="4"/>
    <x v="0"/>
    <x v="0"/>
    <n v="1"/>
    <n v="1562"/>
    <x v="2"/>
    <x v="0"/>
    <n v="64"/>
    <n v="2"/>
    <x v="1"/>
    <x v="5"/>
    <x v="3"/>
    <x v="2"/>
    <n v="9714"/>
    <x v="1"/>
    <n v="5323"/>
    <n v="1"/>
    <s v="Y"/>
    <x v="0"/>
    <n v="11"/>
    <n v="3"/>
    <n v="4"/>
    <n v="80"/>
    <n v="1"/>
    <n v="10"/>
    <n v="4"/>
    <x v="0"/>
    <x v="10"/>
    <x v="7"/>
    <n v="6"/>
  </r>
  <r>
    <s v="RM1110"/>
    <n v="30"/>
    <x v="1"/>
    <s v="No"/>
    <n v="0"/>
    <s v="Travel_Rarely"/>
    <n v="1288"/>
    <x v="1"/>
    <x v="26"/>
    <x v="3"/>
    <x v="3"/>
    <n v="1"/>
    <n v="1568"/>
    <x v="0"/>
    <x v="0"/>
    <n v="33"/>
    <n v="3"/>
    <x v="2"/>
    <x v="5"/>
    <x v="1"/>
    <x v="2"/>
    <n v="9250"/>
    <x v="1"/>
    <n v="17799"/>
    <n v="3"/>
    <s v="Y"/>
    <x v="0"/>
    <n v="12"/>
    <n v="3"/>
    <n v="2"/>
    <n v="80"/>
    <n v="1"/>
    <n v="9"/>
    <n v="3"/>
    <x v="0"/>
    <x v="4"/>
    <x v="2"/>
    <n v="1"/>
  </r>
  <r>
    <s v="RM1142"/>
    <n v="30"/>
    <x v="1"/>
    <s v="No"/>
    <n v="0"/>
    <s v="Travel_Rarely"/>
    <n v="241"/>
    <x v="0"/>
    <x v="17"/>
    <x v="0"/>
    <x v="1"/>
    <n v="1"/>
    <n v="1609"/>
    <x v="2"/>
    <x v="0"/>
    <n v="48"/>
    <n v="2"/>
    <x v="0"/>
    <x v="2"/>
    <x v="1"/>
    <x v="2"/>
    <n v="2141"/>
    <x v="0"/>
    <n v="5348"/>
    <n v="1"/>
    <s v="Y"/>
    <x v="0"/>
    <n v="12"/>
    <n v="3"/>
    <n v="2"/>
    <n v="80"/>
    <n v="1"/>
    <n v="6"/>
    <n v="3"/>
    <x v="3"/>
    <x v="6"/>
    <x v="4"/>
    <n v="1"/>
  </r>
  <r>
    <s v="RM1234"/>
    <n v="30"/>
    <x v="1"/>
    <s v="No"/>
    <n v="0"/>
    <s v="Travel_Rarely"/>
    <n v="793"/>
    <x v="0"/>
    <x v="18"/>
    <x v="2"/>
    <x v="0"/>
    <n v="1"/>
    <n v="1729"/>
    <x v="2"/>
    <x v="0"/>
    <n v="33"/>
    <n v="3"/>
    <x v="0"/>
    <x v="2"/>
    <x v="2"/>
    <x v="2"/>
    <n v="2862"/>
    <x v="0"/>
    <n v="3811"/>
    <n v="1"/>
    <s v="Y"/>
    <x v="0"/>
    <n v="12"/>
    <n v="3"/>
    <n v="2"/>
    <n v="80"/>
    <n v="1"/>
    <n v="10"/>
    <n v="2"/>
    <x v="3"/>
    <x v="10"/>
    <x v="0"/>
    <n v="0"/>
  </r>
  <r>
    <s v="RM1245"/>
    <n v="30"/>
    <x v="1"/>
    <s v="No"/>
    <n v="0"/>
    <s v="Travel_Frequently"/>
    <n v="1312"/>
    <x v="0"/>
    <x v="7"/>
    <x v="3"/>
    <x v="3"/>
    <n v="1"/>
    <n v="1745"/>
    <x v="1"/>
    <x v="1"/>
    <n v="78"/>
    <n v="2"/>
    <x v="0"/>
    <x v="2"/>
    <x v="3"/>
    <x v="0"/>
    <n v="4968"/>
    <x v="0"/>
    <n v="26427"/>
    <n v="0"/>
    <s v="Y"/>
    <x v="0"/>
    <n v="16"/>
    <n v="3"/>
    <n v="4"/>
    <n v="80"/>
    <n v="0"/>
    <n v="10"/>
    <n v="2"/>
    <x v="0"/>
    <x v="9"/>
    <x v="6"/>
    <n v="0"/>
  </r>
  <r>
    <s v="RM1247"/>
    <n v="30"/>
    <x v="1"/>
    <s v="Yes"/>
    <n v="1"/>
    <s v="Travel_Frequently"/>
    <n v="600"/>
    <x v="2"/>
    <x v="3"/>
    <x v="0"/>
    <x v="5"/>
    <n v="1"/>
    <n v="1747"/>
    <x v="0"/>
    <x v="1"/>
    <n v="66"/>
    <n v="2"/>
    <x v="0"/>
    <x v="3"/>
    <x v="2"/>
    <x v="1"/>
    <n v="2180"/>
    <x v="0"/>
    <n v="9732"/>
    <n v="6"/>
    <s v="Y"/>
    <x v="0"/>
    <n v="11"/>
    <n v="3"/>
    <n v="3"/>
    <n v="80"/>
    <n v="1"/>
    <n v="6"/>
    <n v="0"/>
    <x v="3"/>
    <x v="4"/>
    <x v="2"/>
    <n v="1"/>
  </r>
  <r>
    <s v="RM1252"/>
    <n v="30"/>
    <x v="1"/>
    <s v="No"/>
    <n v="0"/>
    <s v="Travel_Rarely"/>
    <n v="979"/>
    <x v="1"/>
    <x v="14"/>
    <x v="1"/>
    <x v="2"/>
    <n v="1"/>
    <n v="1754"/>
    <x v="0"/>
    <x v="0"/>
    <n v="94"/>
    <n v="2"/>
    <x v="2"/>
    <x v="5"/>
    <x v="3"/>
    <x v="1"/>
    <n v="7140"/>
    <x v="1"/>
    <n v="3088"/>
    <n v="2"/>
    <s v="Y"/>
    <x v="0"/>
    <n v="11"/>
    <n v="3"/>
    <n v="1"/>
    <n v="80"/>
    <n v="1"/>
    <n v="12"/>
    <n v="2"/>
    <x v="0"/>
    <x v="7"/>
    <x v="6"/>
    <n v="1"/>
  </r>
  <r>
    <s v="RM1260"/>
    <n v="30"/>
    <x v="1"/>
    <s v="No"/>
    <n v="0"/>
    <s v="Travel_Rarely"/>
    <n v="305"/>
    <x v="0"/>
    <x v="18"/>
    <x v="0"/>
    <x v="0"/>
    <n v="1"/>
    <n v="1763"/>
    <x v="0"/>
    <x v="0"/>
    <n v="58"/>
    <n v="4"/>
    <x v="1"/>
    <x v="6"/>
    <x v="0"/>
    <x v="2"/>
    <n v="5294"/>
    <x v="1"/>
    <n v="9128"/>
    <n v="3"/>
    <s v="Y"/>
    <x v="0"/>
    <n v="16"/>
    <n v="3"/>
    <n v="3"/>
    <n v="80"/>
    <n v="1"/>
    <n v="10"/>
    <n v="3"/>
    <x v="0"/>
    <x v="7"/>
    <x v="0"/>
    <n v="1"/>
  </r>
  <r>
    <s v="RM1297"/>
    <n v="30"/>
    <x v="1"/>
    <s v="No"/>
    <n v="0"/>
    <s v="Travel_Rarely"/>
    <n v="1092"/>
    <x v="0"/>
    <x v="1"/>
    <x v="0"/>
    <x v="1"/>
    <n v="1"/>
    <n v="1816"/>
    <x v="3"/>
    <x v="1"/>
    <n v="64"/>
    <n v="3"/>
    <x v="2"/>
    <x v="4"/>
    <x v="0"/>
    <x v="0"/>
    <n v="9667"/>
    <x v="1"/>
    <n v="2739"/>
    <n v="9"/>
    <s v="Y"/>
    <x v="0"/>
    <n v="14"/>
    <n v="3"/>
    <n v="2"/>
    <n v="80"/>
    <n v="0"/>
    <n v="9"/>
    <n v="3"/>
    <x v="0"/>
    <x v="7"/>
    <x v="6"/>
    <n v="0"/>
  </r>
  <r>
    <s v="RM1339"/>
    <n v="30"/>
    <x v="1"/>
    <s v="Yes"/>
    <n v="1"/>
    <s v="Travel_Rarely"/>
    <n v="945"/>
    <x v="1"/>
    <x v="9"/>
    <x v="0"/>
    <x v="1"/>
    <n v="1"/>
    <n v="1876"/>
    <x v="2"/>
    <x v="0"/>
    <n v="89"/>
    <n v="3"/>
    <x v="0"/>
    <x v="1"/>
    <x v="2"/>
    <x v="0"/>
    <n v="1081"/>
    <x v="0"/>
    <n v="16019"/>
    <n v="1"/>
    <s v="Y"/>
    <x v="0"/>
    <n v="13"/>
    <n v="3"/>
    <n v="3"/>
    <n v="80"/>
    <n v="0"/>
    <n v="1"/>
    <n v="3"/>
    <x v="3"/>
    <x v="1"/>
    <x v="0"/>
    <n v="0"/>
  </r>
  <r>
    <s v="RM1413"/>
    <n v="30"/>
    <x v="1"/>
    <s v="No"/>
    <n v="0"/>
    <s v="Travel_Rarely"/>
    <n v="911"/>
    <x v="0"/>
    <x v="4"/>
    <x v="1"/>
    <x v="1"/>
    <n v="1"/>
    <n v="1989"/>
    <x v="1"/>
    <x v="0"/>
    <n v="76"/>
    <n v="3"/>
    <x v="0"/>
    <x v="0"/>
    <x v="1"/>
    <x v="2"/>
    <n v="3748"/>
    <x v="0"/>
    <n v="4077"/>
    <n v="1"/>
    <s v="Y"/>
    <x v="0"/>
    <n v="13"/>
    <n v="3"/>
    <n v="3"/>
    <n v="80"/>
    <n v="0"/>
    <n v="12"/>
    <n v="6"/>
    <x v="3"/>
    <x v="12"/>
    <x v="7"/>
    <n v="1"/>
  </r>
  <r>
    <s v="RM013"/>
    <n v="31"/>
    <x v="1"/>
    <s v="No"/>
    <n v="0"/>
    <s v="Travel_Rarely"/>
    <n v="670"/>
    <x v="0"/>
    <x v="20"/>
    <x v="2"/>
    <x v="0"/>
    <n v="1"/>
    <n v="16"/>
    <x v="3"/>
    <x v="0"/>
    <n v="31"/>
    <n v="3"/>
    <x v="0"/>
    <x v="2"/>
    <x v="0"/>
    <x v="1"/>
    <n v="2911"/>
    <x v="0"/>
    <n v="15170"/>
    <n v="1"/>
    <s v="Y"/>
    <x v="0"/>
    <n v="17"/>
    <n v="3"/>
    <n v="4"/>
    <n v="80"/>
    <n v="1"/>
    <n v="5"/>
    <n v="1"/>
    <x v="3"/>
    <x v="5"/>
    <x v="2"/>
    <n v="4"/>
  </r>
  <r>
    <s v="RM059"/>
    <n v="31"/>
    <x v="1"/>
    <s v="No"/>
    <n v="0"/>
    <s v="Travel_Rarely"/>
    <n v="655"/>
    <x v="0"/>
    <x v="17"/>
    <x v="3"/>
    <x v="0"/>
    <n v="1"/>
    <n v="76"/>
    <x v="1"/>
    <x v="0"/>
    <n v="48"/>
    <n v="3"/>
    <x v="1"/>
    <x v="0"/>
    <x v="2"/>
    <x v="1"/>
    <n v="5915"/>
    <x v="1"/>
    <n v="9528"/>
    <n v="3"/>
    <s v="Y"/>
    <x v="0"/>
    <n v="22"/>
    <n v="4"/>
    <n v="4"/>
    <n v="80"/>
    <n v="1"/>
    <n v="10"/>
    <n v="3"/>
    <x v="3"/>
    <x v="7"/>
    <x v="6"/>
    <n v="1"/>
  </r>
  <r>
    <s v="RM073"/>
    <n v="31"/>
    <x v="1"/>
    <s v="No"/>
    <n v="0"/>
    <s v="Travel_Rarely"/>
    <n v="1082"/>
    <x v="0"/>
    <x v="4"/>
    <x v="3"/>
    <x v="1"/>
    <n v="1"/>
    <n v="95"/>
    <x v="0"/>
    <x v="0"/>
    <n v="87"/>
    <n v="3"/>
    <x v="0"/>
    <x v="2"/>
    <x v="1"/>
    <x v="0"/>
    <n v="2501"/>
    <x v="0"/>
    <n v="18775"/>
    <n v="1"/>
    <s v="Y"/>
    <x v="0"/>
    <n v="17"/>
    <n v="3"/>
    <n v="2"/>
    <n v="80"/>
    <n v="0"/>
    <n v="1"/>
    <n v="4"/>
    <x v="0"/>
    <x v="1"/>
    <x v="1"/>
    <n v="1"/>
  </r>
  <r>
    <s v="RM076"/>
    <n v="31"/>
    <x v="1"/>
    <s v="No"/>
    <n v="0"/>
    <s v="Travel_Rarely"/>
    <n v="746"/>
    <x v="0"/>
    <x v="3"/>
    <x v="3"/>
    <x v="0"/>
    <n v="1"/>
    <n v="98"/>
    <x v="0"/>
    <x v="1"/>
    <n v="61"/>
    <n v="3"/>
    <x v="1"/>
    <x v="4"/>
    <x v="2"/>
    <x v="0"/>
    <n v="4424"/>
    <x v="0"/>
    <n v="20682"/>
    <n v="1"/>
    <s v="Y"/>
    <x v="0"/>
    <n v="23"/>
    <n v="4"/>
    <n v="4"/>
    <n v="80"/>
    <n v="0"/>
    <n v="11"/>
    <n v="2"/>
    <x v="0"/>
    <x v="11"/>
    <x v="6"/>
    <n v="1"/>
  </r>
  <r>
    <s v="RM125"/>
    <n v="31"/>
    <x v="1"/>
    <s v="Yes"/>
    <n v="1"/>
    <s v="Travel_Rarely"/>
    <n v="249"/>
    <x v="1"/>
    <x v="11"/>
    <x v="3"/>
    <x v="0"/>
    <n v="1"/>
    <n v="163"/>
    <x v="2"/>
    <x v="0"/>
    <n v="76"/>
    <n v="1"/>
    <x v="1"/>
    <x v="5"/>
    <x v="0"/>
    <x v="2"/>
    <n v="6172"/>
    <x v="1"/>
    <n v="20739"/>
    <n v="4"/>
    <s v="Y"/>
    <x v="1"/>
    <n v="18"/>
    <n v="3"/>
    <n v="2"/>
    <n v="80"/>
    <n v="0"/>
    <n v="12"/>
    <n v="3"/>
    <x v="3"/>
    <x v="7"/>
    <x v="6"/>
    <n v="7"/>
  </r>
  <r>
    <s v="RM133"/>
    <n v="31"/>
    <x v="1"/>
    <s v="Yes"/>
    <n v="1"/>
    <s v="Travel_Rarely"/>
    <n v="542"/>
    <x v="1"/>
    <x v="21"/>
    <x v="0"/>
    <x v="0"/>
    <n v="1"/>
    <n v="175"/>
    <x v="2"/>
    <x v="1"/>
    <n v="71"/>
    <n v="1"/>
    <x v="1"/>
    <x v="5"/>
    <x v="0"/>
    <x v="2"/>
    <n v="4559"/>
    <x v="0"/>
    <n v="24788"/>
    <n v="3"/>
    <s v="Y"/>
    <x v="1"/>
    <n v="11"/>
    <n v="3"/>
    <n v="3"/>
    <n v="80"/>
    <n v="1"/>
    <n v="4"/>
    <n v="2"/>
    <x v="0"/>
    <x v="2"/>
    <x v="2"/>
    <n v="2"/>
  </r>
  <r>
    <s v="RM181"/>
    <n v="31"/>
    <x v="1"/>
    <s v="No"/>
    <n v="0"/>
    <s v="Travel_Rarely"/>
    <n v="140"/>
    <x v="0"/>
    <x v="15"/>
    <x v="2"/>
    <x v="1"/>
    <n v="1"/>
    <n v="246"/>
    <x v="0"/>
    <x v="1"/>
    <n v="95"/>
    <n v="3"/>
    <x v="0"/>
    <x v="2"/>
    <x v="2"/>
    <x v="2"/>
    <n v="3929"/>
    <x v="0"/>
    <n v="6984"/>
    <n v="8"/>
    <s v="Y"/>
    <x v="1"/>
    <n v="23"/>
    <n v="4"/>
    <n v="3"/>
    <n v="80"/>
    <n v="1"/>
    <n v="7"/>
    <n v="0"/>
    <x v="0"/>
    <x v="4"/>
    <x v="2"/>
    <n v="0"/>
  </r>
  <r>
    <s v="RM225"/>
    <n v="31"/>
    <x v="1"/>
    <s v="No"/>
    <n v="0"/>
    <s v="Non-Travel"/>
    <n v="979"/>
    <x v="0"/>
    <x v="4"/>
    <x v="3"/>
    <x v="1"/>
    <n v="1"/>
    <n v="308"/>
    <x v="0"/>
    <x v="0"/>
    <n v="90"/>
    <n v="1"/>
    <x v="1"/>
    <x v="4"/>
    <x v="0"/>
    <x v="2"/>
    <n v="4345"/>
    <x v="0"/>
    <n v="4381"/>
    <n v="0"/>
    <s v="Y"/>
    <x v="0"/>
    <n v="12"/>
    <n v="3"/>
    <n v="4"/>
    <n v="80"/>
    <n v="1"/>
    <n v="6"/>
    <n v="2"/>
    <x v="0"/>
    <x v="5"/>
    <x v="4"/>
    <n v="1"/>
  </r>
  <r>
    <s v="RM246"/>
    <n v="31"/>
    <x v="1"/>
    <s v="No"/>
    <n v="0"/>
    <s v="Travel_Frequently"/>
    <n v="1327"/>
    <x v="0"/>
    <x v="0"/>
    <x v="3"/>
    <x v="1"/>
    <n v="1"/>
    <n v="337"/>
    <x v="2"/>
    <x v="0"/>
    <n v="73"/>
    <n v="3"/>
    <x v="2"/>
    <x v="7"/>
    <x v="0"/>
    <x v="1"/>
    <n v="13675"/>
    <x v="2"/>
    <n v="13523"/>
    <n v="9"/>
    <s v="Y"/>
    <x v="0"/>
    <n v="12"/>
    <n v="3"/>
    <n v="1"/>
    <n v="80"/>
    <n v="1"/>
    <n v="9"/>
    <n v="3"/>
    <x v="0"/>
    <x v="2"/>
    <x v="2"/>
    <n v="2"/>
  </r>
  <r>
    <s v="RM260"/>
    <n v="31"/>
    <x v="1"/>
    <s v="Yes"/>
    <n v="1"/>
    <s v="Travel_Frequently"/>
    <n v="307"/>
    <x v="0"/>
    <x v="26"/>
    <x v="1"/>
    <x v="1"/>
    <n v="1"/>
    <n v="355"/>
    <x v="0"/>
    <x v="0"/>
    <n v="71"/>
    <n v="2"/>
    <x v="0"/>
    <x v="0"/>
    <x v="1"/>
    <x v="0"/>
    <n v="3479"/>
    <x v="0"/>
    <n v="11652"/>
    <n v="0"/>
    <s v="Y"/>
    <x v="0"/>
    <n v="11"/>
    <n v="3"/>
    <n v="2"/>
    <n v="80"/>
    <n v="0"/>
    <n v="6"/>
    <n v="2"/>
    <x v="1"/>
    <x v="5"/>
    <x v="4"/>
    <n v="1"/>
  </r>
  <r>
    <s v="RM267"/>
    <n v="31"/>
    <x v="1"/>
    <s v="No"/>
    <n v="0"/>
    <s v="Travel_Rarely"/>
    <n v="1463"/>
    <x v="0"/>
    <x v="23"/>
    <x v="0"/>
    <x v="1"/>
    <n v="1"/>
    <n v="367"/>
    <x v="2"/>
    <x v="0"/>
    <n v="64"/>
    <n v="2"/>
    <x v="1"/>
    <x v="6"/>
    <x v="2"/>
    <x v="2"/>
    <n v="5582"/>
    <x v="1"/>
    <n v="14408"/>
    <n v="0"/>
    <s v="Y"/>
    <x v="0"/>
    <n v="21"/>
    <n v="4"/>
    <n v="2"/>
    <n v="80"/>
    <n v="1"/>
    <n v="10"/>
    <n v="2"/>
    <x v="0"/>
    <x v="9"/>
    <x v="0"/>
    <n v="7"/>
  </r>
  <r>
    <s v="RM293"/>
    <n v="31"/>
    <x v="1"/>
    <s v="No"/>
    <n v="0"/>
    <s v="Travel_Frequently"/>
    <n v="444"/>
    <x v="1"/>
    <x v="2"/>
    <x v="0"/>
    <x v="2"/>
    <n v="1"/>
    <n v="399"/>
    <x v="1"/>
    <x v="1"/>
    <n v="84"/>
    <n v="3"/>
    <x v="0"/>
    <x v="1"/>
    <x v="1"/>
    <x v="1"/>
    <n v="2789"/>
    <x v="0"/>
    <n v="3909"/>
    <n v="1"/>
    <s v="Y"/>
    <x v="0"/>
    <n v="11"/>
    <n v="3"/>
    <n v="3"/>
    <n v="80"/>
    <n v="1"/>
    <n v="2"/>
    <n v="5"/>
    <x v="3"/>
    <x v="2"/>
    <x v="2"/>
    <n v="2"/>
  </r>
  <r>
    <s v="RM304"/>
    <n v="31"/>
    <x v="1"/>
    <s v="No"/>
    <n v="0"/>
    <s v="Travel_Rarely"/>
    <n v="218"/>
    <x v="1"/>
    <x v="17"/>
    <x v="0"/>
    <x v="3"/>
    <n v="1"/>
    <n v="416"/>
    <x v="2"/>
    <x v="0"/>
    <n v="100"/>
    <n v="4"/>
    <x v="1"/>
    <x v="5"/>
    <x v="2"/>
    <x v="2"/>
    <n v="6929"/>
    <x v="1"/>
    <n v="12241"/>
    <n v="4"/>
    <s v="Y"/>
    <x v="0"/>
    <n v="11"/>
    <n v="3"/>
    <n v="2"/>
    <n v="80"/>
    <n v="1"/>
    <n v="10"/>
    <n v="3"/>
    <x v="3"/>
    <x v="8"/>
    <x v="6"/>
    <n v="7"/>
  </r>
  <r>
    <s v="RM310"/>
    <n v="31"/>
    <x v="1"/>
    <s v="No"/>
    <n v="0"/>
    <s v="Travel_Rarely"/>
    <n v="691"/>
    <x v="0"/>
    <x v="2"/>
    <x v="3"/>
    <x v="3"/>
    <n v="1"/>
    <n v="423"/>
    <x v="0"/>
    <x v="0"/>
    <n v="86"/>
    <n v="3"/>
    <x v="0"/>
    <x v="2"/>
    <x v="2"/>
    <x v="2"/>
    <n v="4821"/>
    <x v="0"/>
    <n v="10077"/>
    <n v="0"/>
    <s v="Y"/>
    <x v="1"/>
    <n v="12"/>
    <n v="3"/>
    <n v="3"/>
    <n v="80"/>
    <n v="1"/>
    <n v="6"/>
    <n v="4"/>
    <x v="0"/>
    <x v="5"/>
    <x v="2"/>
    <n v="0"/>
  </r>
  <r>
    <s v="RM311"/>
    <n v="31"/>
    <x v="1"/>
    <s v="No"/>
    <n v="0"/>
    <s v="Travel_Rarely"/>
    <n v="106"/>
    <x v="2"/>
    <x v="7"/>
    <x v="0"/>
    <x v="5"/>
    <n v="1"/>
    <n v="424"/>
    <x v="3"/>
    <x v="0"/>
    <n v="62"/>
    <n v="2"/>
    <x v="1"/>
    <x v="3"/>
    <x v="3"/>
    <x v="2"/>
    <n v="6410"/>
    <x v="1"/>
    <n v="17822"/>
    <n v="3"/>
    <s v="Y"/>
    <x v="0"/>
    <n v="12"/>
    <n v="3"/>
    <n v="4"/>
    <n v="80"/>
    <n v="0"/>
    <n v="9"/>
    <n v="1"/>
    <x v="0"/>
    <x v="2"/>
    <x v="2"/>
    <n v="1"/>
  </r>
  <r>
    <s v="RM313"/>
    <n v="31"/>
    <x v="1"/>
    <s v="No"/>
    <n v="0"/>
    <s v="Travel_Rarely"/>
    <n v="192"/>
    <x v="0"/>
    <x v="7"/>
    <x v="3"/>
    <x v="0"/>
    <n v="1"/>
    <n v="426"/>
    <x v="0"/>
    <x v="0"/>
    <n v="32"/>
    <n v="3"/>
    <x v="0"/>
    <x v="2"/>
    <x v="2"/>
    <x v="1"/>
    <n v="2695"/>
    <x v="0"/>
    <n v="7747"/>
    <n v="0"/>
    <s v="Y"/>
    <x v="1"/>
    <n v="18"/>
    <n v="3"/>
    <n v="2"/>
    <n v="80"/>
    <n v="1"/>
    <n v="3"/>
    <n v="2"/>
    <x v="2"/>
    <x v="2"/>
    <x v="2"/>
    <n v="2"/>
  </r>
  <r>
    <s v="RM322"/>
    <n v="31"/>
    <x v="1"/>
    <s v="No"/>
    <n v="0"/>
    <s v="Travel_Rarely"/>
    <n v="691"/>
    <x v="1"/>
    <x v="17"/>
    <x v="0"/>
    <x v="2"/>
    <n v="1"/>
    <n v="438"/>
    <x v="1"/>
    <x v="0"/>
    <n v="73"/>
    <n v="3"/>
    <x v="1"/>
    <x v="5"/>
    <x v="2"/>
    <x v="1"/>
    <n v="7547"/>
    <x v="1"/>
    <n v="7143"/>
    <n v="4"/>
    <s v="Y"/>
    <x v="0"/>
    <n v="12"/>
    <n v="3"/>
    <n v="4"/>
    <n v="80"/>
    <n v="3"/>
    <n v="13"/>
    <n v="3"/>
    <x v="0"/>
    <x v="7"/>
    <x v="6"/>
    <n v="1"/>
  </r>
  <r>
    <s v="RM326"/>
    <n v="31"/>
    <x v="1"/>
    <s v="No"/>
    <n v="0"/>
    <s v="Travel_Frequently"/>
    <n v="798"/>
    <x v="0"/>
    <x v="17"/>
    <x v="1"/>
    <x v="0"/>
    <n v="1"/>
    <n v="442"/>
    <x v="0"/>
    <x v="1"/>
    <n v="48"/>
    <n v="2"/>
    <x v="2"/>
    <x v="4"/>
    <x v="0"/>
    <x v="2"/>
    <n v="8943"/>
    <x v="1"/>
    <n v="14034"/>
    <n v="1"/>
    <s v="Y"/>
    <x v="0"/>
    <n v="24"/>
    <n v="4"/>
    <n v="1"/>
    <n v="80"/>
    <n v="1"/>
    <n v="10"/>
    <n v="2"/>
    <x v="0"/>
    <x v="10"/>
    <x v="9"/>
    <n v="8"/>
  </r>
  <r>
    <s v="RM343"/>
    <n v="31"/>
    <x v="1"/>
    <s v="No"/>
    <n v="0"/>
    <s v="Travel_Rarely"/>
    <n v="1232"/>
    <x v="0"/>
    <x v="17"/>
    <x v="3"/>
    <x v="1"/>
    <n v="1"/>
    <n v="462"/>
    <x v="0"/>
    <x v="1"/>
    <n v="39"/>
    <n v="3"/>
    <x v="2"/>
    <x v="4"/>
    <x v="2"/>
    <x v="0"/>
    <n v="7143"/>
    <x v="1"/>
    <n v="25713"/>
    <n v="1"/>
    <s v="Y"/>
    <x v="1"/>
    <n v="14"/>
    <n v="3"/>
    <n v="3"/>
    <n v="80"/>
    <n v="0"/>
    <n v="11"/>
    <n v="2"/>
    <x v="3"/>
    <x v="11"/>
    <x v="9"/>
    <n v="4"/>
  </r>
  <r>
    <s v="RM370"/>
    <n v="31"/>
    <x v="1"/>
    <s v="No"/>
    <n v="0"/>
    <s v="Travel_Rarely"/>
    <n v="408"/>
    <x v="0"/>
    <x v="9"/>
    <x v="3"/>
    <x v="0"/>
    <n v="1"/>
    <n v="493"/>
    <x v="0"/>
    <x v="0"/>
    <n v="42"/>
    <n v="2"/>
    <x v="0"/>
    <x v="2"/>
    <x v="1"/>
    <x v="0"/>
    <n v="2657"/>
    <x v="0"/>
    <n v="7551"/>
    <n v="0"/>
    <s v="Y"/>
    <x v="1"/>
    <n v="16"/>
    <n v="3"/>
    <n v="4"/>
    <n v="80"/>
    <n v="0"/>
    <n v="3"/>
    <n v="5"/>
    <x v="0"/>
    <x v="2"/>
    <x v="2"/>
    <n v="2"/>
  </r>
  <r>
    <s v="RM395"/>
    <n v="31"/>
    <x v="1"/>
    <s v="No"/>
    <n v="0"/>
    <s v="Travel_Rarely"/>
    <n v="480"/>
    <x v="0"/>
    <x v="17"/>
    <x v="1"/>
    <x v="1"/>
    <n v="1"/>
    <n v="524"/>
    <x v="2"/>
    <x v="1"/>
    <n v="31"/>
    <n v="3"/>
    <x v="1"/>
    <x v="4"/>
    <x v="3"/>
    <x v="2"/>
    <n v="4306"/>
    <x v="0"/>
    <n v="4156"/>
    <n v="1"/>
    <s v="Y"/>
    <x v="0"/>
    <n v="12"/>
    <n v="3"/>
    <n v="2"/>
    <n v="80"/>
    <n v="1"/>
    <n v="13"/>
    <n v="5"/>
    <x v="2"/>
    <x v="13"/>
    <x v="10"/>
    <n v="3"/>
  </r>
  <r>
    <s v="RM400"/>
    <n v="31"/>
    <x v="1"/>
    <s v="No"/>
    <n v="0"/>
    <s v="Travel_Rarely"/>
    <n v="329"/>
    <x v="0"/>
    <x v="4"/>
    <x v="1"/>
    <x v="0"/>
    <n v="1"/>
    <n v="530"/>
    <x v="1"/>
    <x v="0"/>
    <n v="98"/>
    <n v="2"/>
    <x v="0"/>
    <x v="0"/>
    <x v="3"/>
    <x v="2"/>
    <n v="2218"/>
    <x v="0"/>
    <n v="16193"/>
    <n v="1"/>
    <s v="Y"/>
    <x v="0"/>
    <n v="12"/>
    <n v="3"/>
    <n v="3"/>
    <n v="80"/>
    <n v="1"/>
    <n v="4"/>
    <n v="3"/>
    <x v="0"/>
    <x v="4"/>
    <x v="2"/>
    <n v="3"/>
  </r>
  <r>
    <s v="RM435"/>
    <n v="31"/>
    <x v="1"/>
    <s v="No"/>
    <n v="0"/>
    <s v="Travel_Rarely"/>
    <n v="1274"/>
    <x v="0"/>
    <x v="9"/>
    <x v="2"/>
    <x v="0"/>
    <n v="1"/>
    <n v="581"/>
    <x v="0"/>
    <x v="0"/>
    <n v="33"/>
    <n v="3"/>
    <x v="2"/>
    <x v="4"/>
    <x v="1"/>
    <x v="1"/>
    <n v="10648"/>
    <x v="2"/>
    <n v="14394"/>
    <n v="1"/>
    <s v="Y"/>
    <x v="0"/>
    <n v="25"/>
    <n v="4"/>
    <n v="4"/>
    <n v="80"/>
    <n v="1"/>
    <n v="13"/>
    <n v="6"/>
    <x v="1"/>
    <x v="13"/>
    <x v="7"/>
    <n v="0"/>
  </r>
  <r>
    <s v="RM440"/>
    <n v="31"/>
    <x v="1"/>
    <s v="Yes"/>
    <n v="1"/>
    <s v="Travel_Frequently"/>
    <n v="534"/>
    <x v="0"/>
    <x v="21"/>
    <x v="0"/>
    <x v="0"/>
    <n v="1"/>
    <n v="587"/>
    <x v="3"/>
    <x v="0"/>
    <n v="66"/>
    <n v="3"/>
    <x v="2"/>
    <x v="6"/>
    <x v="0"/>
    <x v="2"/>
    <n v="9824"/>
    <x v="1"/>
    <n v="22908"/>
    <n v="3"/>
    <s v="Y"/>
    <x v="0"/>
    <n v="12"/>
    <n v="3"/>
    <n v="1"/>
    <n v="80"/>
    <n v="0"/>
    <n v="12"/>
    <n v="2"/>
    <x v="0"/>
    <x v="1"/>
    <x v="0"/>
    <n v="0"/>
  </r>
  <r>
    <s v="RM451"/>
    <n v="31"/>
    <x v="1"/>
    <s v="No"/>
    <n v="0"/>
    <s v="Travel_Rarely"/>
    <n v="828"/>
    <x v="1"/>
    <x v="7"/>
    <x v="2"/>
    <x v="0"/>
    <n v="1"/>
    <n v="604"/>
    <x v="2"/>
    <x v="0"/>
    <n v="77"/>
    <n v="3"/>
    <x v="1"/>
    <x v="5"/>
    <x v="2"/>
    <x v="0"/>
    <n v="6582"/>
    <x v="1"/>
    <n v="8346"/>
    <n v="4"/>
    <s v="Y"/>
    <x v="1"/>
    <n v="13"/>
    <n v="3"/>
    <n v="3"/>
    <n v="80"/>
    <n v="0"/>
    <n v="10"/>
    <n v="2"/>
    <x v="1"/>
    <x v="6"/>
    <x v="5"/>
    <n v="0"/>
  </r>
  <r>
    <s v="RM457"/>
    <n v="31"/>
    <x v="1"/>
    <s v="No"/>
    <n v="0"/>
    <s v="Travel_Rarely"/>
    <n v="688"/>
    <x v="1"/>
    <x v="17"/>
    <x v="0"/>
    <x v="0"/>
    <n v="1"/>
    <n v="613"/>
    <x v="0"/>
    <x v="0"/>
    <n v="44"/>
    <n v="2"/>
    <x v="2"/>
    <x v="8"/>
    <x v="2"/>
    <x v="1"/>
    <n v="11557"/>
    <x v="2"/>
    <n v="25291"/>
    <n v="9"/>
    <s v="Y"/>
    <x v="0"/>
    <n v="21"/>
    <n v="4"/>
    <n v="3"/>
    <n v="80"/>
    <n v="1"/>
    <n v="10"/>
    <n v="3"/>
    <x v="3"/>
    <x v="5"/>
    <x v="4"/>
    <n v="0"/>
  </r>
  <r>
    <s v="RM483"/>
    <n v="31"/>
    <x v="1"/>
    <s v="Yes"/>
    <n v="1"/>
    <s v="Travel_Rarely"/>
    <n v="1365"/>
    <x v="1"/>
    <x v="25"/>
    <x v="3"/>
    <x v="1"/>
    <n v="1"/>
    <n v="650"/>
    <x v="2"/>
    <x v="0"/>
    <n v="46"/>
    <n v="3"/>
    <x v="1"/>
    <x v="5"/>
    <x v="3"/>
    <x v="1"/>
    <n v="4233"/>
    <x v="0"/>
    <n v="11512"/>
    <n v="2"/>
    <s v="Y"/>
    <x v="0"/>
    <n v="17"/>
    <n v="3"/>
    <n v="3"/>
    <n v="80"/>
    <n v="0"/>
    <n v="9"/>
    <n v="2"/>
    <x v="2"/>
    <x v="3"/>
    <x v="1"/>
    <n v="1"/>
  </r>
  <r>
    <s v="RM485"/>
    <n v="31"/>
    <x v="1"/>
    <s v="No"/>
    <n v="0"/>
    <s v="Travel_Rarely"/>
    <n v="525"/>
    <x v="1"/>
    <x v="11"/>
    <x v="3"/>
    <x v="1"/>
    <n v="1"/>
    <n v="653"/>
    <x v="3"/>
    <x v="0"/>
    <n v="66"/>
    <n v="4"/>
    <x v="1"/>
    <x v="5"/>
    <x v="2"/>
    <x v="1"/>
    <n v="5460"/>
    <x v="1"/>
    <n v="6219"/>
    <n v="4"/>
    <s v="Y"/>
    <x v="0"/>
    <n v="22"/>
    <n v="4"/>
    <n v="4"/>
    <n v="80"/>
    <n v="2"/>
    <n v="13"/>
    <n v="4"/>
    <x v="1"/>
    <x v="7"/>
    <x v="6"/>
    <n v="5"/>
  </r>
  <r>
    <s v="RM645"/>
    <n v="31"/>
    <x v="1"/>
    <s v="No"/>
    <n v="0"/>
    <s v="Travel_Rarely"/>
    <n v="1222"/>
    <x v="0"/>
    <x v="13"/>
    <x v="3"/>
    <x v="0"/>
    <n v="1"/>
    <n v="895"/>
    <x v="1"/>
    <x v="0"/>
    <n v="48"/>
    <n v="3"/>
    <x v="0"/>
    <x v="2"/>
    <x v="2"/>
    <x v="2"/>
    <n v="2356"/>
    <x v="0"/>
    <n v="14871"/>
    <n v="3"/>
    <s v="Y"/>
    <x v="1"/>
    <n v="19"/>
    <n v="3"/>
    <n v="2"/>
    <n v="80"/>
    <n v="1"/>
    <n v="8"/>
    <n v="2"/>
    <x v="0"/>
    <x v="6"/>
    <x v="4"/>
    <n v="0"/>
  </r>
  <r>
    <s v="RM676"/>
    <n v="31"/>
    <x v="1"/>
    <s v="No"/>
    <n v="0"/>
    <s v="Travel_Rarely"/>
    <n v="154"/>
    <x v="1"/>
    <x v="17"/>
    <x v="3"/>
    <x v="0"/>
    <n v="1"/>
    <n v="941"/>
    <x v="2"/>
    <x v="0"/>
    <n v="41"/>
    <n v="2"/>
    <x v="0"/>
    <x v="1"/>
    <x v="0"/>
    <x v="2"/>
    <n v="2329"/>
    <x v="0"/>
    <n v="11737"/>
    <n v="3"/>
    <s v="Y"/>
    <x v="0"/>
    <n v="15"/>
    <n v="3"/>
    <n v="2"/>
    <n v="80"/>
    <n v="0"/>
    <n v="13"/>
    <n v="2"/>
    <x v="1"/>
    <x v="7"/>
    <x v="6"/>
    <n v="5"/>
  </r>
  <r>
    <s v="RM680"/>
    <n v="31"/>
    <x v="1"/>
    <s v="No"/>
    <n v="0"/>
    <s v="Non-Travel"/>
    <n v="1188"/>
    <x v="1"/>
    <x v="21"/>
    <x v="1"/>
    <x v="2"/>
    <n v="1"/>
    <n v="947"/>
    <x v="1"/>
    <x v="1"/>
    <n v="45"/>
    <n v="3"/>
    <x v="1"/>
    <x v="5"/>
    <x v="0"/>
    <x v="2"/>
    <n v="6932"/>
    <x v="1"/>
    <n v="24406"/>
    <n v="1"/>
    <s v="Y"/>
    <x v="0"/>
    <n v="13"/>
    <n v="3"/>
    <n v="4"/>
    <n v="80"/>
    <n v="1"/>
    <n v="9"/>
    <n v="2"/>
    <x v="3"/>
    <x v="9"/>
    <x v="7"/>
    <n v="0"/>
  </r>
  <r>
    <s v="RM691"/>
    <n v="31"/>
    <x v="1"/>
    <s v="No"/>
    <n v="0"/>
    <s v="Travel_Rarely"/>
    <n v="616"/>
    <x v="0"/>
    <x v="15"/>
    <x v="0"/>
    <x v="1"/>
    <n v="1"/>
    <n v="961"/>
    <x v="1"/>
    <x v="1"/>
    <n v="41"/>
    <n v="3"/>
    <x v="1"/>
    <x v="6"/>
    <x v="2"/>
    <x v="2"/>
    <n v="5855"/>
    <x v="1"/>
    <n v="17369"/>
    <n v="0"/>
    <s v="Y"/>
    <x v="1"/>
    <n v="11"/>
    <n v="3"/>
    <n v="3"/>
    <n v="80"/>
    <n v="2"/>
    <n v="10"/>
    <n v="2"/>
    <x v="2"/>
    <x v="9"/>
    <x v="6"/>
    <n v="8"/>
  </r>
  <r>
    <s v="RM710"/>
    <n v="31"/>
    <x v="1"/>
    <s v="Yes"/>
    <n v="1"/>
    <s v="Non-Travel"/>
    <n v="335"/>
    <x v="0"/>
    <x v="9"/>
    <x v="1"/>
    <x v="1"/>
    <n v="1"/>
    <n v="991"/>
    <x v="0"/>
    <x v="0"/>
    <n v="46"/>
    <n v="2"/>
    <x v="0"/>
    <x v="2"/>
    <x v="3"/>
    <x v="0"/>
    <n v="2321"/>
    <x v="0"/>
    <n v="10322"/>
    <n v="0"/>
    <s v="Y"/>
    <x v="1"/>
    <n v="22"/>
    <n v="4"/>
    <n v="1"/>
    <n v="80"/>
    <n v="0"/>
    <n v="4"/>
    <n v="0"/>
    <x v="0"/>
    <x v="3"/>
    <x v="2"/>
    <n v="1"/>
  </r>
  <r>
    <s v="RM727"/>
    <n v="31"/>
    <x v="1"/>
    <s v="No"/>
    <n v="0"/>
    <s v="Travel_Frequently"/>
    <n v="853"/>
    <x v="0"/>
    <x v="4"/>
    <x v="2"/>
    <x v="0"/>
    <n v="1"/>
    <n v="1011"/>
    <x v="0"/>
    <x v="1"/>
    <n v="96"/>
    <n v="3"/>
    <x v="1"/>
    <x v="4"/>
    <x v="3"/>
    <x v="2"/>
    <n v="4148"/>
    <x v="0"/>
    <n v="11275"/>
    <n v="1"/>
    <s v="Y"/>
    <x v="0"/>
    <n v="12"/>
    <n v="3"/>
    <n v="3"/>
    <n v="80"/>
    <n v="1"/>
    <n v="4"/>
    <n v="1"/>
    <x v="0"/>
    <x v="4"/>
    <x v="3"/>
    <n v="0"/>
  </r>
  <r>
    <s v="RM819"/>
    <n v="31"/>
    <x v="1"/>
    <s v="No"/>
    <n v="0"/>
    <s v="Travel_Frequently"/>
    <n v="793"/>
    <x v="1"/>
    <x v="21"/>
    <x v="0"/>
    <x v="0"/>
    <n v="1"/>
    <n v="1135"/>
    <x v="0"/>
    <x v="0"/>
    <n v="67"/>
    <n v="4"/>
    <x v="0"/>
    <x v="1"/>
    <x v="2"/>
    <x v="2"/>
    <n v="2791"/>
    <x v="0"/>
    <n v="21981"/>
    <n v="0"/>
    <s v="Y"/>
    <x v="0"/>
    <n v="12"/>
    <n v="3"/>
    <n v="1"/>
    <n v="80"/>
    <n v="1"/>
    <n v="3"/>
    <n v="4"/>
    <x v="0"/>
    <x v="2"/>
    <x v="2"/>
    <n v="2"/>
  </r>
  <r>
    <s v="RM832"/>
    <n v="31"/>
    <x v="1"/>
    <s v="Yes"/>
    <n v="1"/>
    <s v="Travel_Frequently"/>
    <n v="874"/>
    <x v="0"/>
    <x v="14"/>
    <x v="0"/>
    <x v="1"/>
    <n v="1"/>
    <n v="1160"/>
    <x v="0"/>
    <x v="0"/>
    <n v="72"/>
    <n v="3"/>
    <x v="0"/>
    <x v="0"/>
    <x v="0"/>
    <x v="2"/>
    <n v="2610"/>
    <x v="0"/>
    <n v="6233"/>
    <n v="1"/>
    <s v="Y"/>
    <x v="0"/>
    <n v="12"/>
    <n v="3"/>
    <n v="3"/>
    <n v="80"/>
    <n v="1"/>
    <n v="2"/>
    <n v="5"/>
    <x v="3"/>
    <x v="2"/>
    <x v="2"/>
    <n v="2"/>
  </r>
  <r>
    <s v="RM896"/>
    <n v="31"/>
    <x v="1"/>
    <s v="No"/>
    <n v="0"/>
    <s v="Travel_Rarely"/>
    <n v="1332"/>
    <x v="0"/>
    <x v="13"/>
    <x v="1"/>
    <x v="1"/>
    <n v="1"/>
    <n v="1251"/>
    <x v="0"/>
    <x v="0"/>
    <n v="80"/>
    <n v="3"/>
    <x v="1"/>
    <x v="6"/>
    <x v="3"/>
    <x v="2"/>
    <n v="6833"/>
    <x v="1"/>
    <n v="17089"/>
    <n v="1"/>
    <s v="Y"/>
    <x v="1"/>
    <n v="12"/>
    <n v="3"/>
    <n v="4"/>
    <n v="80"/>
    <n v="0"/>
    <n v="6"/>
    <n v="2"/>
    <x v="3"/>
    <x v="6"/>
    <x v="5"/>
    <n v="0"/>
  </r>
  <r>
    <s v="RM897"/>
    <n v="31"/>
    <x v="1"/>
    <s v="No"/>
    <n v="0"/>
    <s v="Travel_Rarely"/>
    <n v="1062"/>
    <x v="0"/>
    <x v="22"/>
    <x v="0"/>
    <x v="1"/>
    <n v="1"/>
    <n v="1252"/>
    <x v="0"/>
    <x v="1"/>
    <n v="96"/>
    <n v="2"/>
    <x v="1"/>
    <x v="6"/>
    <x v="3"/>
    <x v="0"/>
    <n v="6812"/>
    <x v="1"/>
    <n v="17198"/>
    <n v="1"/>
    <s v="Y"/>
    <x v="0"/>
    <n v="19"/>
    <n v="3"/>
    <n v="2"/>
    <n v="80"/>
    <n v="0"/>
    <n v="10"/>
    <n v="2"/>
    <x v="0"/>
    <x v="10"/>
    <x v="9"/>
    <n v="1"/>
  </r>
  <r>
    <s v="RM951"/>
    <n v="31"/>
    <x v="1"/>
    <s v="No"/>
    <n v="0"/>
    <s v="Non-Travel"/>
    <n v="587"/>
    <x v="1"/>
    <x v="7"/>
    <x v="3"/>
    <x v="0"/>
    <n v="1"/>
    <n v="1324"/>
    <x v="1"/>
    <x v="1"/>
    <n v="57"/>
    <n v="3"/>
    <x v="2"/>
    <x v="5"/>
    <x v="0"/>
    <x v="1"/>
    <n v="9852"/>
    <x v="1"/>
    <n v="8935"/>
    <n v="1"/>
    <s v="Y"/>
    <x v="1"/>
    <n v="19"/>
    <n v="3"/>
    <n v="1"/>
    <n v="80"/>
    <n v="1"/>
    <n v="10"/>
    <n v="5"/>
    <x v="3"/>
    <x v="10"/>
    <x v="7"/>
    <n v="9"/>
  </r>
  <r>
    <s v="RM953"/>
    <n v="31"/>
    <x v="1"/>
    <s v="Yes"/>
    <n v="1"/>
    <s v="Travel_Frequently"/>
    <n v="1060"/>
    <x v="1"/>
    <x v="4"/>
    <x v="0"/>
    <x v="0"/>
    <n v="1"/>
    <n v="1331"/>
    <x v="1"/>
    <x v="1"/>
    <n v="54"/>
    <n v="3"/>
    <x v="0"/>
    <x v="1"/>
    <x v="1"/>
    <x v="0"/>
    <n v="2302"/>
    <x v="0"/>
    <n v="8319"/>
    <n v="1"/>
    <s v="Y"/>
    <x v="1"/>
    <n v="11"/>
    <n v="3"/>
    <n v="1"/>
    <n v="80"/>
    <n v="0"/>
    <n v="3"/>
    <n v="2"/>
    <x v="1"/>
    <x v="3"/>
    <x v="2"/>
    <n v="2"/>
  </r>
  <r>
    <s v="RM981"/>
    <n v="31"/>
    <x v="1"/>
    <s v="Yes"/>
    <n v="1"/>
    <s v="Travel_Frequently"/>
    <n v="703"/>
    <x v="1"/>
    <x v="7"/>
    <x v="0"/>
    <x v="0"/>
    <n v="1"/>
    <n v="1379"/>
    <x v="0"/>
    <x v="1"/>
    <n v="90"/>
    <n v="2"/>
    <x v="0"/>
    <x v="1"/>
    <x v="2"/>
    <x v="0"/>
    <n v="2785"/>
    <x v="0"/>
    <n v="11882"/>
    <n v="7"/>
    <s v="Y"/>
    <x v="0"/>
    <n v="14"/>
    <n v="3"/>
    <n v="3"/>
    <n v="80"/>
    <n v="0"/>
    <n v="3"/>
    <n v="3"/>
    <x v="1"/>
    <x v="1"/>
    <x v="0"/>
    <n v="0"/>
  </r>
  <r>
    <s v="RM986"/>
    <n v="31"/>
    <x v="1"/>
    <s v="Yes"/>
    <n v="1"/>
    <s v="Travel_Rarely"/>
    <n v="330"/>
    <x v="0"/>
    <x v="6"/>
    <x v="3"/>
    <x v="1"/>
    <n v="1"/>
    <n v="1389"/>
    <x v="1"/>
    <x v="0"/>
    <n v="98"/>
    <n v="3"/>
    <x v="1"/>
    <x v="4"/>
    <x v="0"/>
    <x v="2"/>
    <n v="6179"/>
    <x v="1"/>
    <n v="21057"/>
    <n v="1"/>
    <s v="Y"/>
    <x v="1"/>
    <n v="15"/>
    <n v="3"/>
    <n v="4"/>
    <n v="80"/>
    <n v="2"/>
    <n v="10"/>
    <n v="3"/>
    <x v="3"/>
    <x v="10"/>
    <x v="2"/>
    <n v="6"/>
  </r>
  <r>
    <s v="RM1013"/>
    <n v="31"/>
    <x v="1"/>
    <s v="Yes"/>
    <n v="1"/>
    <s v="Travel_Frequently"/>
    <n v="667"/>
    <x v="1"/>
    <x v="4"/>
    <x v="3"/>
    <x v="0"/>
    <n v="1"/>
    <n v="1427"/>
    <x v="2"/>
    <x v="1"/>
    <n v="50"/>
    <n v="1"/>
    <x v="0"/>
    <x v="1"/>
    <x v="0"/>
    <x v="0"/>
    <n v="1359"/>
    <x v="0"/>
    <n v="16154"/>
    <n v="1"/>
    <s v="Y"/>
    <x v="0"/>
    <n v="12"/>
    <n v="3"/>
    <n v="2"/>
    <n v="80"/>
    <n v="0"/>
    <n v="1"/>
    <n v="3"/>
    <x v="0"/>
    <x v="1"/>
    <x v="0"/>
    <n v="0"/>
  </r>
  <r>
    <s v="RM1015"/>
    <n v="31"/>
    <x v="1"/>
    <s v="No"/>
    <n v="0"/>
    <s v="Travel_Rarely"/>
    <n v="182"/>
    <x v="0"/>
    <x v="3"/>
    <x v="4"/>
    <x v="0"/>
    <n v="1"/>
    <n v="1430"/>
    <x v="3"/>
    <x v="1"/>
    <n v="93"/>
    <n v="3"/>
    <x v="3"/>
    <x v="7"/>
    <x v="1"/>
    <x v="0"/>
    <n v="16422"/>
    <x v="3"/>
    <n v="8847"/>
    <n v="3"/>
    <s v="Y"/>
    <x v="0"/>
    <n v="11"/>
    <n v="3"/>
    <n v="3"/>
    <n v="80"/>
    <n v="0"/>
    <n v="9"/>
    <n v="3"/>
    <x v="1"/>
    <x v="3"/>
    <x v="2"/>
    <n v="1"/>
  </r>
  <r>
    <s v="RM1017"/>
    <n v="31"/>
    <x v="1"/>
    <s v="Yes"/>
    <n v="1"/>
    <s v="Travel_Rarely"/>
    <n v="202"/>
    <x v="0"/>
    <x v="3"/>
    <x v="0"/>
    <x v="0"/>
    <n v="1"/>
    <n v="1433"/>
    <x v="3"/>
    <x v="1"/>
    <n v="34"/>
    <n v="2"/>
    <x v="0"/>
    <x v="2"/>
    <x v="1"/>
    <x v="0"/>
    <n v="1261"/>
    <x v="0"/>
    <n v="22262"/>
    <n v="1"/>
    <s v="Y"/>
    <x v="0"/>
    <n v="12"/>
    <n v="3"/>
    <n v="3"/>
    <n v="80"/>
    <n v="0"/>
    <n v="1"/>
    <n v="3"/>
    <x v="1"/>
    <x v="1"/>
    <x v="0"/>
    <n v="0"/>
  </r>
  <r>
    <s v="RM1031"/>
    <n v="31"/>
    <x v="1"/>
    <s v="No"/>
    <n v="0"/>
    <s v="Travel_Rarely"/>
    <n v="326"/>
    <x v="1"/>
    <x v="3"/>
    <x v="1"/>
    <x v="0"/>
    <n v="1"/>
    <n v="1453"/>
    <x v="3"/>
    <x v="0"/>
    <n v="31"/>
    <n v="3"/>
    <x v="2"/>
    <x v="5"/>
    <x v="2"/>
    <x v="1"/>
    <n v="10793"/>
    <x v="2"/>
    <n v="8386"/>
    <n v="1"/>
    <s v="Y"/>
    <x v="0"/>
    <n v="18"/>
    <n v="3"/>
    <n v="1"/>
    <n v="80"/>
    <n v="1"/>
    <n v="13"/>
    <n v="5"/>
    <x v="0"/>
    <x v="13"/>
    <x v="6"/>
    <n v="9"/>
  </r>
  <r>
    <s v="RM1034"/>
    <n v="31"/>
    <x v="1"/>
    <s v="Yes"/>
    <n v="1"/>
    <s v="Travel_Frequently"/>
    <n v="1445"/>
    <x v="0"/>
    <x v="4"/>
    <x v="4"/>
    <x v="0"/>
    <n v="1"/>
    <n v="1459"/>
    <x v="0"/>
    <x v="1"/>
    <n v="100"/>
    <n v="4"/>
    <x v="2"/>
    <x v="4"/>
    <x v="1"/>
    <x v="0"/>
    <n v="7446"/>
    <x v="1"/>
    <n v="8931"/>
    <n v="1"/>
    <s v="Y"/>
    <x v="0"/>
    <n v="11"/>
    <n v="3"/>
    <n v="1"/>
    <n v="80"/>
    <n v="0"/>
    <n v="10"/>
    <n v="2"/>
    <x v="0"/>
    <x v="10"/>
    <x v="7"/>
    <n v="4"/>
  </r>
  <r>
    <s v="RM1036"/>
    <n v="31"/>
    <x v="1"/>
    <s v="No"/>
    <n v="0"/>
    <s v="Travel_Rarely"/>
    <n v="1398"/>
    <x v="2"/>
    <x v="3"/>
    <x v="1"/>
    <x v="1"/>
    <n v="1"/>
    <n v="1461"/>
    <x v="1"/>
    <x v="1"/>
    <n v="96"/>
    <n v="4"/>
    <x v="0"/>
    <x v="3"/>
    <x v="1"/>
    <x v="0"/>
    <n v="2109"/>
    <x v="0"/>
    <n v="24609"/>
    <n v="9"/>
    <s v="Y"/>
    <x v="0"/>
    <n v="18"/>
    <n v="3"/>
    <n v="4"/>
    <n v="80"/>
    <n v="0"/>
    <n v="8"/>
    <n v="3"/>
    <x v="0"/>
    <x v="3"/>
    <x v="2"/>
    <n v="0"/>
  </r>
  <r>
    <s v="RM1037"/>
    <n v="31"/>
    <x v="1"/>
    <s v="Yes"/>
    <n v="1"/>
    <s v="Travel_Frequently"/>
    <n v="523"/>
    <x v="0"/>
    <x v="7"/>
    <x v="0"/>
    <x v="0"/>
    <n v="1"/>
    <n v="1464"/>
    <x v="2"/>
    <x v="0"/>
    <n v="94"/>
    <n v="3"/>
    <x v="0"/>
    <x v="0"/>
    <x v="2"/>
    <x v="2"/>
    <n v="3722"/>
    <x v="0"/>
    <n v="21081"/>
    <n v="6"/>
    <s v="Y"/>
    <x v="1"/>
    <n v="13"/>
    <n v="3"/>
    <n v="3"/>
    <n v="80"/>
    <n v="1"/>
    <n v="7"/>
    <n v="2"/>
    <x v="2"/>
    <x v="2"/>
    <x v="2"/>
    <n v="2"/>
  </r>
  <r>
    <s v="RM1086"/>
    <n v="31"/>
    <x v="1"/>
    <s v="Yes"/>
    <n v="1"/>
    <s v="Travel_Frequently"/>
    <n v="561"/>
    <x v="0"/>
    <x v="0"/>
    <x v="0"/>
    <x v="0"/>
    <n v="1"/>
    <n v="1537"/>
    <x v="1"/>
    <x v="1"/>
    <n v="33"/>
    <n v="3"/>
    <x v="0"/>
    <x v="2"/>
    <x v="0"/>
    <x v="0"/>
    <n v="4084"/>
    <x v="0"/>
    <n v="4156"/>
    <n v="1"/>
    <s v="Y"/>
    <x v="0"/>
    <n v="12"/>
    <n v="3"/>
    <n v="1"/>
    <n v="80"/>
    <n v="0"/>
    <n v="7"/>
    <n v="2"/>
    <x v="2"/>
    <x v="7"/>
    <x v="2"/>
    <n v="7"/>
  </r>
  <r>
    <s v="RM1145"/>
    <n v="31"/>
    <x v="1"/>
    <s v="No"/>
    <n v="0"/>
    <s v="Travel_Frequently"/>
    <n v="715"/>
    <x v="1"/>
    <x v="7"/>
    <x v="3"/>
    <x v="4"/>
    <n v="1"/>
    <n v="1613"/>
    <x v="1"/>
    <x v="0"/>
    <n v="54"/>
    <n v="3"/>
    <x v="1"/>
    <x v="5"/>
    <x v="3"/>
    <x v="0"/>
    <n v="5332"/>
    <x v="1"/>
    <n v="21602"/>
    <n v="7"/>
    <s v="Y"/>
    <x v="0"/>
    <n v="13"/>
    <n v="3"/>
    <n v="4"/>
    <n v="80"/>
    <n v="0"/>
    <n v="10"/>
    <n v="3"/>
    <x v="0"/>
    <x v="5"/>
    <x v="2"/>
    <n v="0"/>
  </r>
  <r>
    <s v="RM1192"/>
    <n v="31"/>
    <x v="1"/>
    <s v="No"/>
    <n v="0"/>
    <s v="Travel_Rarely"/>
    <n v="1112"/>
    <x v="1"/>
    <x v="2"/>
    <x v="3"/>
    <x v="0"/>
    <n v="1"/>
    <n v="1673"/>
    <x v="3"/>
    <x v="1"/>
    <n v="67"/>
    <n v="3"/>
    <x v="1"/>
    <x v="5"/>
    <x v="2"/>
    <x v="2"/>
    <n v="5476"/>
    <x v="1"/>
    <n v="22589"/>
    <n v="1"/>
    <s v="Y"/>
    <x v="0"/>
    <n v="11"/>
    <n v="3"/>
    <n v="1"/>
    <n v="80"/>
    <n v="2"/>
    <n v="10"/>
    <n v="2"/>
    <x v="0"/>
    <x v="10"/>
    <x v="0"/>
    <n v="0"/>
  </r>
  <r>
    <s v="RM1228"/>
    <n v="31"/>
    <x v="1"/>
    <s v="No"/>
    <n v="0"/>
    <s v="Travel_Rarely"/>
    <n v="741"/>
    <x v="0"/>
    <x v="7"/>
    <x v="3"/>
    <x v="0"/>
    <n v="1"/>
    <n v="1721"/>
    <x v="2"/>
    <x v="0"/>
    <n v="69"/>
    <n v="3"/>
    <x v="0"/>
    <x v="0"/>
    <x v="0"/>
    <x v="2"/>
    <n v="3477"/>
    <x v="0"/>
    <n v="18103"/>
    <n v="1"/>
    <s v="Y"/>
    <x v="0"/>
    <n v="14"/>
    <n v="3"/>
    <n v="4"/>
    <n v="80"/>
    <n v="1"/>
    <n v="6"/>
    <n v="2"/>
    <x v="1"/>
    <x v="5"/>
    <x v="2"/>
    <n v="0"/>
  </r>
  <r>
    <s v="RM1240"/>
    <n v="31"/>
    <x v="1"/>
    <s v="No"/>
    <n v="0"/>
    <s v="Travel_Frequently"/>
    <n v="163"/>
    <x v="0"/>
    <x v="22"/>
    <x v="2"/>
    <x v="3"/>
    <n v="1"/>
    <n v="1736"/>
    <x v="1"/>
    <x v="1"/>
    <n v="30"/>
    <n v="3"/>
    <x v="1"/>
    <x v="4"/>
    <x v="2"/>
    <x v="0"/>
    <n v="5238"/>
    <x v="1"/>
    <n v="6670"/>
    <n v="2"/>
    <s v="Y"/>
    <x v="0"/>
    <n v="20"/>
    <n v="4"/>
    <n v="4"/>
    <n v="80"/>
    <n v="0"/>
    <n v="9"/>
    <n v="3"/>
    <x v="3"/>
    <x v="5"/>
    <x v="4"/>
    <n v="1"/>
  </r>
  <r>
    <s v="RM1248"/>
    <n v="31"/>
    <x v="1"/>
    <s v="No"/>
    <n v="0"/>
    <s v="Travel_Rarely"/>
    <n v="1003"/>
    <x v="1"/>
    <x v="2"/>
    <x v="0"/>
    <x v="3"/>
    <n v="1"/>
    <n v="1749"/>
    <x v="3"/>
    <x v="0"/>
    <n v="51"/>
    <n v="3"/>
    <x v="1"/>
    <x v="5"/>
    <x v="0"/>
    <x v="2"/>
    <n v="8346"/>
    <x v="1"/>
    <n v="20943"/>
    <n v="1"/>
    <s v="Y"/>
    <x v="0"/>
    <n v="19"/>
    <n v="3"/>
    <n v="3"/>
    <n v="80"/>
    <n v="1"/>
    <n v="6"/>
    <n v="3"/>
    <x v="0"/>
    <x v="5"/>
    <x v="2"/>
    <n v="0"/>
  </r>
  <r>
    <s v="RM1258"/>
    <n v="31"/>
    <x v="1"/>
    <s v="Yes"/>
    <n v="1"/>
    <s v="Travel_Rarely"/>
    <n v="1079"/>
    <x v="1"/>
    <x v="18"/>
    <x v="3"/>
    <x v="2"/>
    <n v="1"/>
    <n v="1761"/>
    <x v="3"/>
    <x v="0"/>
    <n v="70"/>
    <n v="3"/>
    <x v="2"/>
    <x v="5"/>
    <x v="0"/>
    <x v="2"/>
    <n v="8161"/>
    <x v="1"/>
    <n v="19002"/>
    <n v="2"/>
    <s v="Y"/>
    <x v="0"/>
    <n v="13"/>
    <n v="3"/>
    <n v="1"/>
    <n v="80"/>
    <n v="3"/>
    <n v="10"/>
    <n v="2"/>
    <x v="0"/>
    <x v="1"/>
    <x v="0"/>
    <n v="0"/>
  </r>
  <r>
    <s v="RM1275"/>
    <n v="31"/>
    <x v="1"/>
    <s v="No"/>
    <n v="0"/>
    <s v="Travel_Rarely"/>
    <n v="196"/>
    <x v="1"/>
    <x v="26"/>
    <x v="3"/>
    <x v="2"/>
    <n v="1"/>
    <n v="1784"/>
    <x v="3"/>
    <x v="1"/>
    <n v="91"/>
    <n v="2"/>
    <x v="1"/>
    <x v="5"/>
    <x v="2"/>
    <x v="2"/>
    <n v="5468"/>
    <x v="1"/>
    <n v="13402"/>
    <n v="1"/>
    <s v="Y"/>
    <x v="0"/>
    <n v="14"/>
    <n v="3"/>
    <n v="1"/>
    <n v="80"/>
    <n v="2"/>
    <n v="13"/>
    <n v="3"/>
    <x v="0"/>
    <x v="12"/>
    <x v="6"/>
    <n v="5"/>
  </r>
  <r>
    <s v="RM1307"/>
    <n v="31"/>
    <x v="1"/>
    <s v="No"/>
    <n v="0"/>
    <s v="Travel_Frequently"/>
    <n v="1125"/>
    <x v="1"/>
    <x v="17"/>
    <x v="3"/>
    <x v="2"/>
    <n v="1"/>
    <n v="1833"/>
    <x v="3"/>
    <x v="1"/>
    <n v="68"/>
    <n v="3"/>
    <x v="2"/>
    <x v="5"/>
    <x v="3"/>
    <x v="2"/>
    <n v="9637"/>
    <x v="1"/>
    <n v="8277"/>
    <n v="2"/>
    <s v="Y"/>
    <x v="0"/>
    <n v="14"/>
    <n v="3"/>
    <n v="4"/>
    <n v="80"/>
    <n v="2"/>
    <n v="9"/>
    <n v="3"/>
    <x v="0"/>
    <x v="3"/>
    <x v="2"/>
    <n v="2"/>
  </r>
  <r>
    <s v="RM1313"/>
    <n v="31"/>
    <x v="1"/>
    <s v="Yes"/>
    <n v="1"/>
    <s v="Travel_Rarely"/>
    <n v="359"/>
    <x v="2"/>
    <x v="16"/>
    <x v="4"/>
    <x v="5"/>
    <n v="1"/>
    <n v="1842"/>
    <x v="1"/>
    <x v="0"/>
    <n v="89"/>
    <n v="4"/>
    <x v="0"/>
    <x v="3"/>
    <x v="3"/>
    <x v="2"/>
    <n v="2956"/>
    <x v="0"/>
    <n v="21495"/>
    <n v="0"/>
    <s v="Y"/>
    <x v="0"/>
    <n v="17"/>
    <n v="3"/>
    <n v="3"/>
    <n v="80"/>
    <n v="0"/>
    <n v="2"/>
    <n v="4"/>
    <x v="0"/>
    <x v="1"/>
    <x v="0"/>
    <n v="0"/>
  </r>
  <r>
    <s v="RM1342"/>
    <n v="31"/>
    <x v="1"/>
    <s v="No"/>
    <n v="0"/>
    <s v="Travel_Rarely"/>
    <n v="311"/>
    <x v="0"/>
    <x v="21"/>
    <x v="0"/>
    <x v="0"/>
    <n v="1"/>
    <n v="1881"/>
    <x v="2"/>
    <x v="0"/>
    <n v="89"/>
    <n v="3"/>
    <x v="1"/>
    <x v="0"/>
    <x v="0"/>
    <x v="1"/>
    <n v="4197"/>
    <x v="0"/>
    <n v="18624"/>
    <n v="1"/>
    <s v="Y"/>
    <x v="0"/>
    <n v="11"/>
    <n v="3"/>
    <n v="1"/>
    <n v="80"/>
    <n v="1"/>
    <n v="10"/>
    <n v="2"/>
    <x v="0"/>
    <x v="10"/>
    <x v="7"/>
    <n v="0"/>
  </r>
  <r>
    <s v="RM1359"/>
    <n v="31"/>
    <x v="1"/>
    <s v="No"/>
    <n v="0"/>
    <s v="Travel_Rarely"/>
    <n v="1079"/>
    <x v="1"/>
    <x v="1"/>
    <x v="1"/>
    <x v="1"/>
    <n v="1"/>
    <n v="1912"/>
    <x v="0"/>
    <x v="1"/>
    <n v="86"/>
    <n v="3"/>
    <x v="1"/>
    <x v="5"/>
    <x v="2"/>
    <x v="1"/>
    <n v="6583"/>
    <x v="1"/>
    <n v="20115"/>
    <n v="2"/>
    <s v="Y"/>
    <x v="1"/>
    <n v="11"/>
    <n v="3"/>
    <n v="4"/>
    <n v="80"/>
    <n v="1"/>
    <n v="8"/>
    <n v="2"/>
    <x v="0"/>
    <x v="5"/>
    <x v="2"/>
    <n v="1"/>
  </r>
  <r>
    <s v="RM1361"/>
    <n v="31"/>
    <x v="1"/>
    <s v="No"/>
    <n v="0"/>
    <s v="Travel_Rarely"/>
    <n v="471"/>
    <x v="0"/>
    <x v="12"/>
    <x v="0"/>
    <x v="1"/>
    <n v="1"/>
    <n v="1916"/>
    <x v="3"/>
    <x v="1"/>
    <n v="62"/>
    <n v="4"/>
    <x v="0"/>
    <x v="0"/>
    <x v="0"/>
    <x v="1"/>
    <n v="3978"/>
    <x v="0"/>
    <n v="16031"/>
    <n v="8"/>
    <s v="Y"/>
    <x v="0"/>
    <n v="12"/>
    <n v="3"/>
    <n v="2"/>
    <n v="80"/>
    <n v="1"/>
    <n v="4"/>
    <n v="0"/>
    <x v="3"/>
    <x v="2"/>
    <x v="2"/>
    <n v="2"/>
  </r>
  <r>
    <s v="RM1383"/>
    <n v="31"/>
    <x v="1"/>
    <s v="No"/>
    <n v="0"/>
    <s v="Non-Travel"/>
    <n v="976"/>
    <x v="0"/>
    <x v="0"/>
    <x v="1"/>
    <x v="1"/>
    <n v="1"/>
    <n v="1948"/>
    <x v="0"/>
    <x v="0"/>
    <n v="48"/>
    <n v="3"/>
    <x v="0"/>
    <x v="2"/>
    <x v="3"/>
    <x v="1"/>
    <n v="3065"/>
    <x v="0"/>
    <n v="3995"/>
    <n v="1"/>
    <s v="Y"/>
    <x v="1"/>
    <n v="13"/>
    <n v="3"/>
    <n v="4"/>
    <n v="80"/>
    <n v="1"/>
    <n v="4"/>
    <n v="3"/>
    <x v="1"/>
    <x v="4"/>
    <x v="2"/>
    <n v="2"/>
  </r>
  <r>
    <s v="RM1390"/>
    <n v="31"/>
    <x v="1"/>
    <s v="No"/>
    <n v="0"/>
    <s v="Travel_Frequently"/>
    <n v="1125"/>
    <x v="0"/>
    <x v="4"/>
    <x v="0"/>
    <x v="0"/>
    <n v="1"/>
    <n v="1956"/>
    <x v="1"/>
    <x v="0"/>
    <n v="48"/>
    <n v="1"/>
    <x v="1"/>
    <x v="2"/>
    <x v="3"/>
    <x v="2"/>
    <n v="5003"/>
    <x v="1"/>
    <n v="5771"/>
    <n v="1"/>
    <s v="Y"/>
    <x v="0"/>
    <n v="21"/>
    <n v="4"/>
    <n v="2"/>
    <n v="80"/>
    <n v="0"/>
    <n v="10"/>
    <n v="6"/>
    <x v="0"/>
    <x v="10"/>
    <x v="7"/>
    <n v="8"/>
  </r>
  <r>
    <s v="RM1396"/>
    <n v="31"/>
    <x v="1"/>
    <s v="Yes"/>
    <n v="1"/>
    <s v="Travel_Frequently"/>
    <n v="754"/>
    <x v="1"/>
    <x v="20"/>
    <x v="3"/>
    <x v="2"/>
    <n v="1"/>
    <n v="1967"/>
    <x v="3"/>
    <x v="0"/>
    <n v="63"/>
    <n v="3"/>
    <x v="1"/>
    <x v="5"/>
    <x v="2"/>
    <x v="2"/>
    <n v="5617"/>
    <x v="1"/>
    <n v="21075"/>
    <n v="1"/>
    <s v="Y"/>
    <x v="1"/>
    <n v="11"/>
    <n v="3"/>
    <n v="3"/>
    <n v="80"/>
    <n v="0"/>
    <n v="10"/>
    <n v="4"/>
    <x v="0"/>
    <x v="10"/>
    <x v="6"/>
    <n v="0"/>
  </r>
  <r>
    <s v="RM1403"/>
    <n v="31"/>
    <x v="1"/>
    <s v="No"/>
    <n v="0"/>
    <s v="Travel_Rarely"/>
    <n v="1276"/>
    <x v="0"/>
    <x v="7"/>
    <x v="2"/>
    <x v="1"/>
    <n v="1"/>
    <n v="1974"/>
    <x v="1"/>
    <x v="1"/>
    <n v="59"/>
    <n v="1"/>
    <x v="0"/>
    <x v="0"/>
    <x v="2"/>
    <x v="1"/>
    <n v="1129"/>
    <x v="0"/>
    <n v="17536"/>
    <n v="1"/>
    <s v="Y"/>
    <x v="1"/>
    <n v="11"/>
    <n v="3"/>
    <n v="3"/>
    <n v="80"/>
    <n v="3"/>
    <n v="1"/>
    <n v="4"/>
    <x v="0"/>
    <x v="1"/>
    <x v="0"/>
    <n v="0"/>
  </r>
  <r>
    <s v="RM1406"/>
    <n v="31"/>
    <x v="1"/>
    <s v="No"/>
    <n v="0"/>
    <s v="Non-Travel"/>
    <n v="697"/>
    <x v="0"/>
    <x v="1"/>
    <x v="0"/>
    <x v="1"/>
    <n v="1"/>
    <n v="1979"/>
    <x v="0"/>
    <x v="1"/>
    <n v="40"/>
    <n v="3"/>
    <x v="2"/>
    <x v="7"/>
    <x v="0"/>
    <x v="2"/>
    <n v="11031"/>
    <x v="2"/>
    <n v="26862"/>
    <n v="4"/>
    <s v="Y"/>
    <x v="0"/>
    <n v="20"/>
    <n v="4"/>
    <n v="3"/>
    <n v="80"/>
    <n v="1"/>
    <n v="13"/>
    <n v="2"/>
    <x v="1"/>
    <x v="11"/>
    <x v="6"/>
    <n v="4"/>
  </r>
  <r>
    <s v="RM1418"/>
    <n v="31"/>
    <x v="1"/>
    <s v="No"/>
    <n v="0"/>
    <s v="Travel_Rarely"/>
    <n v="1154"/>
    <x v="1"/>
    <x v="7"/>
    <x v="1"/>
    <x v="0"/>
    <n v="1"/>
    <n v="1996"/>
    <x v="3"/>
    <x v="0"/>
    <n v="54"/>
    <n v="3"/>
    <x v="0"/>
    <x v="1"/>
    <x v="0"/>
    <x v="2"/>
    <n v="3067"/>
    <x v="0"/>
    <n v="6393"/>
    <n v="0"/>
    <s v="Y"/>
    <x v="0"/>
    <n v="19"/>
    <n v="3"/>
    <n v="3"/>
    <n v="80"/>
    <n v="1"/>
    <n v="3"/>
    <n v="1"/>
    <x v="0"/>
    <x v="2"/>
    <x v="2"/>
    <n v="1"/>
  </r>
  <r>
    <s v="RM1464"/>
    <n v="31"/>
    <x v="1"/>
    <s v="No"/>
    <n v="0"/>
    <s v="Non-Travel"/>
    <n v="325"/>
    <x v="0"/>
    <x v="2"/>
    <x v="0"/>
    <x v="1"/>
    <n v="1"/>
    <n v="2057"/>
    <x v="2"/>
    <x v="0"/>
    <n v="74"/>
    <n v="3"/>
    <x v="1"/>
    <x v="4"/>
    <x v="3"/>
    <x v="0"/>
    <n v="9936"/>
    <x v="1"/>
    <n v="3787"/>
    <n v="0"/>
    <s v="Y"/>
    <x v="0"/>
    <n v="19"/>
    <n v="3"/>
    <n v="2"/>
    <n v="80"/>
    <n v="0"/>
    <n v="10"/>
    <n v="2"/>
    <x v="0"/>
    <x v="9"/>
    <x v="4"/>
    <n v="1"/>
  </r>
  <r>
    <s v="RM006"/>
    <n v="32"/>
    <x v="1"/>
    <s v="No"/>
    <n v="0"/>
    <s v="Travel_Frequently"/>
    <n v="1005"/>
    <x v="0"/>
    <x v="7"/>
    <x v="1"/>
    <x v="0"/>
    <n v="1"/>
    <n v="8"/>
    <x v="1"/>
    <x v="0"/>
    <n v="79"/>
    <n v="3"/>
    <x v="0"/>
    <x v="0"/>
    <x v="2"/>
    <x v="0"/>
    <n v="3068"/>
    <x v="0"/>
    <n v="11864"/>
    <n v="0"/>
    <s v="Y"/>
    <x v="0"/>
    <n v="13"/>
    <n v="3"/>
    <n v="3"/>
    <n v="80"/>
    <n v="0"/>
    <n v="8"/>
    <n v="2"/>
    <x v="3"/>
    <x v="7"/>
    <x v="6"/>
    <n v="3"/>
  </r>
  <r>
    <s v="RM017"/>
    <n v="32"/>
    <x v="1"/>
    <s v="No"/>
    <n v="0"/>
    <s v="Travel_Rarely"/>
    <n v="334"/>
    <x v="0"/>
    <x v="2"/>
    <x v="1"/>
    <x v="0"/>
    <n v="1"/>
    <n v="21"/>
    <x v="3"/>
    <x v="0"/>
    <n v="80"/>
    <n v="4"/>
    <x v="0"/>
    <x v="2"/>
    <x v="1"/>
    <x v="1"/>
    <n v="3298"/>
    <x v="0"/>
    <n v="15053"/>
    <n v="0"/>
    <s v="Y"/>
    <x v="1"/>
    <n v="12"/>
    <n v="3"/>
    <n v="4"/>
    <n v="80"/>
    <n v="2"/>
    <n v="7"/>
    <n v="5"/>
    <x v="3"/>
    <x v="6"/>
    <x v="2"/>
    <n v="0"/>
  </r>
  <r>
    <s v="RM027"/>
    <n v="32"/>
    <x v="1"/>
    <s v="Yes"/>
    <n v="1"/>
    <s v="Travel_Frequently"/>
    <n v="1125"/>
    <x v="0"/>
    <x v="18"/>
    <x v="2"/>
    <x v="0"/>
    <n v="1"/>
    <n v="33"/>
    <x v="2"/>
    <x v="1"/>
    <n v="72"/>
    <n v="1"/>
    <x v="0"/>
    <x v="2"/>
    <x v="3"/>
    <x v="0"/>
    <n v="3919"/>
    <x v="0"/>
    <n v="4681"/>
    <n v="1"/>
    <s v="Y"/>
    <x v="1"/>
    <n v="22"/>
    <n v="4"/>
    <n v="2"/>
    <n v="80"/>
    <n v="0"/>
    <n v="10"/>
    <n v="5"/>
    <x v="0"/>
    <x v="10"/>
    <x v="2"/>
    <n v="6"/>
  </r>
  <r>
    <s v="RM061"/>
    <n v="32"/>
    <x v="1"/>
    <s v="No"/>
    <n v="0"/>
    <s v="Travel_Rarely"/>
    <n v="427"/>
    <x v="0"/>
    <x v="4"/>
    <x v="0"/>
    <x v="1"/>
    <n v="1"/>
    <n v="78"/>
    <x v="3"/>
    <x v="0"/>
    <n v="33"/>
    <n v="3"/>
    <x v="1"/>
    <x v="4"/>
    <x v="2"/>
    <x v="2"/>
    <n v="6162"/>
    <x v="1"/>
    <n v="10877"/>
    <n v="1"/>
    <s v="Y"/>
    <x v="1"/>
    <n v="22"/>
    <n v="4"/>
    <n v="2"/>
    <n v="80"/>
    <n v="1"/>
    <n v="9"/>
    <n v="3"/>
    <x v="0"/>
    <x v="9"/>
    <x v="7"/>
    <n v="7"/>
  </r>
  <r>
    <s v="RM074"/>
    <n v="32"/>
    <x v="1"/>
    <s v="No"/>
    <n v="0"/>
    <s v="Travel_Rarely"/>
    <n v="548"/>
    <x v="0"/>
    <x v="4"/>
    <x v="0"/>
    <x v="0"/>
    <n v="1"/>
    <n v="96"/>
    <x v="2"/>
    <x v="0"/>
    <n v="66"/>
    <n v="3"/>
    <x v="1"/>
    <x v="2"/>
    <x v="1"/>
    <x v="2"/>
    <n v="6220"/>
    <x v="1"/>
    <n v="7346"/>
    <n v="1"/>
    <s v="Y"/>
    <x v="0"/>
    <n v="17"/>
    <n v="3"/>
    <n v="2"/>
    <n v="80"/>
    <n v="2"/>
    <n v="10"/>
    <n v="3"/>
    <x v="0"/>
    <x v="10"/>
    <x v="4"/>
    <n v="0"/>
  </r>
  <r>
    <s v="RM095"/>
    <n v="32"/>
    <x v="1"/>
    <s v="No"/>
    <n v="0"/>
    <s v="Travel_Rarely"/>
    <n v="1093"/>
    <x v="1"/>
    <x v="11"/>
    <x v="3"/>
    <x v="1"/>
    <n v="1"/>
    <n v="125"/>
    <x v="2"/>
    <x v="0"/>
    <n v="87"/>
    <n v="3"/>
    <x v="1"/>
    <x v="5"/>
    <x v="0"/>
    <x v="0"/>
    <n v="5010"/>
    <x v="1"/>
    <n v="24301"/>
    <n v="1"/>
    <s v="Y"/>
    <x v="0"/>
    <n v="16"/>
    <n v="3"/>
    <n v="1"/>
    <n v="80"/>
    <n v="0"/>
    <n v="12"/>
    <n v="0"/>
    <x v="0"/>
    <x v="11"/>
    <x v="7"/>
    <n v="5"/>
  </r>
  <r>
    <s v="RM102"/>
    <n v="32"/>
    <x v="1"/>
    <s v="No"/>
    <n v="0"/>
    <s v="Travel_Rarely"/>
    <n v="827"/>
    <x v="0"/>
    <x v="4"/>
    <x v="2"/>
    <x v="0"/>
    <n v="1"/>
    <n v="134"/>
    <x v="1"/>
    <x v="0"/>
    <n v="71"/>
    <n v="3"/>
    <x v="0"/>
    <x v="2"/>
    <x v="3"/>
    <x v="0"/>
    <n v="2956"/>
    <x v="0"/>
    <n v="15178"/>
    <n v="1"/>
    <s v="Y"/>
    <x v="0"/>
    <n v="13"/>
    <n v="3"/>
    <n v="4"/>
    <n v="80"/>
    <n v="0"/>
    <n v="1"/>
    <n v="2"/>
    <x v="0"/>
    <x v="1"/>
    <x v="0"/>
    <n v="0"/>
  </r>
  <r>
    <s v="RM141"/>
    <n v="32"/>
    <x v="1"/>
    <s v="Yes"/>
    <n v="1"/>
    <s v="Travel_Rarely"/>
    <n v="1033"/>
    <x v="0"/>
    <x v="9"/>
    <x v="0"/>
    <x v="1"/>
    <n v="1"/>
    <n v="190"/>
    <x v="3"/>
    <x v="1"/>
    <n v="41"/>
    <n v="3"/>
    <x v="0"/>
    <x v="0"/>
    <x v="3"/>
    <x v="0"/>
    <n v="4200"/>
    <x v="0"/>
    <n v="10224"/>
    <n v="7"/>
    <s v="Y"/>
    <x v="0"/>
    <n v="22"/>
    <n v="4"/>
    <n v="1"/>
    <n v="80"/>
    <n v="0"/>
    <n v="10"/>
    <n v="2"/>
    <x v="1"/>
    <x v="5"/>
    <x v="4"/>
    <n v="0"/>
  </r>
  <r>
    <s v="RM145"/>
    <n v="32"/>
    <x v="1"/>
    <s v="No"/>
    <n v="0"/>
    <s v="Travel_Frequently"/>
    <n v="689"/>
    <x v="1"/>
    <x v="9"/>
    <x v="1"/>
    <x v="1"/>
    <n v="1"/>
    <n v="195"/>
    <x v="1"/>
    <x v="0"/>
    <n v="35"/>
    <n v="1"/>
    <x v="1"/>
    <x v="5"/>
    <x v="2"/>
    <x v="1"/>
    <n v="4668"/>
    <x v="0"/>
    <n v="22812"/>
    <n v="0"/>
    <s v="Y"/>
    <x v="0"/>
    <n v="17"/>
    <n v="3"/>
    <n v="4"/>
    <n v="80"/>
    <n v="3"/>
    <n v="9"/>
    <n v="2"/>
    <x v="1"/>
    <x v="8"/>
    <x v="6"/>
    <n v="0"/>
  </r>
  <r>
    <s v="RM155"/>
    <n v="32"/>
    <x v="1"/>
    <s v="No"/>
    <n v="0"/>
    <s v="Travel_Frequently"/>
    <n v="967"/>
    <x v="1"/>
    <x v="3"/>
    <x v="0"/>
    <x v="2"/>
    <n v="1"/>
    <n v="207"/>
    <x v="2"/>
    <x v="1"/>
    <n v="43"/>
    <n v="3"/>
    <x v="2"/>
    <x v="5"/>
    <x v="2"/>
    <x v="0"/>
    <n v="8998"/>
    <x v="1"/>
    <n v="15589"/>
    <n v="1"/>
    <s v="Y"/>
    <x v="0"/>
    <n v="14"/>
    <n v="3"/>
    <n v="4"/>
    <n v="80"/>
    <n v="0"/>
    <n v="9"/>
    <n v="2"/>
    <x v="0"/>
    <x v="9"/>
    <x v="7"/>
    <n v="3"/>
  </r>
  <r>
    <s v="RM170"/>
    <n v="32"/>
    <x v="1"/>
    <s v="No"/>
    <n v="0"/>
    <s v="Travel_Rarely"/>
    <n v="120"/>
    <x v="0"/>
    <x v="11"/>
    <x v="4"/>
    <x v="0"/>
    <n v="1"/>
    <n v="231"/>
    <x v="0"/>
    <x v="0"/>
    <n v="43"/>
    <n v="3"/>
    <x v="0"/>
    <x v="2"/>
    <x v="0"/>
    <x v="0"/>
    <n v="3038"/>
    <x v="0"/>
    <n v="12430"/>
    <n v="3"/>
    <s v="Y"/>
    <x v="0"/>
    <n v="20"/>
    <n v="4"/>
    <n v="1"/>
    <n v="80"/>
    <n v="0"/>
    <n v="8"/>
    <n v="2"/>
    <x v="0"/>
    <x v="5"/>
    <x v="4"/>
    <n v="1"/>
  </r>
  <r>
    <s v="RM211"/>
    <n v="32"/>
    <x v="1"/>
    <s v="Yes"/>
    <n v="1"/>
    <s v="Travel_Rarely"/>
    <n v="1045"/>
    <x v="1"/>
    <x v="12"/>
    <x v="3"/>
    <x v="1"/>
    <n v="1"/>
    <n v="291"/>
    <x v="1"/>
    <x v="0"/>
    <n v="32"/>
    <n v="1"/>
    <x v="2"/>
    <x v="5"/>
    <x v="2"/>
    <x v="2"/>
    <n v="10400"/>
    <x v="2"/>
    <n v="25812"/>
    <n v="1"/>
    <s v="Y"/>
    <x v="0"/>
    <n v="11"/>
    <n v="3"/>
    <n v="3"/>
    <n v="80"/>
    <n v="0"/>
    <n v="14"/>
    <n v="2"/>
    <x v="3"/>
    <x v="14"/>
    <x v="7"/>
    <n v="9"/>
  </r>
  <r>
    <s v="RM239"/>
    <n v="32"/>
    <x v="1"/>
    <s v="No"/>
    <n v="0"/>
    <s v="Travel_Rarely"/>
    <n v="1401"/>
    <x v="1"/>
    <x v="12"/>
    <x v="1"/>
    <x v="0"/>
    <n v="1"/>
    <n v="330"/>
    <x v="0"/>
    <x v="1"/>
    <n v="56"/>
    <n v="3"/>
    <x v="0"/>
    <x v="1"/>
    <x v="1"/>
    <x v="2"/>
    <n v="3931"/>
    <x v="0"/>
    <n v="20990"/>
    <n v="2"/>
    <s v="Y"/>
    <x v="0"/>
    <n v="11"/>
    <n v="3"/>
    <n v="1"/>
    <n v="80"/>
    <n v="1"/>
    <n v="6"/>
    <n v="5"/>
    <x v="0"/>
    <x v="4"/>
    <x v="3"/>
    <n v="1"/>
  </r>
  <r>
    <s v="RM240"/>
    <n v="32"/>
    <x v="1"/>
    <s v="Yes"/>
    <n v="1"/>
    <s v="Travel_Rarely"/>
    <n v="515"/>
    <x v="0"/>
    <x v="4"/>
    <x v="0"/>
    <x v="0"/>
    <n v="1"/>
    <n v="331"/>
    <x v="1"/>
    <x v="0"/>
    <n v="62"/>
    <n v="2"/>
    <x v="0"/>
    <x v="0"/>
    <x v="0"/>
    <x v="0"/>
    <n v="3730"/>
    <x v="0"/>
    <n v="9571"/>
    <n v="0"/>
    <s v="Y"/>
    <x v="1"/>
    <n v="14"/>
    <n v="3"/>
    <n v="4"/>
    <n v="80"/>
    <n v="0"/>
    <n v="4"/>
    <n v="2"/>
    <x v="2"/>
    <x v="3"/>
    <x v="2"/>
    <n v="1"/>
  </r>
  <r>
    <s v="RM242"/>
    <n v="32"/>
    <x v="1"/>
    <s v="No"/>
    <n v="0"/>
    <s v="Non-Travel"/>
    <n v="976"/>
    <x v="1"/>
    <x v="20"/>
    <x v="3"/>
    <x v="2"/>
    <n v="1"/>
    <n v="333"/>
    <x v="0"/>
    <x v="0"/>
    <n v="100"/>
    <n v="3"/>
    <x v="1"/>
    <x v="5"/>
    <x v="2"/>
    <x v="2"/>
    <n v="4465"/>
    <x v="0"/>
    <n v="12069"/>
    <n v="0"/>
    <s v="Y"/>
    <x v="0"/>
    <n v="18"/>
    <n v="3"/>
    <n v="1"/>
    <n v="80"/>
    <n v="0"/>
    <n v="4"/>
    <n v="2"/>
    <x v="0"/>
    <x v="3"/>
    <x v="2"/>
    <n v="2"/>
  </r>
  <r>
    <s v="RM261"/>
    <n v="32"/>
    <x v="1"/>
    <s v="No"/>
    <n v="0"/>
    <s v="Travel_Frequently"/>
    <n v="1311"/>
    <x v="0"/>
    <x v="17"/>
    <x v="0"/>
    <x v="0"/>
    <n v="1"/>
    <n v="359"/>
    <x v="2"/>
    <x v="0"/>
    <n v="100"/>
    <n v="4"/>
    <x v="0"/>
    <x v="0"/>
    <x v="1"/>
    <x v="2"/>
    <n v="2794"/>
    <x v="0"/>
    <n v="26062"/>
    <n v="1"/>
    <s v="Y"/>
    <x v="0"/>
    <n v="20"/>
    <n v="4"/>
    <n v="3"/>
    <n v="80"/>
    <n v="0"/>
    <n v="5"/>
    <n v="3"/>
    <x v="2"/>
    <x v="5"/>
    <x v="1"/>
    <n v="0"/>
  </r>
  <r>
    <s v="RM263"/>
    <n v="32"/>
    <x v="1"/>
    <s v="No"/>
    <n v="0"/>
    <s v="Travel_Rarely"/>
    <n v="128"/>
    <x v="0"/>
    <x v="7"/>
    <x v="2"/>
    <x v="3"/>
    <n v="1"/>
    <n v="362"/>
    <x v="1"/>
    <x v="0"/>
    <n v="84"/>
    <n v="2"/>
    <x v="1"/>
    <x v="0"/>
    <x v="3"/>
    <x v="0"/>
    <n v="2176"/>
    <x v="0"/>
    <n v="19737"/>
    <n v="4"/>
    <s v="Y"/>
    <x v="0"/>
    <n v="13"/>
    <n v="3"/>
    <n v="4"/>
    <n v="80"/>
    <n v="0"/>
    <n v="9"/>
    <n v="5"/>
    <x v="0"/>
    <x v="6"/>
    <x v="2"/>
    <n v="0"/>
  </r>
  <r>
    <s v="RM307"/>
    <n v="32"/>
    <x v="1"/>
    <s v="No"/>
    <n v="0"/>
    <s v="Travel_Rarely"/>
    <n v="906"/>
    <x v="1"/>
    <x v="17"/>
    <x v="0"/>
    <x v="0"/>
    <n v="1"/>
    <n v="420"/>
    <x v="1"/>
    <x v="0"/>
    <n v="91"/>
    <n v="2"/>
    <x v="1"/>
    <x v="5"/>
    <x v="0"/>
    <x v="2"/>
    <n v="5484"/>
    <x v="1"/>
    <n v="16985"/>
    <n v="1"/>
    <s v="Y"/>
    <x v="0"/>
    <n v="14"/>
    <n v="3"/>
    <n v="3"/>
    <n v="80"/>
    <n v="1"/>
    <n v="13"/>
    <n v="3"/>
    <x v="3"/>
    <x v="13"/>
    <x v="7"/>
    <n v="4"/>
  </r>
  <r>
    <s v="RM320"/>
    <n v="32"/>
    <x v="1"/>
    <s v="No"/>
    <n v="0"/>
    <s v="Travel_Rarely"/>
    <n v="588"/>
    <x v="1"/>
    <x v="3"/>
    <x v="1"/>
    <x v="3"/>
    <n v="1"/>
    <n v="436"/>
    <x v="0"/>
    <x v="1"/>
    <n v="65"/>
    <n v="2"/>
    <x v="1"/>
    <x v="5"/>
    <x v="1"/>
    <x v="2"/>
    <n v="5228"/>
    <x v="1"/>
    <n v="24624"/>
    <n v="1"/>
    <s v="Y"/>
    <x v="1"/>
    <n v="11"/>
    <n v="3"/>
    <n v="4"/>
    <n v="80"/>
    <n v="0"/>
    <n v="13"/>
    <n v="2"/>
    <x v="0"/>
    <x v="13"/>
    <x v="11"/>
    <n v="11"/>
  </r>
  <r>
    <s v="RM323"/>
    <n v="32"/>
    <x v="1"/>
    <s v="No"/>
    <n v="0"/>
    <s v="Travel_Rarely"/>
    <n v="1018"/>
    <x v="0"/>
    <x v="7"/>
    <x v="3"/>
    <x v="1"/>
    <n v="1"/>
    <n v="439"/>
    <x v="3"/>
    <x v="1"/>
    <n v="74"/>
    <n v="4"/>
    <x v="1"/>
    <x v="2"/>
    <x v="2"/>
    <x v="0"/>
    <n v="5055"/>
    <x v="1"/>
    <n v="10557"/>
    <n v="7"/>
    <s v="Y"/>
    <x v="0"/>
    <n v="16"/>
    <n v="3"/>
    <n v="3"/>
    <n v="80"/>
    <n v="0"/>
    <n v="10"/>
    <n v="0"/>
    <x v="3"/>
    <x v="7"/>
    <x v="6"/>
    <n v="0"/>
  </r>
  <r>
    <s v="RM352"/>
    <n v="32"/>
    <x v="1"/>
    <s v="No"/>
    <n v="0"/>
    <s v="Travel_Rarely"/>
    <n v="1062"/>
    <x v="0"/>
    <x v="7"/>
    <x v="0"/>
    <x v="1"/>
    <n v="1"/>
    <n v="471"/>
    <x v="0"/>
    <x v="1"/>
    <n v="75"/>
    <n v="3"/>
    <x v="0"/>
    <x v="0"/>
    <x v="1"/>
    <x v="2"/>
    <n v="2370"/>
    <x v="0"/>
    <n v="3956"/>
    <n v="1"/>
    <s v="Y"/>
    <x v="0"/>
    <n v="13"/>
    <n v="3"/>
    <n v="3"/>
    <n v="80"/>
    <n v="1"/>
    <n v="8"/>
    <n v="4"/>
    <x v="0"/>
    <x v="8"/>
    <x v="0"/>
    <n v="0"/>
  </r>
  <r>
    <s v="RM470"/>
    <n v="32"/>
    <x v="1"/>
    <s v="Yes"/>
    <n v="1"/>
    <s v="Non-Travel"/>
    <n v="1474"/>
    <x v="1"/>
    <x v="13"/>
    <x v="3"/>
    <x v="4"/>
    <n v="1"/>
    <n v="631"/>
    <x v="1"/>
    <x v="0"/>
    <n v="60"/>
    <n v="4"/>
    <x v="1"/>
    <x v="5"/>
    <x v="0"/>
    <x v="2"/>
    <n v="4707"/>
    <x v="0"/>
    <n v="23914"/>
    <n v="8"/>
    <s v="Y"/>
    <x v="0"/>
    <n v="12"/>
    <n v="3"/>
    <n v="4"/>
    <n v="80"/>
    <n v="0"/>
    <n v="6"/>
    <n v="2"/>
    <x v="0"/>
    <x v="4"/>
    <x v="2"/>
    <n v="1"/>
  </r>
  <r>
    <s v="RM501"/>
    <n v="32"/>
    <x v="1"/>
    <s v="No"/>
    <n v="0"/>
    <s v="Travel_Rarely"/>
    <n v="646"/>
    <x v="0"/>
    <x v="9"/>
    <x v="3"/>
    <x v="0"/>
    <n v="1"/>
    <n v="679"/>
    <x v="3"/>
    <x v="1"/>
    <n v="92"/>
    <n v="3"/>
    <x v="1"/>
    <x v="2"/>
    <x v="2"/>
    <x v="2"/>
    <n v="6322"/>
    <x v="1"/>
    <n v="18089"/>
    <n v="1"/>
    <s v="Y"/>
    <x v="1"/>
    <n v="12"/>
    <n v="3"/>
    <n v="4"/>
    <n v="80"/>
    <n v="1"/>
    <n v="6"/>
    <n v="2"/>
    <x v="3"/>
    <x v="6"/>
    <x v="4"/>
    <n v="0"/>
  </r>
  <r>
    <s v="RM528"/>
    <n v="32"/>
    <x v="1"/>
    <s v="No"/>
    <n v="0"/>
    <s v="Travel_Rarely"/>
    <n v="929"/>
    <x v="1"/>
    <x v="1"/>
    <x v="0"/>
    <x v="2"/>
    <n v="1"/>
    <n v="722"/>
    <x v="1"/>
    <x v="0"/>
    <n v="55"/>
    <n v="3"/>
    <x v="1"/>
    <x v="5"/>
    <x v="2"/>
    <x v="0"/>
    <n v="5396"/>
    <x v="1"/>
    <n v="21703"/>
    <n v="1"/>
    <s v="Y"/>
    <x v="0"/>
    <n v="12"/>
    <n v="3"/>
    <n v="4"/>
    <n v="80"/>
    <n v="0"/>
    <n v="10"/>
    <n v="2"/>
    <x v="3"/>
    <x v="10"/>
    <x v="6"/>
    <n v="0"/>
  </r>
  <r>
    <s v="RM532"/>
    <n v="32"/>
    <x v="1"/>
    <s v="No"/>
    <n v="0"/>
    <s v="Travel_Rarely"/>
    <n v="1018"/>
    <x v="0"/>
    <x v="0"/>
    <x v="1"/>
    <x v="0"/>
    <n v="1"/>
    <n v="727"/>
    <x v="0"/>
    <x v="1"/>
    <n v="39"/>
    <n v="3"/>
    <x v="2"/>
    <x v="7"/>
    <x v="2"/>
    <x v="0"/>
    <n v="11159"/>
    <x v="2"/>
    <n v="19373"/>
    <n v="3"/>
    <s v="Y"/>
    <x v="0"/>
    <n v="15"/>
    <n v="3"/>
    <n v="4"/>
    <n v="80"/>
    <n v="0"/>
    <n v="10"/>
    <n v="6"/>
    <x v="0"/>
    <x v="7"/>
    <x v="6"/>
    <n v="7"/>
  </r>
  <r>
    <s v="RM559"/>
    <n v="32"/>
    <x v="1"/>
    <s v="No"/>
    <n v="0"/>
    <s v="Travel_Frequently"/>
    <n v="430"/>
    <x v="0"/>
    <x v="22"/>
    <x v="3"/>
    <x v="0"/>
    <n v="1"/>
    <n v="772"/>
    <x v="3"/>
    <x v="0"/>
    <n v="80"/>
    <n v="3"/>
    <x v="1"/>
    <x v="0"/>
    <x v="2"/>
    <x v="2"/>
    <n v="5309"/>
    <x v="1"/>
    <n v="21146"/>
    <n v="1"/>
    <s v="Y"/>
    <x v="0"/>
    <n v="15"/>
    <n v="3"/>
    <n v="4"/>
    <n v="80"/>
    <n v="2"/>
    <n v="10"/>
    <n v="2"/>
    <x v="0"/>
    <x v="10"/>
    <x v="7"/>
    <n v="4"/>
  </r>
  <r>
    <s v="RM601"/>
    <n v="32"/>
    <x v="1"/>
    <s v="No"/>
    <n v="0"/>
    <s v="Travel_Rarely"/>
    <n v="859"/>
    <x v="0"/>
    <x v="12"/>
    <x v="0"/>
    <x v="0"/>
    <n v="1"/>
    <n v="830"/>
    <x v="0"/>
    <x v="1"/>
    <n v="98"/>
    <n v="2"/>
    <x v="1"/>
    <x v="4"/>
    <x v="0"/>
    <x v="2"/>
    <n v="6162"/>
    <x v="1"/>
    <n v="19124"/>
    <n v="1"/>
    <s v="Y"/>
    <x v="0"/>
    <n v="12"/>
    <n v="3"/>
    <n v="3"/>
    <n v="80"/>
    <n v="1"/>
    <n v="14"/>
    <n v="3"/>
    <x v="0"/>
    <x v="14"/>
    <x v="12"/>
    <n v="6"/>
  </r>
  <r>
    <s v="RM623"/>
    <n v="32"/>
    <x v="1"/>
    <s v="No"/>
    <n v="0"/>
    <s v="Travel_Rarely"/>
    <n v="117"/>
    <x v="1"/>
    <x v="25"/>
    <x v="3"/>
    <x v="0"/>
    <n v="1"/>
    <n v="859"/>
    <x v="2"/>
    <x v="0"/>
    <n v="73"/>
    <n v="3"/>
    <x v="1"/>
    <x v="5"/>
    <x v="2"/>
    <x v="1"/>
    <n v="4403"/>
    <x v="0"/>
    <n v="9250"/>
    <n v="2"/>
    <s v="Y"/>
    <x v="0"/>
    <n v="11"/>
    <n v="3"/>
    <n v="3"/>
    <n v="80"/>
    <n v="1"/>
    <n v="8"/>
    <n v="3"/>
    <x v="3"/>
    <x v="5"/>
    <x v="2"/>
    <n v="0"/>
  </r>
  <r>
    <s v="RM627"/>
    <n v="32"/>
    <x v="1"/>
    <s v="No"/>
    <n v="0"/>
    <s v="Travel_Rarely"/>
    <n v="638"/>
    <x v="0"/>
    <x v="3"/>
    <x v="1"/>
    <x v="1"/>
    <n v="1"/>
    <n v="865"/>
    <x v="0"/>
    <x v="1"/>
    <n v="91"/>
    <n v="4"/>
    <x v="1"/>
    <x v="2"/>
    <x v="0"/>
    <x v="2"/>
    <n v="5175"/>
    <x v="1"/>
    <n v="22162"/>
    <n v="5"/>
    <s v="Y"/>
    <x v="0"/>
    <n v="12"/>
    <n v="3"/>
    <n v="3"/>
    <n v="80"/>
    <n v="1"/>
    <n v="9"/>
    <n v="3"/>
    <x v="3"/>
    <x v="5"/>
    <x v="3"/>
    <n v="1"/>
  </r>
  <r>
    <s v="RM638"/>
    <n v="32"/>
    <x v="1"/>
    <s v="No"/>
    <n v="0"/>
    <s v="Non-Travel"/>
    <n v="300"/>
    <x v="0"/>
    <x v="4"/>
    <x v="0"/>
    <x v="0"/>
    <n v="1"/>
    <n v="882"/>
    <x v="1"/>
    <x v="0"/>
    <n v="61"/>
    <n v="3"/>
    <x v="0"/>
    <x v="0"/>
    <x v="2"/>
    <x v="1"/>
    <n v="2314"/>
    <x v="0"/>
    <n v="9148"/>
    <n v="0"/>
    <s v="Y"/>
    <x v="0"/>
    <n v="12"/>
    <n v="3"/>
    <n v="2"/>
    <n v="80"/>
    <n v="1"/>
    <n v="4"/>
    <n v="2"/>
    <x v="0"/>
    <x v="3"/>
    <x v="0"/>
    <n v="0"/>
  </r>
  <r>
    <s v="RM642"/>
    <n v="32"/>
    <x v="1"/>
    <s v="No"/>
    <n v="0"/>
    <s v="Travel_Frequently"/>
    <n v="379"/>
    <x v="1"/>
    <x v="2"/>
    <x v="1"/>
    <x v="0"/>
    <n v="1"/>
    <n v="889"/>
    <x v="2"/>
    <x v="0"/>
    <n v="48"/>
    <n v="3"/>
    <x v="1"/>
    <x v="5"/>
    <x v="1"/>
    <x v="2"/>
    <n v="6524"/>
    <x v="1"/>
    <n v="8891"/>
    <n v="1"/>
    <s v="Y"/>
    <x v="0"/>
    <n v="14"/>
    <n v="3"/>
    <n v="4"/>
    <n v="80"/>
    <n v="1"/>
    <n v="10"/>
    <n v="3"/>
    <x v="0"/>
    <x v="10"/>
    <x v="7"/>
    <n v="5"/>
  </r>
  <r>
    <s v="RM657"/>
    <n v="32"/>
    <x v="1"/>
    <s v="Yes"/>
    <n v="1"/>
    <s v="Travel_Rarely"/>
    <n v="374"/>
    <x v="0"/>
    <x v="10"/>
    <x v="3"/>
    <x v="0"/>
    <n v="1"/>
    <n v="911"/>
    <x v="3"/>
    <x v="0"/>
    <n v="87"/>
    <n v="3"/>
    <x v="0"/>
    <x v="0"/>
    <x v="2"/>
    <x v="0"/>
    <n v="2795"/>
    <x v="0"/>
    <n v="18016"/>
    <n v="1"/>
    <s v="Y"/>
    <x v="1"/>
    <n v="24"/>
    <n v="4"/>
    <n v="3"/>
    <n v="80"/>
    <n v="0"/>
    <n v="1"/>
    <n v="2"/>
    <x v="2"/>
    <x v="1"/>
    <x v="0"/>
    <n v="0"/>
  </r>
  <r>
    <s v="RM683"/>
    <n v="32"/>
    <x v="1"/>
    <s v="No"/>
    <n v="0"/>
    <s v="Non-Travel"/>
    <n v="1184"/>
    <x v="0"/>
    <x v="4"/>
    <x v="0"/>
    <x v="0"/>
    <n v="1"/>
    <n v="951"/>
    <x v="0"/>
    <x v="1"/>
    <n v="70"/>
    <n v="2"/>
    <x v="0"/>
    <x v="0"/>
    <x v="1"/>
    <x v="2"/>
    <n v="2332"/>
    <x v="0"/>
    <n v="3974"/>
    <n v="6"/>
    <s v="Y"/>
    <x v="0"/>
    <n v="20"/>
    <n v="4"/>
    <n v="3"/>
    <n v="80"/>
    <n v="0"/>
    <n v="5"/>
    <n v="3"/>
    <x v="0"/>
    <x v="3"/>
    <x v="0"/>
    <n v="0"/>
  </r>
  <r>
    <s v="RM693"/>
    <n v="32"/>
    <x v="1"/>
    <s v="No"/>
    <n v="0"/>
    <s v="Travel_Rarely"/>
    <n v="498"/>
    <x v="0"/>
    <x v="0"/>
    <x v="3"/>
    <x v="1"/>
    <n v="1"/>
    <n v="966"/>
    <x v="0"/>
    <x v="1"/>
    <n v="93"/>
    <n v="3"/>
    <x v="1"/>
    <x v="4"/>
    <x v="3"/>
    <x v="2"/>
    <n v="6725"/>
    <x v="1"/>
    <n v="13554"/>
    <n v="1"/>
    <s v="Y"/>
    <x v="0"/>
    <n v="12"/>
    <n v="3"/>
    <n v="3"/>
    <n v="80"/>
    <n v="1"/>
    <n v="8"/>
    <n v="2"/>
    <x v="1"/>
    <x v="8"/>
    <x v="6"/>
    <n v="6"/>
  </r>
  <r>
    <s v="RM757"/>
    <n v="32"/>
    <x v="1"/>
    <s v="No"/>
    <n v="0"/>
    <s v="Non-Travel"/>
    <n v="1109"/>
    <x v="0"/>
    <x v="26"/>
    <x v="3"/>
    <x v="1"/>
    <n v="1"/>
    <n v="1046"/>
    <x v="1"/>
    <x v="1"/>
    <n v="69"/>
    <n v="3"/>
    <x v="0"/>
    <x v="0"/>
    <x v="0"/>
    <x v="0"/>
    <n v="4025"/>
    <x v="0"/>
    <n v="11135"/>
    <n v="9"/>
    <s v="Y"/>
    <x v="0"/>
    <n v="12"/>
    <n v="3"/>
    <n v="2"/>
    <n v="80"/>
    <n v="0"/>
    <n v="10"/>
    <n v="2"/>
    <x v="0"/>
    <x v="8"/>
    <x v="6"/>
    <n v="7"/>
  </r>
  <r>
    <s v="RM851"/>
    <n v="32"/>
    <x v="1"/>
    <s v="No"/>
    <n v="0"/>
    <s v="Non-Travel"/>
    <n v="862"/>
    <x v="1"/>
    <x v="7"/>
    <x v="2"/>
    <x v="0"/>
    <n v="1"/>
    <n v="1190"/>
    <x v="0"/>
    <x v="1"/>
    <n v="76"/>
    <n v="3"/>
    <x v="0"/>
    <x v="1"/>
    <x v="3"/>
    <x v="1"/>
    <n v="2827"/>
    <x v="0"/>
    <n v="14947"/>
    <n v="1"/>
    <s v="Y"/>
    <x v="0"/>
    <n v="12"/>
    <n v="3"/>
    <n v="3"/>
    <n v="80"/>
    <n v="3"/>
    <n v="1"/>
    <n v="3"/>
    <x v="0"/>
    <x v="1"/>
    <x v="0"/>
    <n v="0"/>
  </r>
  <r>
    <s v="RM881"/>
    <n v="32"/>
    <x v="1"/>
    <s v="No"/>
    <n v="0"/>
    <s v="Travel_Frequently"/>
    <n v="116"/>
    <x v="0"/>
    <x v="25"/>
    <x v="0"/>
    <x v="4"/>
    <n v="1"/>
    <n v="1234"/>
    <x v="0"/>
    <x v="1"/>
    <n v="77"/>
    <n v="2"/>
    <x v="0"/>
    <x v="0"/>
    <x v="1"/>
    <x v="2"/>
    <n v="2743"/>
    <x v="0"/>
    <n v="7331"/>
    <n v="1"/>
    <s v="Y"/>
    <x v="0"/>
    <n v="20"/>
    <n v="4"/>
    <n v="3"/>
    <n v="80"/>
    <n v="1"/>
    <n v="2"/>
    <n v="2"/>
    <x v="0"/>
    <x v="2"/>
    <x v="2"/>
    <n v="2"/>
  </r>
  <r>
    <s v="RM882"/>
    <n v="32"/>
    <x v="1"/>
    <s v="No"/>
    <n v="0"/>
    <s v="Travel_Frequently"/>
    <n v="1316"/>
    <x v="0"/>
    <x v="7"/>
    <x v="1"/>
    <x v="0"/>
    <n v="1"/>
    <n v="1235"/>
    <x v="1"/>
    <x v="1"/>
    <n v="38"/>
    <n v="3"/>
    <x v="1"/>
    <x v="2"/>
    <x v="0"/>
    <x v="0"/>
    <n v="4998"/>
    <x v="0"/>
    <n v="2338"/>
    <n v="4"/>
    <s v="Y"/>
    <x v="1"/>
    <n v="14"/>
    <n v="3"/>
    <n v="4"/>
    <n v="80"/>
    <n v="0"/>
    <n v="10"/>
    <n v="2"/>
    <x v="0"/>
    <x v="8"/>
    <x v="6"/>
    <n v="0"/>
  </r>
  <r>
    <s v="RM936"/>
    <n v="32"/>
    <x v="1"/>
    <s v="No"/>
    <n v="0"/>
    <s v="Travel_Rarely"/>
    <n v="604"/>
    <x v="1"/>
    <x v="3"/>
    <x v="0"/>
    <x v="1"/>
    <n v="1"/>
    <n v="1304"/>
    <x v="0"/>
    <x v="0"/>
    <n v="56"/>
    <n v="4"/>
    <x v="1"/>
    <x v="5"/>
    <x v="2"/>
    <x v="2"/>
    <n v="6209"/>
    <x v="1"/>
    <n v="11693"/>
    <n v="1"/>
    <s v="Y"/>
    <x v="0"/>
    <n v="15"/>
    <n v="3"/>
    <n v="3"/>
    <n v="80"/>
    <n v="2"/>
    <n v="10"/>
    <n v="4"/>
    <x v="1"/>
    <x v="10"/>
    <x v="6"/>
    <n v="0"/>
  </r>
  <r>
    <s v="RM940"/>
    <n v="32"/>
    <x v="1"/>
    <s v="Yes"/>
    <n v="1"/>
    <s v="Travel_Rarely"/>
    <n v="1089"/>
    <x v="0"/>
    <x v="17"/>
    <x v="1"/>
    <x v="0"/>
    <n v="1"/>
    <n v="1309"/>
    <x v="1"/>
    <x v="0"/>
    <n v="79"/>
    <n v="3"/>
    <x v="1"/>
    <x v="0"/>
    <x v="0"/>
    <x v="2"/>
    <n v="4883"/>
    <x v="0"/>
    <n v="22845"/>
    <n v="1"/>
    <s v="Y"/>
    <x v="0"/>
    <n v="18"/>
    <n v="3"/>
    <n v="1"/>
    <n v="80"/>
    <n v="1"/>
    <n v="10"/>
    <n v="3"/>
    <x v="0"/>
    <x v="10"/>
    <x v="4"/>
    <n v="1"/>
  </r>
  <r>
    <s v="RM992"/>
    <n v="32"/>
    <x v="1"/>
    <s v="No"/>
    <n v="0"/>
    <s v="Travel_Rarely"/>
    <n v="499"/>
    <x v="1"/>
    <x v="7"/>
    <x v="2"/>
    <x v="2"/>
    <n v="1"/>
    <n v="1396"/>
    <x v="0"/>
    <x v="0"/>
    <n v="36"/>
    <n v="3"/>
    <x v="1"/>
    <x v="5"/>
    <x v="1"/>
    <x v="2"/>
    <n v="4078"/>
    <x v="0"/>
    <n v="20497"/>
    <n v="0"/>
    <s v="Y"/>
    <x v="1"/>
    <n v="13"/>
    <n v="3"/>
    <n v="1"/>
    <n v="80"/>
    <n v="3"/>
    <n v="4"/>
    <n v="3"/>
    <x v="3"/>
    <x v="3"/>
    <x v="2"/>
    <n v="1"/>
  </r>
  <r>
    <s v="RM1027"/>
    <n v="32"/>
    <x v="1"/>
    <s v="No"/>
    <n v="0"/>
    <s v="Travel_Rarely"/>
    <n v="601"/>
    <x v="1"/>
    <x v="17"/>
    <x v="4"/>
    <x v="2"/>
    <n v="1"/>
    <n v="1446"/>
    <x v="1"/>
    <x v="0"/>
    <n v="97"/>
    <n v="3"/>
    <x v="1"/>
    <x v="5"/>
    <x v="2"/>
    <x v="2"/>
    <n v="9204"/>
    <x v="1"/>
    <n v="23343"/>
    <n v="4"/>
    <s v="Y"/>
    <x v="0"/>
    <n v="12"/>
    <n v="3"/>
    <n v="3"/>
    <n v="80"/>
    <n v="1"/>
    <n v="7"/>
    <n v="3"/>
    <x v="3"/>
    <x v="4"/>
    <x v="3"/>
    <n v="0"/>
  </r>
  <r>
    <s v="RM1076"/>
    <n v="32"/>
    <x v="1"/>
    <s v="No"/>
    <n v="0"/>
    <s v="Travel_Rarely"/>
    <n v="495"/>
    <x v="0"/>
    <x v="1"/>
    <x v="0"/>
    <x v="1"/>
    <n v="1"/>
    <n v="1516"/>
    <x v="0"/>
    <x v="0"/>
    <n v="64"/>
    <n v="3"/>
    <x v="2"/>
    <x v="8"/>
    <x v="2"/>
    <x v="0"/>
    <n v="11244"/>
    <x v="2"/>
    <n v="21072"/>
    <n v="2"/>
    <s v="Y"/>
    <x v="0"/>
    <n v="25"/>
    <n v="4"/>
    <n v="2"/>
    <n v="80"/>
    <n v="0"/>
    <n v="10"/>
    <n v="5"/>
    <x v="1"/>
    <x v="5"/>
    <x v="2"/>
    <n v="0"/>
  </r>
  <r>
    <s v="RM1102"/>
    <n v="32"/>
    <x v="1"/>
    <s v="No"/>
    <n v="0"/>
    <s v="Travel_Rarely"/>
    <n v="824"/>
    <x v="0"/>
    <x v="2"/>
    <x v="1"/>
    <x v="0"/>
    <n v="1"/>
    <n v="1555"/>
    <x v="1"/>
    <x v="1"/>
    <n v="67"/>
    <n v="2"/>
    <x v="1"/>
    <x v="2"/>
    <x v="1"/>
    <x v="2"/>
    <n v="5878"/>
    <x v="1"/>
    <n v="15624"/>
    <n v="3"/>
    <s v="Y"/>
    <x v="0"/>
    <n v="12"/>
    <n v="3"/>
    <n v="1"/>
    <n v="80"/>
    <n v="1"/>
    <n v="12"/>
    <n v="2"/>
    <x v="0"/>
    <x v="7"/>
    <x v="1"/>
    <n v="2"/>
  </r>
  <r>
    <s v="RM1114"/>
    <n v="32"/>
    <x v="1"/>
    <s v="No"/>
    <n v="0"/>
    <s v="Non-Travel"/>
    <n v="1200"/>
    <x v="0"/>
    <x v="4"/>
    <x v="3"/>
    <x v="3"/>
    <n v="1"/>
    <n v="1574"/>
    <x v="1"/>
    <x v="0"/>
    <n v="62"/>
    <n v="3"/>
    <x v="1"/>
    <x v="2"/>
    <x v="3"/>
    <x v="2"/>
    <n v="4087"/>
    <x v="0"/>
    <n v="25174"/>
    <n v="4"/>
    <s v="Y"/>
    <x v="0"/>
    <n v="14"/>
    <n v="3"/>
    <n v="2"/>
    <n v="80"/>
    <n v="1"/>
    <n v="9"/>
    <n v="3"/>
    <x v="3"/>
    <x v="6"/>
    <x v="5"/>
    <n v="1"/>
  </r>
  <r>
    <s v="RM1140"/>
    <n v="32"/>
    <x v="1"/>
    <s v="No"/>
    <n v="0"/>
    <s v="Travel_Rarely"/>
    <n v="634"/>
    <x v="0"/>
    <x v="2"/>
    <x v="3"/>
    <x v="4"/>
    <n v="1"/>
    <n v="1607"/>
    <x v="2"/>
    <x v="1"/>
    <n v="35"/>
    <n v="4"/>
    <x v="0"/>
    <x v="2"/>
    <x v="2"/>
    <x v="2"/>
    <n v="3312"/>
    <x v="0"/>
    <n v="18783"/>
    <n v="3"/>
    <s v="Y"/>
    <x v="0"/>
    <n v="17"/>
    <n v="3"/>
    <n v="4"/>
    <n v="80"/>
    <n v="2"/>
    <n v="6"/>
    <n v="3"/>
    <x v="0"/>
    <x v="3"/>
    <x v="2"/>
    <n v="0"/>
  </r>
  <r>
    <s v="RM1191"/>
    <n v="32"/>
    <x v="1"/>
    <s v="No"/>
    <n v="0"/>
    <s v="Travel_Rarely"/>
    <n v="977"/>
    <x v="0"/>
    <x v="7"/>
    <x v="0"/>
    <x v="1"/>
    <n v="1"/>
    <n v="1671"/>
    <x v="1"/>
    <x v="0"/>
    <n v="45"/>
    <n v="3"/>
    <x v="1"/>
    <x v="2"/>
    <x v="1"/>
    <x v="1"/>
    <n v="5470"/>
    <x v="1"/>
    <n v="25518"/>
    <n v="0"/>
    <s v="Y"/>
    <x v="0"/>
    <n v="13"/>
    <n v="3"/>
    <n v="3"/>
    <n v="80"/>
    <n v="2"/>
    <n v="10"/>
    <n v="4"/>
    <x v="3"/>
    <x v="9"/>
    <x v="5"/>
    <n v="1"/>
  </r>
  <r>
    <s v="RM1206"/>
    <n v="32"/>
    <x v="1"/>
    <s v="Yes"/>
    <n v="1"/>
    <s v="Travel_Rarely"/>
    <n v="1259"/>
    <x v="0"/>
    <x v="7"/>
    <x v="3"/>
    <x v="0"/>
    <n v="1"/>
    <n v="1692"/>
    <x v="1"/>
    <x v="0"/>
    <n v="95"/>
    <n v="3"/>
    <x v="0"/>
    <x v="0"/>
    <x v="1"/>
    <x v="0"/>
    <n v="1393"/>
    <x v="0"/>
    <n v="24852"/>
    <n v="1"/>
    <s v="Y"/>
    <x v="0"/>
    <n v="12"/>
    <n v="3"/>
    <n v="1"/>
    <n v="80"/>
    <n v="0"/>
    <n v="1"/>
    <n v="2"/>
    <x v="0"/>
    <x v="1"/>
    <x v="0"/>
    <n v="0"/>
  </r>
  <r>
    <s v="RM1227"/>
    <n v="32"/>
    <x v="1"/>
    <s v="No"/>
    <n v="0"/>
    <s v="Travel_Frequently"/>
    <n v="585"/>
    <x v="0"/>
    <x v="1"/>
    <x v="0"/>
    <x v="0"/>
    <n v="1"/>
    <n v="1720"/>
    <x v="3"/>
    <x v="0"/>
    <n v="56"/>
    <n v="3"/>
    <x v="0"/>
    <x v="2"/>
    <x v="0"/>
    <x v="2"/>
    <n v="3433"/>
    <x v="0"/>
    <n v="17360"/>
    <n v="6"/>
    <s v="Y"/>
    <x v="0"/>
    <n v="13"/>
    <n v="3"/>
    <n v="1"/>
    <n v="80"/>
    <n v="1"/>
    <n v="10"/>
    <n v="3"/>
    <x v="3"/>
    <x v="5"/>
    <x v="2"/>
    <n v="1"/>
  </r>
  <r>
    <s v="RM1238"/>
    <n v="32"/>
    <x v="1"/>
    <s v="Yes"/>
    <n v="1"/>
    <s v="Travel_Rarely"/>
    <n v="964"/>
    <x v="1"/>
    <x v="4"/>
    <x v="1"/>
    <x v="0"/>
    <n v="1"/>
    <n v="1734"/>
    <x v="3"/>
    <x v="0"/>
    <n v="34"/>
    <n v="1"/>
    <x v="1"/>
    <x v="5"/>
    <x v="1"/>
    <x v="0"/>
    <n v="6735"/>
    <x v="1"/>
    <n v="12147"/>
    <n v="6"/>
    <s v="Y"/>
    <x v="0"/>
    <n v="15"/>
    <n v="3"/>
    <n v="2"/>
    <n v="80"/>
    <n v="0"/>
    <n v="10"/>
    <n v="2"/>
    <x v="0"/>
    <x v="0"/>
    <x v="0"/>
    <n v="0"/>
  </r>
  <r>
    <s v="RM1242"/>
    <n v="32"/>
    <x v="1"/>
    <s v="No"/>
    <n v="0"/>
    <s v="Travel_Rarely"/>
    <n v="371"/>
    <x v="1"/>
    <x v="19"/>
    <x v="0"/>
    <x v="0"/>
    <n v="1"/>
    <n v="1739"/>
    <x v="1"/>
    <x v="0"/>
    <n v="80"/>
    <n v="1"/>
    <x v="2"/>
    <x v="5"/>
    <x v="0"/>
    <x v="2"/>
    <n v="9610"/>
    <x v="1"/>
    <n v="3840"/>
    <n v="3"/>
    <s v="Y"/>
    <x v="0"/>
    <n v="13"/>
    <n v="3"/>
    <n v="3"/>
    <n v="80"/>
    <n v="1"/>
    <n v="10"/>
    <n v="2"/>
    <x v="2"/>
    <x v="4"/>
    <x v="3"/>
    <n v="0"/>
  </r>
  <r>
    <s v="RM1261"/>
    <n v="32"/>
    <x v="1"/>
    <s v="No"/>
    <n v="0"/>
    <s v="Non-Travel"/>
    <n v="953"/>
    <x v="0"/>
    <x v="2"/>
    <x v="3"/>
    <x v="3"/>
    <n v="1"/>
    <n v="1764"/>
    <x v="2"/>
    <x v="0"/>
    <n v="65"/>
    <n v="3"/>
    <x v="0"/>
    <x v="2"/>
    <x v="1"/>
    <x v="0"/>
    <n v="2718"/>
    <x v="0"/>
    <n v="17674"/>
    <n v="2"/>
    <s v="Y"/>
    <x v="0"/>
    <n v="14"/>
    <n v="3"/>
    <n v="2"/>
    <n v="80"/>
    <n v="0"/>
    <n v="12"/>
    <n v="3"/>
    <x v="0"/>
    <x v="7"/>
    <x v="6"/>
    <n v="0"/>
  </r>
  <r>
    <s v="RM1320"/>
    <n v="32"/>
    <x v="1"/>
    <s v="No"/>
    <n v="0"/>
    <s v="Travel_Frequently"/>
    <n v="1318"/>
    <x v="1"/>
    <x v="1"/>
    <x v="3"/>
    <x v="2"/>
    <n v="1"/>
    <n v="1853"/>
    <x v="1"/>
    <x v="0"/>
    <n v="79"/>
    <n v="3"/>
    <x v="1"/>
    <x v="5"/>
    <x v="2"/>
    <x v="0"/>
    <n v="4648"/>
    <x v="0"/>
    <n v="26075"/>
    <n v="8"/>
    <s v="Y"/>
    <x v="0"/>
    <n v="13"/>
    <n v="3"/>
    <n v="3"/>
    <n v="80"/>
    <n v="0"/>
    <n v="4"/>
    <n v="2"/>
    <x v="1"/>
    <x v="0"/>
    <x v="0"/>
    <n v="0"/>
  </r>
  <r>
    <s v="RM1327"/>
    <n v="32"/>
    <x v="1"/>
    <s v="Yes"/>
    <n v="1"/>
    <s v="Travel_Rarely"/>
    <n v="414"/>
    <x v="1"/>
    <x v="7"/>
    <x v="3"/>
    <x v="2"/>
    <n v="1"/>
    <n v="1862"/>
    <x v="0"/>
    <x v="0"/>
    <n v="82"/>
    <n v="2"/>
    <x v="1"/>
    <x v="5"/>
    <x v="1"/>
    <x v="0"/>
    <n v="9907"/>
    <x v="1"/>
    <n v="26186"/>
    <n v="7"/>
    <s v="Y"/>
    <x v="1"/>
    <n v="12"/>
    <n v="3"/>
    <n v="3"/>
    <n v="80"/>
    <n v="0"/>
    <n v="7"/>
    <n v="3"/>
    <x v="3"/>
    <x v="2"/>
    <x v="2"/>
    <n v="2"/>
  </r>
  <r>
    <s v="RM1376"/>
    <n v="32"/>
    <x v="1"/>
    <s v="Yes"/>
    <n v="1"/>
    <s v="Travel_Frequently"/>
    <n v="238"/>
    <x v="0"/>
    <x v="2"/>
    <x v="1"/>
    <x v="0"/>
    <n v="1"/>
    <n v="1939"/>
    <x v="3"/>
    <x v="1"/>
    <n v="47"/>
    <n v="4"/>
    <x v="0"/>
    <x v="2"/>
    <x v="0"/>
    <x v="0"/>
    <n v="2432"/>
    <x v="0"/>
    <n v="15318"/>
    <n v="3"/>
    <s v="Y"/>
    <x v="1"/>
    <n v="14"/>
    <n v="3"/>
    <n v="1"/>
    <n v="80"/>
    <n v="0"/>
    <n v="8"/>
    <n v="2"/>
    <x v="0"/>
    <x v="4"/>
    <x v="1"/>
    <n v="0"/>
  </r>
  <r>
    <s v="RM1389"/>
    <n v="32"/>
    <x v="1"/>
    <s v="No"/>
    <n v="0"/>
    <s v="Non-Travel"/>
    <n v="1146"/>
    <x v="0"/>
    <x v="14"/>
    <x v="3"/>
    <x v="1"/>
    <n v="1"/>
    <n v="1955"/>
    <x v="0"/>
    <x v="1"/>
    <n v="34"/>
    <n v="3"/>
    <x v="1"/>
    <x v="6"/>
    <x v="2"/>
    <x v="1"/>
    <n v="6667"/>
    <x v="1"/>
    <n v="16542"/>
    <n v="5"/>
    <s v="Y"/>
    <x v="0"/>
    <n v="18"/>
    <n v="3"/>
    <n v="2"/>
    <n v="80"/>
    <n v="1"/>
    <n v="9"/>
    <n v="6"/>
    <x v="0"/>
    <x v="5"/>
    <x v="1"/>
    <n v="1"/>
  </r>
  <r>
    <s v="RM1395"/>
    <n v="32"/>
    <x v="1"/>
    <s v="No"/>
    <n v="0"/>
    <s v="Travel_Rarely"/>
    <n v="1373"/>
    <x v="0"/>
    <x v="2"/>
    <x v="3"/>
    <x v="0"/>
    <n v="1"/>
    <n v="1966"/>
    <x v="1"/>
    <x v="0"/>
    <n v="56"/>
    <n v="2"/>
    <x v="1"/>
    <x v="4"/>
    <x v="2"/>
    <x v="0"/>
    <n v="9679"/>
    <x v="1"/>
    <n v="10138"/>
    <n v="8"/>
    <s v="Y"/>
    <x v="0"/>
    <n v="24"/>
    <n v="4"/>
    <n v="2"/>
    <n v="80"/>
    <n v="0"/>
    <n v="8"/>
    <n v="1"/>
    <x v="0"/>
    <x v="1"/>
    <x v="0"/>
    <n v="0"/>
  </r>
  <r>
    <s v="RM1427"/>
    <n v="32"/>
    <x v="1"/>
    <s v="No"/>
    <n v="0"/>
    <s v="Travel_Rarely"/>
    <n v="267"/>
    <x v="0"/>
    <x v="26"/>
    <x v="3"/>
    <x v="0"/>
    <n v="1"/>
    <n v="2010"/>
    <x v="0"/>
    <x v="1"/>
    <n v="49"/>
    <n v="2"/>
    <x v="0"/>
    <x v="0"/>
    <x v="1"/>
    <x v="0"/>
    <n v="2837"/>
    <x v="0"/>
    <n v="15919"/>
    <n v="1"/>
    <s v="Y"/>
    <x v="0"/>
    <n v="13"/>
    <n v="3"/>
    <n v="3"/>
    <n v="80"/>
    <n v="0"/>
    <n v="6"/>
    <n v="3"/>
    <x v="0"/>
    <x v="6"/>
    <x v="2"/>
    <n v="4"/>
  </r>
  <r>
    <s v="RM1429"/>
    <n v="32"/>
    <x v="1"/>
    <s v="No"/>
    <n v="0"/>
    <s v="Travel_Rarely"/>
    <n v="234"/>
    <x v="1"/>
    <x v="4"/>
    <x v="3"/>
    <x v="1"/>
    <n v="1"/>
    <n v="2013"/>
    <x v="2"/>
    <x v="0"/>
    <n v="68"/>
    <n v="2"/>
    <x v="0"/>
    <x v="1"/>
    <x v="1"/>
    <x v="2"/>
    <n v="2269"/>
    <x v="0"/>
    <n v="18024"/>
    <n v="0"/>
    <s v="Y"/>
    <x v="0"/>
    <n v="14"/>
    <n v="3"/>
    <n v="2"/>
    <n v="80"/>
    <n v="1"/>
    <n v="3"/>
    <n v="2"/>
    <x v="0"/>
    <x v="2"/>
    <x v="2"/>
    <n v="2"/>
  </r>
  <r>
    <s v="RM1432"/>
    <n v="32"/>
    <x v="1"/>
    <s v="No"/>
    <n v="0"/>
    <s v="Travel_Rarely"/>
    <n v="801"/>
    <x v="1"/>
    <x v="4"/>
    <x v="3"/>
    <x v="2"/>
    <n v="1"/>
    <n v="2016"/>
    <x v="0"/>
    <x v="1"/>
    <n v="48"/>
    <n v="3"/>
    <x v="2"/>
    <x v="5"/>
    <x v="2"/>
    <x v="2"/>
    <n v="10422"/>
    <x v="2"/>
    <n v="24032"/>
    <n v="1"/>
    <s v="Y"/>
    <x v="0"/>
    <n v="19"/>
    <n v="3"/>
    <n v="3"/>
    <n v="80"/>
    <n v="2"/>
    <n v="14"/>
    <n v="3"/>
    <x v="0"/>
    <x v="14"/>
    <x v="10"/>
    <n v="5"/>
  </r>
  <r>
    <s v="RM1450"/>
    <n v="32"/>
    <x v="1"/>
    <s v="No"/>
    <n v="0"/>
    <s v="Travel_Rarely"/>
    <n v="529"/>
    <x v="0"/>
    <x v="7"/>
    <x v="0"/>
    <x v="3"/>
    <n v="1"/>
    <n v="2038"/>
    <x v="1"/>
    <x v="0"/>
    <n v="78"/>
    <n v="3"/>
    <x v="0"/>
    <x v="2"/>
    <x v="3"/>
    <x v="0"/>
    <n v="2439"/>
    <x v="0"/>
    <n v="11288"/>
    <n v="1"/>
    <s v="Y"/>
    <x v="0"/>
    <n v="14"/>
    <n v="3"/>
    <n v="4"/>
    <n v="80"/>
    <n v="0"/>
    <n v="4"/>
    <n v="4"/>
    <x v="0"/>
    <x v="4"/>
    <x v="2"/>
    <n v="1"/>
  </r>
  <r>
    <s v="RM004"/>
    <n v="33"/>
    <x v="1"/>
    <s v="No"/>
    <n v="0"/>
    <s v="Travel_Frequently"/>
    <n v="1392"/>
    <x v="0"/>
    <x v="0"/>
    <x v="3"/>
    <x v="0"/>
    <n v="1"/>
    <n v="5"/>
    <x v="1"/>
    <x v="1"/>
    <n v="56"/>
    <n v="3"/>
    <x v="0"/>
    <x v="2"/>
    <x v="0"/>
    <x v="2"/>
    <n v="2909"/>
    <x v="0"/>
    <n v="23159"/>
    <n v="1"/>
    <s v="Y"/>
    <x v="1"/>
    <n v="11"/>
    <n v="3"/>
    <n v="3"/>
    <n v="80"/>
    <n v="0"/>
    <n v="8"/>
    <n v="3"/>
    <x v="0"/>
    <x v="8"/>
    <x v="6"/>
    <n v="3"/>
  </r>
  <r>
    <s v="RM031"/>
    <n v="33"/>
    <x v="1"/>
    <s v="No"/>
    <n v="0"/>
    <s v="Travel_Rarely"/>
    <n v="924"/>
    <x v="0"/>
    <x v="7"/>
    <x v="0"/>
    <x v="1"/>
    <n v="1"/>
    <n v="39"/>
    <x v="0"/>
    <x v="0"/>
    <n v="78"/>
    <n v="3"/>
    <x v="0"/>
    <x v="0"/>
    <x v="2"/>
    <x v="0"/>
    <n v="2496"/>
    <x v="0"/>
    <n v="6670"/>
    <n v="4"/>
    <s v="Y"/>
    <x v="0"/>
    <n v="11"/>
    <n v="3"/>
    <n v="4"/>
    <n v="80"/>
    <n v="0"/>
    <n v="7"/>
    <n v="3"/>
    <x v="0"/>
    <x v="1"/>
    <x v="1"/>
    <n v="0"/>
  </r>
  <r>
    <s v="RM040"/>
    <n v="33"/>
    <x v="1"/>
    <s v="No"/>
    <n v="0"/>
    <s v="Travel_Frequently"/>
    <n v="1141"/>
    <x v="1"/>
    <x v="4"/>
    <x v="0"/>
    <x v="0"/>
    <n v="1"/>
    <n v="52"/>
    <x v="0"/>
    <x v="1"/>
    <n v="42"/>
    <n v="4"/>
    <x v="1"/>
    <x v="5"/>
    <x v="3"/>
    <x v="2"/>
    <n v="5376"/>
    <x v="1"/>
    <n v="3193"/>
    <n v="2"/>
    <s v="Y"/>
    <x v="0"/>
    <n v="19"/>
    <n v="3"/>
    <n v="1"/>
    <n v="80"/>
    <n v="2"/>
    <n v="10"/>
    <n v="3"/>
    <x v="0"/>
    <x v="5"/>
    <x v="3"/>
    <n v="1"/>
  </r>
  <r>
    <s v="RM056"/>
    <n v="33"/>
    <x v="1"/>
    <s v="No"/>
    <n v="0"/>
    <s v="Travel_Frequently"/>
    <n v="515"/>
    <x v="0"/>
    <x v="4"/>
    <x v="1"/>
    <x v="0"/>
    <n v="1"/>
    <n v="73"/>
    <x v="3"/>
    <x v="1"/>
    <n v="98"/>
    <n v="3"/>
    <x v="2"/>
    <x v="7"/>
    <x v="2"/>
    <x v="0"/>
    <n v="13458"/>
    <x v="2"/>
    <n v="15146"/>
    <n v="1"/>
    <s v="Y"/>
    <x v="1"/>
    <n v="12"/>
    <n v="3"/>
    <n v="3"/>
    <n v="80"/>
    <n v="0"/>
    <n v="15"/>
    <n v="1"/>
    <x v="0"/>
    <x v="15"/>
    <x v="13"/>
    <n v="8"/>
  </r>
  <r>
    <s v="RM122"/>
    <n v="33"/>
    <x v="1"/>
    <s v="No"/>
    <n v="0"/>
    <s v="Non-Travel"/>
    <n v="750"/>
    <x v="1"/>
    <x v="6"/>
    <x v="1"/>
    <x v="2"/>
    <n v="1"/>
    <n v="160"/>
    <x v="0"/>
    <x v="0"/>
    <n v="95"/>
    <n v="3"/>
    <x v="1"/>
    <x v="5"/>
    <x v="1"/>
    <x v="2"/>
    <n v="6146"/>
    <x v="1"/>
    <n v="15480"/>
    <n v="0"/>
    <s v="Y"/>
    <x v="0"/>
    <n v="13"/>
    <n v="3"/>
    <n v="1"/>
    <n v="80"/>
    <n v="1"/>
    <n v="8"/>
    <n v="2"/>
    <x v="1"/>
    <x v="7"/>
    <x v="6"/>
    <n v="0"/>
  </r>
  <r>
    <s v="RM177"/>
    <n v="33"/>
    <x v="1"/>
    <s v="No"/>
    <n v="0"/>
    <s v="Travel_Rarely"/>
    <n v="134"/>
    <x v="0"/>
    <x v="7"/>
    <x v="0"/>
    <x v="0"/>
    <n v="1"/>
    <n v="242"/>
    <x v="0"/>
    <x v="0"/>
    <n v="90"/>
    <n v="3"/>
    <x v="0"/>
    <x v="2"/>
    <x v="2"/>
    <x v="0"/>
    <n v="2500"/>
    <x v="0"/>
    <n v="10515"/>
    <n v="0"/>
    <s v="Y"/>
    <x v="0"/>
    <n v="14"/>
    <n v="3"/>
    <n v="1"/>
    <n v="80"/>
    <n v="0"/>
    <n v="4"/>
    <n v="2"/>
    <x v="1"/>
    <x v="3"/>
    <x v="1"/>
    <n v="0"/>
  </r>
  <r>
    <s v="RM186"/>
    <n v="33"/>
    <x v="1"/>
    <s v="No"/>
    <n v="0"/>
    <s v="Travel_Rarely"/>
    <n v="931"/>
    <x v="0"/>
    <x v="5"/>
    <x v="0"/>
    <x v="1"/>
    <n v="1"/>
    <n v="252"/>
    <x v="1"/>
    <x v="1"/>
    <n v="72"/>
    <n v="3"/>
    <x v="0"/>
    <x v="2"/>
    <x v="1"/>
    <x v="2"/>
    <n v="2756"/>
    <x v="0"/>
    <n v="4673"/>
    <n v="1"/>
    <s v="Y"/>
    <x v="0"/>
    <n v="13"/>
    <n v="3"/>
    <n v="4"/>
    <n v="80"/>
    <n v="1"/>
    <n v="8"/>
    <n v="5"/>
    <x v="0"/>
    <x v="8"/>
    <x v="6"/>
    <n v="1"/>
  </r>
  <r>
    <s v="RM222"/>
    <n v="33"/>
    <x v="1"/>
    <s v="No"/>
    <n v="0"/>
    <s v="Travel_Rarely"/>
    <n v="147"/>
    <x v="0"/>
    <x v="12"/>
    <x v="3"/>
    <x v="1"/>
    <n v="1"/>
    <n v="305"/>
    <x v="0"/>
    <x v="1"/>
    <n v="47"/>
    <n v="2"/>
    <x v="0"/>
    <x v="2"/>
    <x v="1"/>
    <x v="2"/>
    <n v="2622"/>
    <x v="0"/>
    <n v="13248"/>
    <n v="6"/>
    <s v="Y"/>
    <x v="0"/>
    <n v="21"/>
    <n v="4"/>
    <n v="4"/>
    <n v="80"/>
    <n v="0"/>
    <n v="7"/>
    <n v="3"/>
    <x v="0"/>
    <x v="3"/>
    <x v="2"/>
    <n v="1"/>
  </r>
  <r>
    <s v="RM235"/>
    <n v="33"/>
    <x v="1"/>
    <s v="Yes"/>
    <n v="1"/>
    <s v="Travel_Rarely"/>
    <n v="813"/>
    <x v="0"/>
    <x v="5"/>
    <x v="0"/>
    <x v="1"/>
    <n v="1"/>
    <n v="325"/>
    <x v="0"/>
    <x v="0"/>
    <n v="58"/>
    <n v="3"/>
    <x v="0"/>
    <x v="0"/>
    <x v="2"/>
    <x v="2"/>
    <n v="2436"/>
    <x v="0"/>
    <n v="22149"/>
    <n v="5"/>
    <s v="Y"/>
    <x v="1"/>
    <n v="13"/>
    <n v="3"/>
    <n v="3"/>
    <n v="80"/>
    <n v="1"/>
    <n v="8"/>
    <n v="2"/>
    <x v="2"/>
    <x v="5"/>
    <x v="4"/>
    <n v="0"/>
  </r>
  <r>
    <s v="RM237"/>
    <n v="33"/>
    <x v="1"/>
    <s v="Yes"/>
    <n v="1"/>
    <s v="Travel_Rarely"/>
    <n v="465"/>
    <x v="0"/>
    <x v="7"/>
    <x v="1"/>
    <x v="0"/>
    <n v="1"/>
    <n v="328"/>
    <x v="3"/>
    <x v="1"/>
    <n v="39"/>
    <n v="3"/>
    <x v="0"/>
    <x v="0"/>
    <x v="3"/>
    <x v="2"/>
    <n v="2707"/>
    <x v="0"/>
    <n v="21509"/>
    <n v="7"/>
    <s v="Y"/>
    <x v="0"/>
    <n v="20"/>
    <n v="4"/>
    <n v="1"/>
    <n v="80"/>
    <n v="0"/>
    <n v="13"/>
    <n v="3"/>
    <x v="1"/>
    <x v="9"/>
    <x v="6"/>
    <n v="1"/>
  </r>
  <r>
    <s v="RM247"/>
    <n v="33"/>
    <x v="1"/>
    <s v="No"/>
    <n v="0"/>
    <s v="Travel_Rarely"/>
    <n v="832"/>
    <x v="0"/>
    <x v="2"/>
    <x v="3"/>
    <x v="0"/>
    <n v="1"/>
    <n v="338"/>
    <x v="0"/>
    <x v="1"/>
    <n v="63"/>
    <n v="2"/>
    <x v="0"/>
    <x v="2"/>
    <x v="2"/>
    <x v="2"/>
    <n v="2911"/>
    <x v="0"/>
    <n v="14776"/>
    <n v="1"/>
    <s v="Y"/>
    <x v="0"/>
    <n v="13"/>
    <n v="3"/>
    <n v="3"/>
    <n v="80"/>
    <n v="1"/>
    <n v="2"/>
    <n v="2"/>
    <x v="3"/>
    <x v="2"/>
    <x v="2"/>
    <n v="0"/>
  </r>
  <r>
    <s v="RM314"/>
    <n v="33"/>
    <x v="1"/>
    <s v="No"/>
    <n v="0"/>
    <s v="Travel_Frequently"/>
    <n v="553"/>
    <x v="0"/>
    <x v="2"/>
    <x v="3"/>
    <x v="0"/>
    <n v="1"/>
    <n v="428"/>
    <x v="1"/>
    <x v="1"/>
    <n v="74"/>
    <n v="3"/>
    <x v="2"/>
    <x v="8"/>
    <x v="1"/>
    <x v="2"/>
    <n v="11878"/>
    <x v="2"/>
    <n v="23364"/>
    <n v="6"/>
    <s v="Y"/>
    <x v="0"/>
    <n v="11"/>
    <n v="3"/>
    <n v="2"/>
    <n v="80"/>
    <n v="2"/>
    <n v="12"/>
    <n v="2"/>
    <x v="0"/>
    <x v="10"/>
    <x v="8"/>
    <n v="8"/>
  </r>
  <r>
    <s v="RM329"/>
    <n v="33"/>
    <x v="1"/>
    <s v="No"/>
    <n v="0"/>
    <s v="Travel_Frequently"/>
    <n v="508"/>
    <x v="1"/>
    <x v="1"/>
    <x v="0"/>
    <x v="2"/>
    <n v="1"/>
    <n v="446"/>
    <x v="2"/>
    <x v="0"/>
    <n v="46"/>
    <n v="2"/>
    <x v="1"/>
    <x v="5"/>
    <x v="2"/>
    <x v="0"/>
    <n v="4682"/>
    <x v="0"/>
    <n v="4317"/>
    <n v="3"/>
    <s v="Y"/>
    <x v="0"/>
    <n v="14"/>
    <n v="3"/>
    <n v="3"/>
    <n v="80"/>
    <n v="0"/>
    <n v="9"/>
    <n v="6"/>
    <x v="3"/>
    <x v="7"/>
    <x v="6"/>
    <n v="0"/>
  </r>
  <r>
    <s v="RM364"/>
    <n v="33"/>
    <x v="1"/>
    <s v="Yes"/>
    <n v="1"/>
    <s v="Travel_Rarely"/>
    <n v="350"/>
    <x v="1"/>
    <x v="2"/>
    <x v="0"/>
    <x v="2"/>
    <n v="1"/>
    <n v="485"/>
    <x v="1"/>
    <x v="1"/>
    <n v="34"/>
    <n v="3"/>
    <x v="0"/>
    <x v="1"/>
    <x v="0"/>
    <x v="0"/>
    <n v="2851"/>
    <x v="0"/>
    <n v="9150"/>
    <n v="1"/>
    <s v="Y"/>
    <x v="1"/>
    <n v="13"/>
    <n v="3"/>
    <n v="2"/>
    <n v="80"/>
    <n v="0"/>
    <n v="1"/>
    <n v="2"/>
    <x v="0"/>
    <x v="1"/>
    <x v="0"/>
    <n v="0"/>
  </r>
  <r>
    <s v="RM436"/>
    <n v="33"/>
    <x v="1"/>
    <s v="Yes"/>
    <n v="1"/>
    <s v="Travel_Rarely"/>
    <n v="1277"/>
    <x v="0"/>
    <x v="14"/>
    <x v="2"/>
    <x v="1"/>
    <n v="1"/>
    <n v="582"/>
    <x v="2"/>
    <x v="0"/>
    <n v="56"/>
    <n v="3"/>
    <x v="2"/>
    <x v="8"/>
    <x v="0"/>
    <x v="2"/>
    <n v="13610"/>
    <x v="2"/>
    <n v="24619"/>
    <n v="7"/>
    <s v="Y"/>
    <x v="1"/>
    <n v="12"/>
    <n v="3"/>
    <n v="4"/>
    <n v="80"/>
    <n v="0"/>
    <n v="15"/>
    <n v="2"/>
    <x v="1"/>
    <x v="7"/>
    <x v="8"/>
    <n v="7"/>
  </r>
  <r>
    <s v="RM437"/>
    <n v="33"/>
    <x v="1"/>
    <s v="Yes"/>
    <n v="1"/>
    <s v="Travel_Rarely"/>
    <n v="587"/>
    <x v="0"/>
    <x v="1"/>
    <x v="2"/>
    <x v="1"/>
    <n v="1"/>
    <n v="584"/>
    <x v="3"/>
    <x v="0"/>
    <n v="38"/>
    <n v="1"/>
    <x v="0"/>
    <x v="0"/>
    <x v="2"/>
    <x v="1"/>
    <n v="3408"/>
    <x v="0"/>
    <n v="6705"/>
    <n v="7"/>
    <s v="Y"/>
    <x v="0"/>
    <n v="13"/>
    <n v="3"/>
    <n v="1"/>
    <n v="80"/>
    <n v="3"/>
    <n v="8"/>
    <n v="2"/>
    <x v="0"/>
    <x v="4"/>
    <x v="3"/>
    <n v="1"/>
  </r>
  <r>
    <s v="RM456"/>
    <n v="33"/>
    <x v="1"/>
    <s v="No"/>
    <n v="0"/>
    <s v="Travel_Rarely"/>
    <n v="922"/>
    <x v="0"/>
    <x v="4"/>
    <x v="4"/>
    <x v="1"/>
    <n v="1"/>
    <n v="612"/>
    <x v="3"/>
    <x v="1"/>
    <n v="95"/>
    <n v="4"/>
    <x v="3"/>
    <x v="7"/>
    <x v="0"/>
    <x v="1"/>
    <n v="16184"/>
    <x v="3"/>
    <n v="22578"/>
    <n v="4"/>
    <s v="Y"/>
    <x v="0"/>
    <n v="19"/>
    <n v="3"/>
    <n v="3"/>
    <n v="80"/>
    <n v="1"/>
    <n v="10"/>
    <n v="2"/>
    <x v="0"/>
    <x v="6"/>
    <x v="1"/>
    <n v="0"/>
  </r>
  <r>
    <s v="RM500"/>
    <n v="33"/>
    <x v="1"/>
    <s v="No"/>
    <n v="0"/>
    <s v="Travel_Rarely"/>
    <n v="1216"/>
    <x v="1"/>
    <x v="3"/>
    <x v="3"/>
    <x v="2"/>
    <n v="1"/>
    <n v="677"/>
    <x v="0"/>
    <x v="0"/>
    <n v="39"/>
    <n v="3"/>
    <x v="1"/>
    <x v="5"/>
    <x v="0"/>
    <x v="1"/>
    <n v="7104"/>
    <x v="1"/>
    <n v="20431"/>
    <n v="0"/>
    <s v="Y"/>
    <x v="0"/>
    <n v="12"/>
    <n v="3"/>
    <n v="4"/>
    <n v="80"/>
    <n v="0"/>
    <n v="6"/>
    <n v="3"/>
    <x v="0"/>
    <x v="5"/>
    <x v="0"/>
    <n v="1"/>
  </r>
  <r>
    <s v="RM510"/>
    <n v="33"/>
    <x v="1"/>
    <s v="No"/>
    <n v="0"/>
    <s v="Travel_Frequently"/>
    <n v="1296"/>
    <x v="0"/>
    <x v="11"/>
    <x v="0"/>
    <x v="0"/>
    <n v="1"/>
    <n v="692"/>
    <x v="0"/>
    <x v="0"/>
    <n v="30"/>
    <n v="3"/>
    <x v="1"/>
    <x v="6"/>
    <x v="2"/>
    <x v="1"/>
    <n v="7725"/>
    <x v="1"/>
    <n v="5335"/>
    <n v="3"/>
    <s v="Y"/>
    <x v="0"/>
    <n v="23"/>
    <n v="4"/>
    <n v="3"/>
    <n v="80"/>
    <n v="1"/>
    <n v="15"/>
    <n v="2"/>
    <x v="2"/>
    <x v="13"/>
    <x v="14"/>
    <n v="4"/>
  </r>
  <r>
    <s v="RM515"/>
    <n v="33"/>
    <x v="1"/>
    <s v="Yes"/>
    <n v="1"/>
    <s v="Travel_Frequently"/>
    <n v="1076"/>
    <x v="0"/>
    <x v="0"/>
    <x v="0"/>
    <x v="0"/>
    <n v="1"/>
    <n v="702"/>
    <x v="3"/>
    <x v="0"/>
    <n v="70"/>
    <n v="3"/>
    <x v="0"/>
    <x v="2"/>
    <x v="3"/>
    <x v="0"/>
    <n v="3348"/>
    <x v="0"/>
    <n v="3164"/>
    <n v="1"/>
    <s v="Y"/>
    <x v="1"/>
    <n v="11"/>
    <n v="3"/>
    <n v="1"/>
    <n v="80"/>
    <n v="0"/>
    <n v="10"/>
    <n v="3"/>
    <x v="0"/>
    <x v="10"/>
    <x v="7"/>
    <n v="9"/>
  </r>
  <r>
    <s v="RM563"/>
    <n v="33"/>
    <x v="1"/>
    <s v="Yes"/>
    <n v="1"/>
    <s v="Travel_Rarely"/>
    <n v="527"/>
    <x v="0"/>
    <x v="4"/>
    <x v="3"/>
    <x v="4"/>
    <n v="1"/>
    <n v="780"/>
    <x v="1"/>
    <x v="0"/>
    <n v="63"/>
    <n v="3"/>
    <x v="0"/>
    <x v="2"/>
    <x v="2"/>
    <x v="0"/>
    <n v="2686"/>
    <x v="0"/>
    <n v="5207"/>
    <n v="1"/>
    <s v="Y"/>
    <x v="1"/>
    <n v="13"/>
    <n v="3"/>
    <n v="3"/>
    <n v="80"/>
    <n v="0"/>
    <n v="10"/>
    <n v="2"/>
    <x v="3"/>
    <x v="10"/>
    <x v="9"/>
    <n v="7"/>
  </r>
  <r>
    <s v="RM591"/>
    <n v="33"/>
    <x v="1"/>
    <s v="No"/>
    <n v="0"/>
    <s v="Travel_Rarely"/>
    <n v="213"/>
    <x v="0"/>
    <x v="17"/>
    <x v="0"/>
    <x v="1"/>
    <n v="1"/>
    <n v="817"/>
    <x v="0"/>
    <x v="0"/>
    <n v="49"/>
    <n v="3"/>
    <x v="2"/>
    <x v="7"/>
    <x v="0"/>
    <x v="2"/>
    <n v="11691"/>
    <x v="2"/>
    <n v="25995"/>
    <n v="0"/>
    <s v="Y"/>
    <x v="0"/>
    <n v="11"/>
    <n v="3"/>
    <n v="4"/>
    <n v="80"/>
    <n v="0"/>
    <n v="14"/>
    <n v="3"/>
    <x v="1"/>
    <x v="13"/>
    <x v="9"/>
    <n v="3"/>
  </r>
  <r>
    <s v="RM592"/>
    <n v="33"/>
    <x v="1"/>
    <s v="Yes"/>
    <n v="1"/>
    <s v="Travel_Rarely"/>
    <n v="118"/>
    <x v="1"/>
    <x v="18"/>
    <x v="0"/>
    <x v="2"/>
    <n v="1"/>
    <n v="819"/>
    <x v="3"/>
    <x v="1"/>
    <n v="69"/>
    <n v="3"/>
    <x v="1"/>
    <x v="5"/>
    <x v="3"/>
    <x v="0"/>
    <n v="5324"/>
    <x v="1"/>
    <n v="26507"/>
    <n v="5"/>
    <s v="Y"/>
    <x v="0"/>
    <n v="15"/>
    <n v="3"/>
    <n v="3"/>
    <n v="80"/>
    <n v="0"/>
    <n v="6"/>
    <n v="3"/>
    <x v="0"/>
    <x v="3"/>
    <x v="2"/>
    <n v="0"/>
  </r>
  <r>
    <s v="RM620"/>
    <n v="33"/>
    <x v="1"/>
    <s v="No"/>
    <n v="0"/>
    <s v="Travel_Rarely"/>
    <n v="586"/>
    <x v="1"/>
    <x v="4"/>
    <x v="0"/>
    <x v="1"/>
    <n v="1"/>
    <n v="855"/>
    <x v="3"/>
    <x v="0"/>
    <n v="48"/>
    <n v="4"/>
    <x v="1"/>
    <x v="5"/>
    <x v="3"/>
    <x v="1"/>
    <n v="4037"/>
    <x v="0"/>
    <n v="21816"/>
    <n v="1"/>
    <s v="Y"/>
    <x v="0"/>
    <n v="22"/>
    <n v="4"/>
    <n v="1"/>
    <n v="80"/>
    <n v="1"/>
    <n v="9"/>
    <n v="5"/>
    <x v="0"/>
    <x v="9"/>
    <x v="7"/>
    <n v="0"/>
  </r>
  <r>
    <s v="RM656"/>
    <n v="33"/>
    <x v="1"/>
    <s v="No"/>
    <n v="0"/>
    <s v="Travel_Rarely"/>
    <n v="1075"/>
    <x v="2"/>
    <x v="0"/>
    <x v="1"/>
    <x v="5"/>
    <n v="1"/>
    <n v="910"/>
    <x v="1"/>
    <x v="0"/>
    <n v="57"/>
    <n v="3"/>
    <x v="0"/>
    <x v="3"/>
    <x v="1"/>
    <x v="1"/>
    <n v="2277"/>
    <x v="0"/>
    <n v="22650"/>
    <n v="3"/>
    <s v="Y"/>
    <x v="1"/>
    <n v="11"/>
    <n v="3"/>
    <n v="3"/>
    <n v="80"/>
    <n v="1"/>
    <n v="7"/>
    <n v="4"/>
    <x v="1"/>
    <x v="4"/>
    <x v="3"/>
    <n v="0"/>
  </r>
  <r>
    <s v="RM674"/>
    <n v="33"/>
    <x v="1"/>
    <s v="No"/>
    <n v="0"/>
    <s v="Travel_Rarely"/>
    <n v="1198"/>
    <x v="0"/>
    <x v="4"/>
    <x v="3"/>
    <x v="4"/>
    <n v="1"/>
    <n v="939"/>
    <x v="0"/>
    <x v="0"/>
    <n v="100"/>
    <n v="2"/>
    <x v="0"/>
    <x v="2"/>
    <x v="3"/>
    <x v="0"/>
    <n v="2799"/>
    <x v="0"/>
    <n v="3339"/>
    <n v="3"/>
    <s v="Y"/>
    <x v="1"/>
    <n v="11"/>
    <n v="3"/>
    <n v="2"/>
    <n v="80"/>
    <n v="0"/>
    <n v="6"/>
    <n v="1"/>
    <x v="0"/>
    <x v="3"/>
    <x v="2"/>
    <n v="0"/>
  </r>
  <r>
    <s v="RM695"/>
    <n v="33"/>
    <x v="1"/>
    <s v="No"/>
    <n v="0"/>
    <s v="Travel_Rarely"/>
    <n v="1069"/>
    <x v="0"/>
    <x v="4"/>
    <x v="0"/>
    <x v="0"/>
    <n v="1"/>
    <n v="969"/>
    <x v="2"/>
    <x v="1"/>
    <n v="42"/>
    <n v="2"/>
    <x v="1"/>
    <x v="6"/>
    <x v="2"/>
    <x v="0"/>
    <n v="6949"/>
    <x v="1"/>
    <n v="12291"/>
    <n v="0"/>
    <s v="Y"/>
    <x v="0"/>
    <n v="14"/>
    <n v="3"/>
    <n v="1"/>
    <n v="80"/>
    <n v="0"/>
    <n v="6"/>
    <n v="3"/>
    <x v="0"/>
    <x v="5"/>
    <x v="0"/>
    <n v="1"/>
  </r>
  <r>
    <s v="RM711"/>
    <n v="33"/>
    <x v="1"/>
    <s v="No"/>
    <n v="0"/>
    <s v="Non-Travel"/>
    <n v="722"/>
    <x v="1"/>
    <x v="24"/>
    <x v="0"/>
    <x v="0"/>
    <n v="1"/>
    <n v="992"/>
    <x v="1"/>
    <x v="0"/>
    <n v="38"/>
    <n v="3"/>
    <x v="3"/>
    <x v="8"/>
    <x v="0"/>
    <x v="0"/>
    <n v="17444"/>
    <x v="3"/>
    <n v="20489"/>
    <n v="1"/>
    <s v="Y"/>
    <x v="0"/>
    <n v="11"/>
    <n v="3"/>
    <n v="4"/>
    <n v="80"/>
    <n v="0"/>
    <n v="10"/>
    <n v="2"/>
    <x v="0"/>
    <x v="10"/>
    <x v="7"/>
    <n v="6"/>
  </r>
  <r>
    <s v="RM713"/>
    <n v="33"/>
    <x v="1"/>
    <s v="No"/>
    <n v="0"/>
    <s v="Travel_Rarely"/>
    <n v="461"/>
    <x v="0"/>
    <x v="25"/>
    <x v="2"/>
    <x v="0"/>
    <n v="1"/>
    <n v="995"/>
    <x v="2"/>
    <x v="1"/>
    <n v="53"/>
    <n v="3"/>
    <x v="0"/>
    <x v="2"/>
    <x v="2"/>
    <x v="0"/>
    <n v="3452"/>
    <x v="0"/>
    <n v="17241"/>
    <n v="3"/>
    <s v="Y"/>
    <x v="0"/>
    <n v="18"/>
    <n v="3"/>
    <n v="1"/>
    <n v="80"/>
    <n v="0"/>
    <n v="5"/>
    <n v="4"/>
    <x v="0"/>
    <x v="3"/>
    <x v="2"/>
    <n v="0"/>
  </r>
  <r>
    <s v="RM716"/>
    <n v="33"/>
    <x v="1"/>
    <s v="No"/>
    <n v="0"/>
    <s v="Travel_Frequently"/>
    <n v="827"/>
    <x v="0"/>
    <x v="4"/>
    <x v="3"/>
    <x v="4"/>
    <n v="1"/>
    <n v="998"/>
    <x v="0"/>
    <x v="1"/>
    <n v="84"/>
    <n v="4"/>
    <x v="1"/>
    <x v="6"/>
    <x v="1"/>
    <x v="2"/>
    <n v="5488"/>
    <x v="1"/>
    <n v="20161"/>
    <n v="1"/>
    <s v="Y"/>
    <x v="1"/>
    <n v="13"/>
    <n v="3"/>
    <n v="1"/>
    <n v="80"/>
    <n v="1"/>
    <n v="6"/>
    <n v="2"/>
    <x v="0"/>
    <x v="6"/>
    <x v="5"/>
    <n v="1"/>
  </r>
  <r>
    <s v="RM755"/>
    <n v="33"/>
    <x v="1"/>
    <s v="No"/>
    <n v="0"/>
    <s v="Non-Travel"/>
    <n v="1038"/>
    <x v="1"/>
    <x v="3"/>
    <x v="2"/>
    <x v="0"/>
    <n v="1"/>
    <n v="1044"/>
    <x v="2"/>
    <x v="1"/>
    <n v="88"/>
    <n v="2"/>
    <x v="0"/>
    <x v="1"/>
    <x v="2"/>
    <x v="0"/>
    <n v="2342"/>
    <x v="0"/>
    <n v="21437"/>
    <n v="0"/>
    <s v="Y"/>
    <x v="0"/>
    <n v="19"/>
    <n v="3"/>
    <n v="4"/>
    <n v="80"/>
    <n v="0"/>
    <n v="3"/>
    <n v="2"/>
    <x v="3"/>
    <x v="2"/>
    <x v="2"/>
    <n v="2"/>
  </r>
  <r>
    <s v="RM791"/>
    <n v="33"/>
    <x v="1"/>
    <s v="No"/>
    <n v="0"/>
    <s v="Travel_Rarely"/>
    <n v="654"/>
    <x v="0"/>
    <x v="2"/>
    <x v="0"/>
    <x v="0"/>
    <n v="1"/>
    <n v="1099"/>
    <x v="1"/>
    <x v="0"/>
    <n v="34"/>
    <n v="2"/>
    <x v="2"/>
    <x v="6"/>
    <x v="2"/>
    <x v="1"/>
    <n v="7119"/>
    <x v="1"/>
    <n v="21214"/>
    <n v="4"/>
    <s v="Y"/>
    <x v="0"/>
    <n v="15"/>
    <n v="3"/>
    <n v="3"/>
    <n v="80"/>
    <n v="1"/>
    <n v="9"/>
    <n v="2"/>
    <x v="0"/>
    <x v="3"/>
    <x v="2"/>
    <n v="1"/>
  </r>
  <r>
    <s v="RM793"/>
    <n v="33"/>
    <x v="1"/>
    <s v="Yes"/>
    <n v="1"/>
    <s v="Travel_Frequently"/>
    <n v="827"/>
    <x v="0"/>
    <x v="26"/>
    <x v="3"/>
    <x v="1"/>
    <n v="1"/>
    <n v="1101"/>
    <x v="3"/>
    <x v="1"/>
    <n v="54"/>
    <n v="2"/>
    <x v="1"/>
    <x v="2"/>
    <x v="0"/>
    <x v="0"/>
    <n v="4508"/>
    <x v="0"/>
    <n v="3129"/>
    <n v="1"/>
    <s v="Y"/>
    <x v="0"/>
    <n v="22"/>
    <n v="4"/>
    <n v="2"/>
    <n v="80"/>
    <n v="0"/>
    <n v="14"/>
    <n v="4"/>
    <x v="0"/>
    <x v="13"/>
    <x v="6"/>
    <n v="3"/>
  </r>
  <r>
    <s v="RM799"/>
    <n v="33"/>
    <x v="1"/>
    <s v="Yes"/>
    <n v="1"/>
    <s v="Travel_Rarely"/>
    <n v="1017"/>
    <x v="0"/>
    <x v="10"/>
    <x v="0"/>
    <x v="1"/>
    <n v="1"/>
    <n v="1108"/>
    <x v="3"/>
    <x v="0"/>
    <n v="55"/>
    <n v="2"/>
    <x v="0"/>
    <x v="2"/>
    <x v="1"/>
    <x v="0"/>
    <n v="2313"/>
    <x v="0"/>
    <n v="2993"/>
    <n v="4"/>
    <s v="Y"/>
    <x v="1"/>
    <n v="20"/>
    <n v="4"/>
    <n v="2"/>
    <n v="80"/>
    <n v="0"/>
    <n v="5"/>
    <n v="0"/>
    <x v="0"/>
    <x v="2"/>
    <x v="2"/>
    <n v="2"/>
  </r>
  <r>
    <s v="RM803"/>
    <n v="33"/>
    <x v="1"/>
    <s v="No"/>
    <n v="0"/>
    <s v="Travel_Frequently"/>
    <n v="970"/>
    <x v="1"/>
    <x v="17"/>
    <x v="0"/>
    <x v="0"/>
    <n v="1"/>
    <n v="1114"/>
    <x v="1"/>
    <x v="1"/>
    <n v="30"/>
    <n v="3"/>
    <x v="1"/>
    <x v="5"/>
    <x v="1"/>
    <x v="2"/>
    <n v="4302"/>
    <x v="0"/>
    <n v="13401"/>
    <n v="0"/>
    <s v="Y"/>
    <x v="0"/>
    <n v="17"/>
    <n v="3"/>
    <n v="3"/>
    <n v="80"/>
    <n v="1"/>
    <n v="4"/>
    <n v="3"/>
    <x v="0"/>
    <x v="3"/>
    <x v="2"/>
    <n v="0"/>
  </r>
  <r>
    <s v="RM830"/>
    <n v="33"/>
    <x v="1"/>
    <s v="Yes"/>
    <n v="1"/>
    <s v="Travel_Rarely"/>
    <n v="603"/>
    <x v="1"/>
    <x v="9"/>
    <x v="3"/>
    <x v="2"/>
    <n v="1"/>
    <n v="1157"/>
    <x v="3"/>
    <x v="1"/>
    <n v="77"/>
    <n v="3"/>
    <x v="1"/>
    <x v="5"/>
    <x v="3"/>
    <x v="0"/>
    <n v="8224"/>
    <x v="1"/>
    <n v="18385"/>
    <n v="0"/>
    <s v="Y"/>
    <x v="1"/>
    <n v="17"/>
    <n v="3"/>
    <n v="1"/>
    <n v="80"/>
    <n v="0"/>
    <n v="6"/>
    <n v="3"/>
    <x v="0"/>
    <x v="5"/>
    <x v="2"/>
    <n v="0"/>
  </r>
  <r>
    <s v="RM864"/>
    <n v="33"/>
    <x v="1"/>
    <s v="No"/>
    <n v="0"/>
    <s v="Travel_Rarely"/>
    <n v="147"/>
    <x v="2"/>
    <x v="7"/>
    <x v="0"/>
    <x v="5"/>
    <n v="1"/>
    <n v="1207"/>
    <x v="2"/>
    <x v="0"/>
    <n v="99"/>
    <n v="3"/>
    <x v="0"/>
    <x v="3"/>
    <x v="0"/>
    <x v="2"/>
    <n v="3600"/>
    <x v="0"/>
    <n v="8429"/>
    <n v="1"/>
    <s v="Y"/>
    <x v="0"/>
    <n v="13"/>
    <n v="3"/>
    <n v="4"/>
    <n v="80"/>
    <n v="1"/>
    <n v="5"/>
    <n v="2"/>
    <x v="0"/>
    <x v="5"/>
    <x v="4"/>
    <n v="1"/>
  </r>
  <r>
    <s v="RM873"/>
    <n v="33"/>
    <x v="1"/>
    <s v="No"/>
    <n v="0"/>
    <s v="Travel_Frequently"/>
    <n v="1146"/>
    <x v="1"/>
    <x v="10"/>
    <x v="0"/>
    <x v="1"/>
    <n v="1"/>
    <n v="1220"/>
    <x v="2"/>
    <x v="1"/>
    <n v="82"/>
    <n v="3"/>
    <x v="1"/>
    <x v="5"/>
    <x v="0"/>
    <x v="2"/>
    <n v="4539"/>
    <x v="0"/>
    <n v="4905"/>
    <n v="1"/>
    <s v="Y"/>
    <x v="0"/>
    <n v="12"/>
    <n v="3"/>
    <n v="1"/>
    <n v="80"/>
    <n v="1"/>
    <n v="10"/>
    <n v="3"/>
    <x v="3"/>
    <x v="10"/>
    <x v="6"/>
    <n v="0"/>
  </r>
  <r>
    <s v="RM884"/>
    <n v="33"/>
    <x v="1"/>
    <s v="No"/>
    <n v="0"/>
    <s v="Travel_Rarely"/>
    <n v="117"/>
    <x v="0"/>
    <x v="9"/>
    <x v="0"/>
    <x v="1"/>
    <n v="1"/>
    <n v="1238"/>
    <x v="3"/>
    <x v="0"/>
    <n v="60"/>
    <n v="3"/>
    <x v="0"/>
    <x v="2"/>
    <x v="2"/>
    <x v="2"/>
    <n v="2781"/>
    <x v="0"/>
    <n v="6311"/>
    <n v="0"/>
    <s v="Y"/>
    <x v="0"/>
    <n v="13"/>
    <n v="3"/>
    <n v="2"/>
    <n v="80"/>
    <n v="1"/>
    <n v="15"/>
    <n v="5"/>
    <x v="0"/>
    <x v="14"/>
    <x v="10"/>
    <n v="4"/>
  </r>
  <r>
    <s v="RM909"/>
    <n v="33"/>
    <x v="1"/>
    <s v="No"/>
    <n v="0"/>
    <s v="Travel_Rarely"/>
    <n v="536"/>
    <x v="1"/>
    <x v="1"/>
    <x v="4"/>
    <x v="2"/>
    <n v="1"/>
    <n v="1268"/>
    <x v="1"/>
    <x v="0"/>
    <n v="82"/>
    <n v="4"/>
    <x v="2"/>
    <x v="5"/>
    <x v="0"/>
    <x v="1"/>
    <n v="8380"/>
    <x v="1"/>
    <n v="21708"/>
    <n v="0"/>
    <s v="Y"/>
    <x v="1"/>
    <n v="14"/>
    <n v="3"/>
    <n v="4"/>
    <n v="80"/>
    <n v="2"/>
    <n v="10"/>
    <n v="3"/>
    <x v="0"/>
    <x v="9"/>
    <x v="7"/>
    <n v="0"/>
  </r>
  <r>
    <s v="RM991"/>
    <n v="33"/>
    <x v="1"/>
    <s v="No"/>
    <n v="0"/>
    <s v="Travel_Frequently"/>
    <n v="1111"/>
    <x v="1"/>
    <x v="2"/>
    <x v="2"/>
    <x v="0"/>
    <n v="1"/>
    <n v="1395"/>
    <x v="2"/>
    <x v="0"/>
    <n v="61"/>
    <n v="3"/>
    <x v="1"/>
    <x v="5"/>
    <x v="2"/>
    <x v="2"/>
    <n v="9998"/>
    <x v="1"/>
    <n v="19293"/>
    <n v="6"/>
    <s v="Y"/>
    <x v="0"/>
    <n v="13"/>
    <n v="3"/>
    <n v="1"/>
    <n v="80"/>
    <n v="0"/>
    <n v="8"/>
    <n v="2"/>
    <x v="1"/>
    <x v="5"/>
    <x v="4"/>
    <n v="1"/>
  </r>
  <r>
    <s v="RM1048"/>
    <n v="33"/>
    <x v="1"/>
    <s v="No"/>
    <n v="0"/>
    <s v="Travel_Frequently"/>
    <n v="430"/>
    <x v="1"/>
    <x v="17"/>
    <x v="0"/>
    <x v="1"/>
    <n v="1"/>
    <n v="1477"/>
    <x v="1"/>
    <x v="0"/>
    <n v="54"/>
    <n v="3"/>
    <x v="1"/>
    <x v="5"/>
    <x v="3"/>
    <x v="2"/>
    <n v="4373"/>
    <x v="0"/>
    <n v="17456"/>
    <n v="0"/>
    <s v="Y"/>
    <x v="0"/>
    <n v="14"/>
    <n v="3"/>
    <n v="1"/>
    <n v="80"/>
    <n v="2"/>
    <n v="5"/>
    <n v="2"/>
    <x v="0"/>
    <x v="4"/>
    <x v="3"/>
    <n v="0"/>
  </r>
  <r>
    <s v="RM1067"/>
    <n v="33"/>
    <x v="1"/>
    <s v="No"/>
    <n v="0"/>
    <s v="Travel_Rarely"/>
    <n v="1099"/>
    <x v="0"/>
    <x v="12"/>
    <x v="3"/>
    <x v="1"/>
    <n v="1"/>
    <n v="1502"/>
    <x v="3"/>
    <x v="1"/>
    <n v="82"/>
    <n v="2"/>
    <x v="0"/>
    <x v="0"/>
    <x v="1"/>
    <x v="2"/>
    <n v="3838"/>
    <x v="0"/>
    <n v="8192"/>
    <n v="8"/>
    <s v="Y"/>
    <x v="0"/>
    <n v="11"/>
    <n v="3"/>
    <n v="4"/>
    <n v="80"/>
    <n v="0"/>
    <n v="8"/>
    <n v="5"/>
    <x v="0"/>
    <x v="5"/>
    <x v="4"/>
    <n v="0"/>
  </r>
  <r>
    <s v="RM1075"/>
    <n v="33"/>
    <x v="1"/>
    <s v="No"/>
    <n v="0"/>
    <s v="Travel_Rarely"/>
    <n v="516"/>
    <x v="0"/>
    <x v="3"/>
    <x v="4"/>
    <x v="0"/>
    <n v="1"/>
    <n v="1515"/>
    <x v="1"/>
    <x v="0"/>
    <n v="69"/>
    <n v="3"/>
    <x v="1"/>
    <x v="6"/>
    <x v="0"/>
    <x v="0"/>
    <n v="6388"/>
    <x v="1"/>
    <n v="22049"/>
    <n v="2"/>
    <s v="Y"/>
    <x v="1"/>
    <n v="17"/>
    <n v="3"/>
    <n v="1"/>
    <n v="80"/>
    <n v="0"/>
    <n v="14"/>
    <n v="6"/>
    <x v="0"/>
    <x v="0"/>
    <x v="0"/>
    <n v="0"/>
  </r>
  <r>
    <s v="RM1092"/>
    <n v="33"/>
    <x v="1"/>
    <s v="No"/>
    <n v="0"/>
    <s v="Travel_Rarely"/>
    <n v="575"/>
    <x v="0"/>
    <x v="10"/>
    <x v="0"/>
    <x v="0"/>
    <n v="1"/>
    <n v="1545"/>
    <x v="1"/>
    <x v="0"/>
    <n v="44"/>
    <n v="2"/>
    <x v="1"/>
    <x v="4"/>
    <x v="1"/>
    <x v="0"/>
    <n v="4320"/>
    <x v="0"/>
    <n v="24152"/>
    <n v="1"/>
    <s v="Y"/>
    <x v="0"/>
    <n v="13"/>
    <n v="3"/>
    <n v="4"/>
    <n v="80"/>
    <n v="0"/>
    <n v="5"/>
    <n v="2"/>
    <x v="0"/>
    <x v="5"/>
    <x v="3"/>
    <n v="0"/>
  </r>
  <r>
    <s v="RM1096"/>
    <n v="33"/>
    <x v="1"/>
    <s v="No"/>
    <n v="0"/>
    <s v="Travel_Rarely"/>
    <n v="589"/>
    <x v="0"/>
    <x v="27"/>
    <x v="3"/>
    <x v="0"/>
    <n v="1"/>
    <n v="1549"/>
    <x v="2"/>
    <x v="0"/>
    <n v="79"/>
    <n v="3"/>
    <x v="1"/>
    <x v="0"/>
    <x v="0"/>
    <x v="2"/>
    <n v="5207"/>
    <x v="1"/>
    <n v="22949"/>
    <n v="1"/>
    <s v="Y"/>
    <x v="1"/>
    <n v="12"/>
    <n v="3"/>
    <n v="2"/>
    <n v="80"/>
    <n v="1"/>
    <n v="15"/>
    <n v="3"/>
    <x v="0"/>
    <x v="15"/>
    <x v="13"/>
    <n v="5"/>
  </r>
  <r>
    <s v="RM1106"/>
    <n v="33"/>
    <x v="1"/>
    <s v="No"/>
    <n v="0"/>
    <s v="Travel_Rarely"/>
    <n v="1242"/>
    <x v="1"/>
    <x v="3"/>
    <x v="3"/>
    <x v="0"/>
    <n v="1"/>
    <n v="1560"/>
    <x v="3"/>
    <x v="0"/>
    <n v="46"/>
    <n v="3"/>
    <x v="1"/>
    <x v="5"/>
    <x v="3"/>
    <x v="2"/>
    <n v="6392"/>
    <x v="1"/>
    <n v="10589"/>
    <n v="2"/>
    <s v="Y"/>
    <x v="0"/>
    <n v="13"/>
    <n v="3"/>
    <n v="4"/>
    <n v="80"/>
    <n v="1"/>
    <n v="8"/>
    <n v="6"/>
    <x v="2"/>
    <x v="2"/>
    <x v="2"/>
    <n v="2"/>
  </r>
  <r>
    <s v="RM1190"/>
    <n v="33"/>
    <x v="1"/>
    <s v="No"/>
    <n v="0"/>
    <s v="Travel_Rarely"/>
    <n v="392"/>
    <x v="1"/>
    <x v="7"/>
    <x v="3"/>
    <x v="1"/>
    <n v="1"/>
    <n v="1670"/>
    <x v="1"/>
    <x v="0"/>
    <n v="93"/>
    <n v="3"/>
    <x v="1"/>
    <x v="5"/>
    <x v="2"/>
    <x v="1"/>
    <n v="5505"/>
    <x v="1"/>
    <n v="3921"/>
    <n v="1"/>
    <s v="Y"/>
    <x v="0"/>
    <n v="14"/>
    <n v="3"/>
    <n v="3"/>
    <n v="80"/>
    <n v="2"/>
    <n v="6"/>
    <n v="5"/>
    <x v="0"/>
    <x v="6"/>
    <x v="2"/>
    <n v="0"/>
  </r>
  <r>
    <s v="RM1199"/>
    <n v="33"/>
    <x v="1"/>
    <s v="No"/>
    <n v="0"/>
    <s v="Non-Travel"/>
    <n v="530"/>
    <x v="1"/>
    <x v="18"/>
    <x v="0"/>
    <x v="0"/>
    <n v="1"/>
    <n v="1681"/>
    <x v="0"/>
    <x v="1"/>
    <n v="36"/>
    <n v="3"/>
    <x v="1"/>
    <x v="5"/>
    <x v="2"/>
    <x v="1"/>
    <n v="5368"/>
    <x v="1"/>
    <n v="16130"/>
    <n v="1"/>
    <s v="Y"/>
    <x v="1"/>
    <n v="25"/>
    <n v="4"/>
    <n v="3"/>
    <n v="80"/>
    <n v="1"/>
    <n v="7"/>
    <n v="2"/>
    <x v="0"/>
    <x v="6"/>
    <x v="5"/>
    <n v="1"/>
  </r>
  <r>
    <s v="RM1211"/>
    <n v="33"/>
    <x v="1"/>
    <s v="No"/>
    <n v="0"/>
    <s v="Travel_Rarely"/>
    <n v="267"/>
    <x v="0"/>
    <x v="8"/>
    <x v="0"/>
    <x v="1"/>
    <n v="1"/>
    <n v="1698"/>
    <x v="2"/>
    <x v="0"/>
    <n v="79"/>
    <n v="4"/>
    <x v="0"/>
    <x v="0"/>
    <x v="1"/>
    <x v="2"/>
    <n v="2028"/>
    <x v="0"/>
    <n v="13637"/>
    <n v="1"/>
    <s v="Y"/>
    <x v="0"/>
    <n v="18"/>
    <n v="3"/>
    <n v="4"/>
    <n v="80"/>
    <n v="3"/>
    <n v="14"/>
    <n v="6"/>
    <x v="0"/>
    <x v="14"/>
    <x v="14"/>
    <n v="2"/>
  </r>
  <r>
    <s v="RM1254"/>
    <n v="33"/>
    <x v="1"/>
    <s v="No"/>
    <n v="0"/>
    <s v="Non-Travel"/>
    <n v="1283"/>
    <x v="1"/>
    <x v="7"/>
    <x v="0"/>
    <x v="2"/>
    <n v="1"/>
    <n v="1756"/>
    <x v="1"/>
    <x v="1"/>
    <n v="62"/>
    <n v="3"/>
    <x v="1"/>
    <x v="5"/>
    <x v="1"/>
    <x v="0"/>
    <n v="5147"/>
    <x v="1"/>
    <n v="10697"/>
    <n v="8"/>
    <s v="Y"/>
    <x v="0"/>
    <n v="15"/>
    <n v="3"/>
    <n v="4"/>
    <n v="80"/>
    <n v="0"/>
    <n v="13"/>
    <n v="2"/>
    <x v="3"/>
    <x v="11"/>
    <x v="6"/>
    <n v="1"/>
  </r>
  <r>
    <s v="RM1256"/>
    <n v="33"/>
    <x v="1"/>
    <s v="Yes"/>
    <n v="1"/>
    <s v="Travel_Rarely"/>
    <n v="211"/>
    <x v="1"/>
    <x v="18"/>
    <x v="0"/>
    <x v="0"/>
    <n v="1"/>
    <n v="1758"/>
    <x v="3"/>
    <x v="1"/>
    <n v="74"/>
    <n v="3"/>
    <x v="2"/>
    <x v="5"/>
    <x v="3"/>
    <x v="0"/>
    <n v="8564"/>
    <x v="1"/>
    <n v="10092"/>
    <n v="2"/>
    <s v="Y"/>
    <x v="1"/>
    <n v="20"/>
    <n v="4"/>
    <n v="3"/>
    <n v="80"/>
    <n v="0"/>
    <n v="11"/>
    <n v="2"/>
    <x v="3"/>
    <x v="0"/>
    <x v="0"/>
    <n v="0"/>
  </r>
  <r>
    <s v="RM1266"/>
    <n v="33"/>
    <x v="1"/>
    <s v="No"/>
    <n v="0"/>
    <s v="Non-Travel"/>
    <n v="775"/>
    <x v="0"/>
    <x v="12"/>
    <x v="0"/>
    <x v="3"/>
    <n v="1"/>
    <n v="1771"/>
    <x v="1"/>
    <x v="0"/>
    <n v="90"/>
    <n v="3"/>
    <x v="1"/>
    <x v="2"/>
    <x v="1"/>
    <x v="1"/>
    <n v="3055"/>
    <x v="0"/>
    <n v="6194"/>
    <n v="5"/>
    <s v="Y"/>
    <x v="0"/>
    <n v="15"/>
    <n v="3"/>
    <n v="4"/>
    <n v="80"/>
    <n v="2"/>
    <n v="11"/>
    <n v="2"/>
    <x v="3"/>
    <x v="9"/>
    <x v="7"/>
    <n v="1"/>
  </r>
  <r>
    <s v="RM1283"/>
    <n v="33"/>
    <x v="1"/>
    <s v="No"/>
    <n v="0"/>
    <s v="Travel_Rarely"/>
    <n v="867"/>
    <x v="0"/>
    <x v="3"/>
    <x v="3"/>
    <x v="0"/>
    <n v="1"/>
    <n v="1798"/>
    <x v="1"/>
    <x v="0"/>
    <n v="90"/>
    <n v="4"/>
    <x v="0"/>
    <x v="2"/>
    <x v="3"/>
    <x v="2"/>
    <n v="3143"/>
    <x v="0"/>
    <n v="6076"/>
    <n v="6"/>
    <s v="Y"/>
    <x v="0"/>
    <n v="19"/>
    <n v="3"/>
    <n v="2"/>
    <n v="80"/>
    <n v="1"/>
    <n v="14"/>
    <n v="1"/>
    <x v="0"/>
    <x v="10"/>
    <x v="7"/>
    <n v="7"/>
  </r>
  <r>
    <s v="RM1364"/>
    <n v="33"/>
    <x v="1"/>
    <s v="No"/>
    <n v="0"/>
    <s v="Travel_Rarely"/>
    <n v="217"/>
    <x v="1"/>
    <x v="1"/>
    <x v="3"/>
    <x v="2"/>
    <n v="1"/>
    <n v="1924"/>
    <x v="2"/>
    <x v="0"/>
    <n v="43"/>
    <n v="3"/>
    <x v="1"/>
    <x v="5"/>
    <x v="0"/>
    <x v="0"/>
    <n v="5487"/>
    <x v="1"/>
    <n v="10410"/>
    <n v="1"/>
    <s v="Y"/>
    <x v="0"/>
    <n v="14"/>
    <n v="3"/>
    <n v="2"/>
    <n v="80"/>
    <n v="0"/>
    <n v="10"/>
    <n v="2"/>
    <x v="3"/>
    <x v="10"/>
    <x v="4"/>
    <n v="0"/>
  </r>
  <r>
    <s v="RM1399"/>
    <n v="33"/>
    <x v="1"/>
    <s v="No"/>
    <n v="0"/>
    <s v="Travel_Frequently"/>
    <n v="1303"/>
    <x v="0"/>
    <x v="17"/>
    <x v="1"/>
    <x v="0"/>
    <n v="1"/>
    <n v="1970"/>
    <x v="1"/>
    <x v="0"/>
    <n v="36"/>
    <n v="3"/>
    <x v="1"/>
    <x v="6"/>
    <x v="0"/>
    <x v="1"/>
    <n v="5968"/>
    <x v="1"/>
    <n v="18079"/>
    <n v="1"/>
    <s v="Y"/>
    <x v="0"/>
    <n v="20"/>
    <n v="4"/>
    <n v="3"/>
    <n v="80"/>
    <n v="3"/>
    <n v="9"/>
    <n v="2"/>
    <x v="0"/>
    <x v="9"/>
    <x v="6"/>
    <n v="2"/>
  </r>
  <r>
    <s v="RM1416"/>
    <n v="33"/>
    <x v="1"/>
    <s v="No"/>
    <n v="0"/>
    <s v="Non-Travel"/>
    <n v="1313"/>
    <x v="0"/>
    <x v="4"/>
    <x v="1"/>
    <x v="1"/>
    <n v="1"/>
    <n v="1994"/>
    <x v="2"/>
    <x v="0"/>
    <n v="59"/>
    <n v="2"/>
    <x v="0"/>
    <x v="0"/>
    <x v="0"/>
    <x v="1"/>
    <n v="2008"/>
    <x v="0"/>
    <n v="20439"/>
    <n v="1"/>
    <s v="Y"/>
    <x v="0"/>
    <n v="12"/>
    <n v="3"/>
    <n v="3"/>
    <n v="80"/>
    <n v="3"/>
    <n v="1"/>
    <n v="2"/>
    <x v="3"/>
    <x v="1"/>
    <x v="1"/>
    <n v="0"/>
  </r>
  <r>
    <s v="RM1426"/>
    <n v="33"/>
    <x v="1"/>
    <s v="No"/>
    <n v="0"/>
    <s v="Travel_Rarely"/>
    <n v="501"/>
    <x v="0"/>
    <x v="14"/>
    <x v="1"/>
    <x v="1"/>
    <n v="1"/>
    <n v="2009"/>
    <x v="2"/>
    <x v="1"/>
    <n v="95"/>
    <n v="3"/>
    <x v="1"/>
    <x v="6"/>
    <x v="2"/>
    <x v="2"/>
    <n v="4878"/>
    <x v="0"/>
    <n v="21653"/>
    <n v="0"/>
    <s v="Y"/>
    <x v="1"/>
    <n v="13"/>
    <n v="3"/>
    <n v="1"/>
    <n v="80"/>
    <n v="1"/>
    <n v="10"/>
    <n v="6"/>
    <x v="0"/>
    <x v="9"/>
    <x v="6"/>
    <n v="8"/>
  </r>
  <r>
    <s v="RM014"/>
    <n v="34"/>
    <x v="1"/>
    <s v="No"/>
    <n v="0"/>
    <s v="Travel_Rarely"/>
    <n v="1346"/>
    <x v="0"/>
    <x v="19"/>
    <x v="1"/>
    <x v="1"/>
    <n v="1"/>
    <n v="18"/>
    <x v="2"/>
    <x v="0"/>
    <n v="93"/>
    <n v="3"/>
    <x v="0"/>
    <x v="0"/>
    <x v="2"/>
    <x v="1"/>
    <n v="2661"/>
    <x v="0"/>
    <n v="8758"/>
    <n v="0"/>
    <s v="Y"/>
    <x v="0"/>
    <n v="11"/>
    <n v="3"/>
    <n v="3"/>
    <n v="80"/>
    <n v="1"/>
    <n v="3"/>
    <n v="2"/>
    <x v="0"/>
    <x v="2"/>
    <x v="2"/>
    <n v="1"/>
  </r>
  <r>
    <s v="RM023"/>
    <n v="34"/>
    <x v="1"/>
    <s v="No"/>
    <n v="0"/>
    <s v="Travel_Rarely"/>
    <n v="419"/>
    <x v="0"/>
    <x v="17"/>
    <x v="3"/>
    <x v="0"/>
    <n v="1"/>
    <n v="28"/>
    <x v="3"/>
    <x v="1"/>
    <n v="53"/>
    <n v="3"/>
    <x v="2"/>
    <x v="7"/>
    <x v="1"/>
    <x v="0"/>
    <n v="11994"/>
    <x v="2"/>
    <n v="21293"/>
    <n v="0"/>
    <s v="Y"/>
    <x v="0"/>
    <n v="11"/>
    <n v="3"/>
    <n v="3"/>
    <n v="80"/>
    <n v="0"/>
    <n v="13"/>
    <n v="4"/>
    <x v="0"/>
    <x v="12"/>
    <x v="8"/>
    <n v="2"/>
  </r>
  <r>
    <s v="RM025"/>
    <n v="34"/>
    <x v="1"/>
    <s v="Yes"/>
    <n v="1"/>
    <s v="Travel_Rarely"/>
    <n v="699"/>
    <x v="0"/>
    <x v="11"/>
    <x v="2"/>
    <x v="1"/>
    <n v="1"/>
    <n v="31"/>
    <x v="2"/>
    <x v="0"/>
    <n v="83"/>
    <n v="3"/>
    <x v="0"/>
    <x v="2"/>
    <x v="3"/>
    <x v="0"/>
    <n v="2960"/>
    <x v="0"/>
    <n v="17102"/>
    <n v="2"/>
    <s v="Y"/>
    <x v="0"/>
    <n v="11"/>
    <n v="3"/>
    <n v="3"/>
    <n v="80"/>
    <n v="0"/>
    <n v="8"/>
    <n v="2"/>
    <x v="0"/>
    <x v="4"/>
    <x v="2"/>
    <n v="1"/>
  </r>
  <r>
    <s v="RM047"/>
    <n v="34"/>
    <x v="1"/>
    <s v="No"/>
    <n v="0"/>
    <s v="Non-Travel"/>
    <n v="1065"/>
    <x v="1"/>
    <x v="23"/>
    <x v="3"/>
    <x v="2"/>
    <n v="1"/>
    <n v="60"/>
    <x v="2"/>
    <x v="0"/>
    <n v="72"/>
    <n v="3"/>
    <x v="1"/>
    <x v="5"/>
    <x v="0"/>
    <x v="0"/>
    <n v="4568"/>
    <x v="0"/>
    <n v="10034"/>
    <n v="0"/>
    <s v="Y"/>
    <x v="0"/>
    <n v="20"/>
    <n v="4"/>
    <n v="3"/>
    <n v="80"/>
    <n v="0"/>
    <n v="10"/>
    <n v="2"/>
    <x v="0"/>
    <x v="9"/>
    <x v="5"/>
    <n v="8"/>
  </r>
  <r>
    <s v="RM085"/>
    <n v="34"/>
    <x v="1"/>
    <s v="No"/>
    <n v="0"/>
    <s v="Travel_Rarely"/>
    <n v="1153"/>
    <x v="0"/>
    <x v="4"/>
    <x v="1"/>
    <x v="1"/>
    <n v="1"/>
    <n v="110"/>
    <x v="3"/>
    <x v="0"/>
    <n v="94"/>
    <n v="3"/>
    <x v="1"/>
    <x v="4"/>
    <x v="1"/>
    <x v="2"/>
    <n v="4325"/>
    <x v="0"/>
    <n v="17736"/>
    <n v="1"/>
    <s v="Y"/>
    <x v="0"/>
    <n v="15"/>
    <n v="3"/>
    <n v="3"/>
    <n v="80"/>
    <n v="0"/>
    <n v="5"/>
    <n v="2"/>
    <x v="0"/>
    <x v="5"/>
    <x v="2"/>
    <n v="1"/>
  </r>
  <r>
    <s v="RM104"/>
    <n v="34"/>
    <x v="1"/>
    <s v="No"/>
    <n v="0"/>
    <s v="Travel_Rarely"/>
    <n v="665"/>
    <x v="0"/>
    <x v="11"/>
    <x v="3"/>
    <x v="4"/>
    <n v="1"/>
    <n v="138"/>
    <x v="3"/>
    <x v="1"/>
    <n v="41"/>
    <n v="3"/>
    <x v="1"/>
    <x v="2"/>
    <x v="0"/>
    <x v="0"/>
    <n v="4809"/>
    <x v="0"/>
    <n v="12482"/>
    <n v="1"/>
    <s v="Y"/>
    <x v="0"/>
    <n v="14"/>
    <n v="3"/>
    <n v="3"/>
    <n v="80"/>
    <n v="0"/>
    <n v="16"/>
    <n v="3"/>
    <x v="0"/>
    <x v="16"/>
    <x v="12"/>
    <n v="2"/>
  </r>
  <r>
    <s v="RM112"/>
    <n v="34"/>
    <x v="1"/>
    <s v="Yes"/>
    <n v="1"/>
    <s v="Travel_Frequently"/>
    <n v="658"/>
    <x v="0"/>
    <x v="17"/>
    <x v="0"/>
    <x v="0"/>
    <n v="1"/>
    <n v="147"/>
    <x v="3"/>
    <x v="0"/>
    <n v="66"/>
    <n v="1"/>
    <x v="1"/>
    <x v="0"/>
    <x v="0"/>
    <x v="0"/>
    <n v="6074"/>
    <x v="1"/>
    <n v="22887"/>
    <n v="1"/>
    <s v="Y"/>
    <x v="1"/>
    <n v="24"/>
    <n v="4"/>
    <n v="4"/>
    <n v="80"/>
    <n v="0"/>
    <n v="9"/>
    <n v="3"/>
    <x v="0"/>
    <x v="9"/>
    <x v="6"/>
    <n v="0"/>
  </r>
  <r>
    <s v="RM115"/>
    <n v="34"/>
    <x v="1"/>
    <s v="No"/>
    <n v="0"/>
    <s v="Travel_Rarely"/>
    <n v="1031"/>
    <x v="0"/>
    <x v="11"/>
    <x v="3"/>
    <x v="0"/>
    <n v="1"/>
    <n v="151"/>
    <x v="0"/>
    <x v="1"/>
    <n v="45"/>
    <n v="2"/>
    <x v="1"/>
    <x v="2"/>
    <x v="1"/>
    <x v="1"/>
    <n v="4505"/>
    <x v="0"/>
    <n v="15000"/>
    <n v="6"/>
    <s v="Y"/>
    <x v="0"/>
    <n v="15"/>
    <n v="3"/>
    <n v="3"/>
    <n v="80"/>
    <n v="1"/>
    <n v="12"/>
    <n v="3"/>
    <x v="0"/>
    <x v="1"/>
    <x v="0"/>
    <n v="0"/>
  </r>
  <r>
    <s v="RM117"/>
    <n v="34"/>
    <x v="1"/>
    <s v="No"/>
    <n v="0"/>
    <s v="Travel_Rarely"/>
    <n v="1354"/>
    <x v="0"/>
    <x v="2"/>
    <x v="0"/>
    <x v="1"/>
    <n v="1"/>
    <n v="153"/>
    <x v="0"/>
    <x v="1"/>
    <n v="45"/>
    <n v="2"/>
    <x v="2"/>
    <x v="8"/>
    <x v="3"/>
    <x v="0"/>
    <n v="11631"/>
    <x v="2"/>
    <n v="5615"/>
    <n v="2"/>
    <s v="Y"/>
    <x v="0"/>
    <n v="12"/>
    <n v="3"/>
    <n v="4"/>
    <n v="80"/>
    <n v="0"/>
    <n v="14"/>
    <n v="6"/>
    <x v="0"/>
    <x v="11"/>
    <x v="10"/>
    <n v="5"/>
  </r>
  <r>
    <s v="RM160"/>
    <n v="34"/>
    <x v="1"/>
    <s v="No"/>
    <n v="0"/>
    <s v="Travel_Frequently"/>
    <n v="303"/>
    <x v="1"/>
    <x v="7"/>
    <x v="3"/>
    <x v="2"/>
    <n v="1"/>
    <n v="216"/>
    <x v="0"/>
    <x v="1"/>
    <n v="75"/>
    <n v="3"/>
    <x v="0"/>
    <x v="1"/>
    <x v="0"/>
    <x v="2"/>
    <n v="2231"/>
    <x v="0"/>
    <n v="11314"/>
    <n v="6"/>
    <s v="Y"/>
    <x v="0"/>
    <n v="18"/>
    <n v="3"/>
    <n v="4"/>
    <n v="80"/>
    <n v="1"/>
    <n v="6"/>
    <n v="3"/>
    <x v="0"/>
    <x v="4"/>
    <x v="3"/>
    <n v="1"/>
  </r>
  <r>
    <s v="RM182"/>
    <n v="34"/>
    <x v="1"/>
    <s v="No"/>
    <n v="0"/>
    <s v="Travel_Rarely"/>
    <n v="629"/>
    <x v="0"/>
    <x v="28"/>
    <x v="1"/>
    <x v="1"/>
    <n v="1"/>
    <n v="247"/>
    <x v="1"/>
    <x v="1"/>
    <n v="95"/>
    <n v="3"/>
    <x v="0"/>
    <x v="2"/>
    <x v="1"/>
    <x v="0"/>
    <n v="2311"/>
    <x v="0"/>
    <n v="5711"/>
    <n v="2"/>
    <s v="Y"/>
    <x v="0"/>
    <n v="15"/>
    <n v="3"/>
    <n v="4"/>
    <n v="80"/>
    <n v="0"/>
    <n v="9"/>
    <n v="3"/>
    <x v="0"/>
    <x v="3"/>
    <x v="2"/>
    <n v="1"/>
  </r>
  <r>
    <s v="RM189"/>
    <n v="34"/>
    <x v="1"/>
    <s v="No"/>
    <n v="0"/>
    <s v="Travel_Frequently"/>
    <n v="1069"/>
    <x v="0"/>
    <x v="7"/>
    <x v="2"/>
    <x v="0"/>
    <n v="1"/>
    <n v="256"/>
    <x v="1"/>
    <x v="0"/>
    <n v="45"/>
    <n v="2"/>
    <x v="1"/>
    <x v="4"/>
    <x v="0"/>
    <x v="2"/>
    <n v="9547"/>
    <x v="1"/>
    <n v="14074"/>
    <n v="1"/>
    <s v="Y"/>
    <x v="0"/>
    <n v="17"/>
    <n v="3"/>
    <n v="3"/>
    <n v="80"/>
    <n v="0"/>
    <n v="10"/>
    <n v="2"/>
    <x v="3"/>
    <x v="10"/>
    <x v="9"/>
    <n v="1"/>
  </r>
  <r>
    <s v="RM203"/>
    <n v="34"/>
    <x v="1"/>
    <s v="No"/>
    <n v="0"/>
    <s v="Travel_Frequently"/>
    <n v="878"/>
    <x v="0"/>
    <x v="1"/>
    <x v="3"/>
    <x v="1"/>
    <n v="1"/>
    <n v="277"/>
    <x v="1"/>
    <x v="0"/>
    <n v="43"/>
    <n v="3"/>
    <x v="0"/>
    <x v="2"/>
    <x v="0"/>
    <x v="1"/>
    <n v="3815"/>
    <x v="0"/>
    <n v="5972"/>
    <n v="1"/>
    <s v="Y"/>
    <x v="1"/>
    <n v="17"/>
    <n v="3"/>
    <n v="4"/>
    <n v="80"/>
    <n v="1"/>
    <n v="5"/>
    <n v="4"/>
    <x v="1"/>
    <x v="5"/>
    <x v="3"/>
    <n v="2"/>
  </r>
  <r>
    <s v="RM248"/>
    <n v="34"/>
    <x v="1"/>
    <s v="No"/>
    <n v="0"/>
    <s v="Travel_Rarely"/>
    <n v="470"/>
    <x v="0"/>
    <x v="7"/>
    <x v="3"/>
    <x v="0"/>
    <n v="1"/>
    <n v="339"/>
    <x v="1"/>
    <x v="0"/>
    <n v="84"/>
    <n v="2"/>
    <x v="1"/>
    <x v="4"/>
    <x v="3"/>
    <x v="2"/>
    <n v="5957"/>
    <x v="1"/>
    <n v="23687"/>
    <n v="6"/>
    <s v="Y"/>
    <x v="0"/>
    <n v="13"/>
    <n v="3"/>
    <n v="2"/>
    <n v="80"/>
    <n v="1"/>
    <n v="13"/>
    <n v="3"/>
    <x v="0"/>
    <x v="11"/>
    <x v="9"/>
    <n v="5"/>
  </r>
  <r>
    <s v="RM379"/>
    <n v="34"/>
    <x v="1"/>
    <s v="Yes"/>
    <n v="1"/>
    <s v="Non-Travel"/>
    <n v="1362"/>
    <x v="1"/>
    <x v="19"/>
    <x v="0"/>
    <x v="2"/>
    <n v="1"/>
    <n v="502"/>
    <x v="3"/>
    <x v="0"/>
    <n v="67"/>
    <n v="4"/>
    <x v="1"/>
    <x v="5"/>
    <x v="2"/>
    <x v="0"/>
    <n v="5304"/>
    <x v="1"/>
    <n v="4652"/>
    <n v="8"/>
    <s v="Y"/>
    <x v="1"/>
    <n v="13"/>
    <n v="3"/>
    <n v="2"/>
    <n v="80"/>
    <n v="0"/>
    <n v="9"/>
    <n v="3"/>
    <x v="3"/>
    <x v="5"/>
    <x v="2"/>
    <n v="0"/>
  </r>
  <r>
    <s v="RM394"/>
    <n v="34"/>
    <x v="1"/>
    <s v="No"/>
    <n v="0"/>
    <s v="Non-Travel"/>
    <n v="1381"/>
    <x v="1"/>
    <x v="12"/>
    <x v="3"/>
    <x v="2"/>
    <n v="1"/>
    <n v="523"/>
    <x v="0"/>
    <x v="1"/>
    <n v="72"/>
    <n v="3"/>
    <x v="1"/>
    <x v="5"/>
    <x v="0"/>
    <x v="2"/>
    <n v="6538"/>
    <x v="1"/>
    <n v="12740"/>
    <n v="9"/>
    <s v="Y"/>
    <x v="0"/>
    <n v="15"/>
    <n v="3"/>
    <n v="1"/>
    <n v="80"/>
    <n v="1"/>
    <n v="6"/>
    <n v="3"/>
    <x v="0"/>
    <x v="3"/>
    <x v="2"/>
    <n v="1"/>
  </r>
  <r>
    <s v="RM416"/>
    <n v="34"/>
    <x v="1"/>
    <s v="Yes"/>
    <n v="1"/>
    <s v="Travel_Frequently"/>
    <n v="296"/>
    <x v="1"/>
    <x v="11"/>
    <x v="1"/>
    <x v="2"/>
    <n v="1"/>
    <n v="555"/>
    <x v="1"/>
    <x v="1"/>
    <n v="33"/>
    <n v="1"/>
    <x v="0"/>
    <x v="1"/>
    <x v="0"/>
    <x v="1"/>
    <n v="2351"/>
    <x v="0"/>
    <n v="12253"/>
    <n v="0"/>
    <s v="Y"/>
    <x v="0"/>
    <n v="16"/>
    <n v="3"/>
    <n v="4"/>
    <n v="80"/>
    <n v="1"/>
    <n v="3"/>
    <n v="3"/>
    <x v="3"/>
    <x v="2"/>
    <x v="2"/>
    <n v="1"/>
  </r>
  <r>
    <s v="RM433"/>
    <n v="34"/>
    <x v="1"/>
    <s v="No"/>
    <n v="0"/>
    <s v="Travel_Rarely"/>
    <n v="1303"/>
    <x v="0"/>
    <x v="7"/>
    <x v="3"/>
    <x v="0"/>
    <n v="1"/>
    <n v="579"/>
    <x v="1"/>
    <x v="0"/>
    <n v="62"/>
    <n v="2"/>
    <x v="0"/>
    <x v="2"/>
    <x v="0"/>
    <x v="1"/>
    <n v="2768"/>
    <x v="0"/>
    <n v="8416"/>
    <n v="3"/>
    <s v="Y"/>
    <x v="0"/>
    <n v="12"/>
    <n v="3"/>
    <n v="3"/>
    <n v="80"/>
    <n v="1"/>
    <n v="14"/>
    <n v="3"/>
    <x v="0"/>
    <x v="7"/>
    <x v="3"/>
    <n v="5"/>
  </r>
  <r>
    <s v="RM441"/>
    <n v="34"/>
    <x v="1"/>
    <s v="Yes"/>
    <n v="1"/>
    <s v="Travel_Frequently"/>
    <n v="988"/>
    <x v="2"/>
    <x v="23"/>
    <x v="0"/>
    <x v="5"/>
    <n v="1"/>
    <n v="590"/>
    <x v="2"/>
    <x v="1"/>
    <n v="43"/>
    <n v="3"/>
    <x v="2"/>
    <x v="3"/>
    <x v="3"/>
    <x v="1"/>
    <n v="9950"/>
    <x v="1"/>
    <n v="11533"/>
    <n v="9"/>
    <s v="Y"/>
    <x v="1"/>
    <n v="15"/>
    <n v="3"/>
    <n v="3"/>
    <n v="80"/>
    <n v="3"/>
    <n v="11"/>
    <n v="2"/>
    <x v="0"/>
    <x v="3"/>
    <x v="2"/>
    <n v="0"/>
  </r>
  <r>
    <s v="RM463"/>
    <n v="34"/>
    <x v="1"/>
    <s v="No"/>
    <n v="0"/>
    <s v="Travel_Rarely"/>
    <n v="258"/>
    <x v="1"/>
    <x v="8"/>
    <x v="3"/>
    <x v="0"/>
    <n v="1"/>
    <n v="621"/>
    <x v="1"/>
    <x v="0"/>
    <n v="74"/>
    <n v="4"/>
    <x v="1"/>
    <x v="5"/>
    <x v="2"/>
    <x v="0"/>
    <n v="5337"/>
    <x v="1"/>
    <n v="19921"/>
    <n v="1"/>
    <s v="Y"/>
    <x v="0"/>
    <n v="12"/>
    <n v="3"/>
    <n v="4"/>
    <n v="80"/>
    <n v="0"/>
    <n v="10"/>
    <n v="3"/>
    <x v="0"/>
    <x v="10"/>
    <x v="6"/>
    <n v="5"/>
  </r>
  <r>
    <s v="RM482"/>
    <n v="34"/>
    <x v="1"/>
    <s v="No"/>
    <n v="0"/>
    <s v="Travel_Rarely"/>
    <n v="254"/>
    <x v="0"/>
    <x v="4"/>
    <x v="1"/>
    <x v="0"/>
    <n v="1"/>
    <n v="649"/>
    <x v="2"/>
    <x v="0"/>
    <n v="83"/>
    <n v="2"/>
    <x v="0"/>
    <x v="2"/>
    <x v="2"/>
    <x v="2"/>
    <n v="3622"/>
    <x v="0"/>
    <n v="22794"/>
    <n v="1"/>
    <s v="Y"/>
    <x v="1"/>
    <n v="13"/>
    <n v="3"/>
    <n v="4"/>
    <n v="80"/>
    <n v="1"/>
    <n v="6"/>
    <n v="3"/>
    <x v="0"/>
    <x v="6"/>
    <x v="5"/>
    <n v="1"/>
  </r>
  <r>
    <s v="RM495"/>
    <n v="34"/>
    <x v="1"/>
    <s v="No"/>
    <n v="0"/>
    <s v="Travel_Rarely"/>
    <n v="204"/>
    <x v="1"/>
    <x v="5"/>
    <x v="0"/>
    <x v="3"/>
    <n v="1"/>
    <n v="666"/>
    <x v="0"/>
    <x v="1"/>
    <n v="31"/>
    <n v="3"/>
    <x v="0"/>
    <x v="1"/>
    <x v="0"/>
    <x v="1"/>
    <n v="2579"/>
    <x v="0"/>
    <n v="2912"/>
    <n v="1"/>
    <s v="Y"/>
    <x v="1"/>
    <n v="18"/>
    <n v="3"/>
    <n v="4"/>
    <n v="80"/>
    <n v="2"/>
    <n v="8"/>
    <n v="3"/>
    <x v="0"/>
    <x v="8"/>
    <x v="2"/>
    <n v="0"/>
  </r>
  <r>
    <s v="RM504"/>
    <n v="34"/>
    <x v="1"/>
    <s v="No"/>
    <n v="0"/>
    <s v="Travel_Rarely"/>
    <n v="1397"/>
    <x v="0"/>
    <x v="4"/>
    <x v="4"/>
    <x v="0"/>
    <n v="1"/>
    <n v="683"/>
    <x v="2"/>
    <x v="0"/>
    <n v="42"/>
    <n v="3"/>
    <x v="0"/>
    <x v="2"/>
    <x v="2"/>
    <x v="2"/>
    <n v="2691"/>
    <x v="0"/>
    <n v="7660"/>
    <n v="1"/>
    <s v="Y"/>
    <x v="0"/>
    <n v="12"/>
    <n v="3"/>
    <n v="4"/>
    <n v="80"/>
    <n v="1"/>
    <n v="10"/>
    <n v="4"/>
    <x v="3"/>
    <x v="10"/>
    <x v="9"/>
    <n v="8"/>
  </r>
  <r>
    <s v="RM525"/>
    <n v="34"/>
    <x v="1"/>
    <s v="No"/>
    <n v="0"/>
    <s v="Travel_Rarely"/>
    <n v="1442"/>
    <x v="0"/>
    <x v="9"/>
    <x v="0"/>
    <x v="1"/>
    <n v="1"/>
    <n v="717"/>
    <x v="1"/>
    <x v="1"/>
    <n v="46"/>
    <n v="2"/>
    <x v="2"/>
    <x v="6"/>
    <x v="1"/>
    <x v="0"/>
    <n v="8621"/>
    <x v="1"/>
    <n v="17654"/>
    <n v="1"/>
    <s v="Y"/>
    <x v="0"/>
    <n v="14"/>
    <n v="3"/>
    <n v="2"/>
    <n v="80"/>
    <n v="0"/>
    <n v="9"/>
    <n v="3"/>
    <x v="1"/>
    <x v="8"/>
    <x v="6"/>
    <n v="7"/>
  </r>
  <r>
    <s v="RM550"/>
    <n v="34"/>
    <x v="1"/>
    <s v="No"/>
    <n v="0"/>
    <s v="Travel_Rarely"/>
    <n v="970"/>
    <x v="0"/>
    <x v="3"/>
    <x v="1"/>
    <x v="1"/>
    <n v="1"/>
    <n v="757"/>
    <x v="2"/>
    <x v="1"/>
    <n v="96"/>
    <n v="3"/>
    <x v="1"/>
    <x v="6"/>
    <x v="0"/>
    <x v="0"/>
    <n v="6142"/>
    <x v="1"/>
    <n v="7360"/>
    <n v="3"/>
    <s v="Y"/>
    <x v="0"/>
    <n v="11"/>
    <n v="3"/>
    <n v="4"/>
    <n v="80"/>
    <n v="0"/>
    <n v="10"/>
    <n v="2"/>
    <x v="0"/>
    <x v="5"/>
    <x v="1"/>
    <n v="4"/>
  </r>
  <r>
    <s v="RM561"/>
    <n v="34"/>
    <x v="1"/>
    <s v="No"/>
    <n v="0"/>
    <s v="Travel_Rarely"/>
    <n v="167"/>
    <x v="0"/>
    <x v="3"/>
    <x v="4"/>
    <x v="0"/>
    <n v="1"/>
    <n v="775"/>
    <x v="2"/>
    <x v="1"/>
    <n v="32"/>
    <n v="3"/>
    <x v="1"/>
    <x v="4"/>
    <x v="3"/>
    <x v="1"/>
    <n v="5121"/>
    <x v="1"/>
    <n v="4187"/>
    <n v="3"/>
    <s v="Y"/>
    <x v="0"/>
    <n v="14"/>
    <n v="3"/>
    <n v="3"/>
    <n v="80"/>
    <n v="1"/>
    <n v="7"/>
    <n v="3"/>
    <x v="0"/>
    <x v="0"/>
    <x v="0"/>
    <n v="0"/>
  </r>
  <r>
    <s v="RM568"/>
    <n v="34"/>
    <x v="1"/>
    <s v="No"/>
    <n v="0"/>
    <s v="Travel_Rarely"/>
    <n v="304"/>
    <x v="1"/>
    <x v="7"/>
    <x v="0"/>
    <x v="4"/>
    <n v="1"/>
    <n v="786"/>
    <x v="1"/>
    <x v="0"/>
    <n v="60"/>
    <n v="3"/>
    <x v="1"/>
    <x v="5"/>
    <x v="2"/>
    <x v="0"/>
    <n v="6274"/>
    <x v="1"/>
    <n v="18686"/>
    <n v="1"/>
    <s v="Y"/>
    <x v="0"/>
    <n v="22"/>
    <n v="4"/>
    <n v="3"/>
    <n v="80"/>
    <n v="0"/>
    <n v="6"/>
    <n v="5"/>
    <x v="0"/>
    <x v="6"/>
    <x v="5"/>
    <n v="1"/>
  </r>
  <r>
    <s v="RM575"/>
    <n v="34"/>
    <x v="1"/>
    <s v="No"/>
    <n v="0"/>
    <s v="Travel_Rarely"/>
    <n v="182"/>
    <x v="0"/>
    <x v="4"/>
    <x v="3"/>
    <x v="0"/>
    <n v="1"/>
    <n v="797"/>
    <x v="2"/>
    <x v="1"/>
    <n v="72"/>
    <n v="4"/>
    <x v="0"/>
    <x v="2"/>
    <x v="2"/>
    <x v="0"/>
    <n v="3280"/>
    <x v="0"/>
    <n v="13551"/>
    <n v="2"/>
    <s v="Y"/>
    <x v="0"/>
    <n v="16"/>
    <n v="3"/>
    <n v="3"/>
    <n v="80"/>
    <n v="0"/>
    <n v="10"/>
    <n v="2"/>
    <x v="0"/>
    <x v="4"/>
    <x v="2"/>
    <n v="1"/>
  </r>
  <r>
    <s v="RM580"/>
    <n v="34"/>
    <x v="1"/>
    <s v="No"/>
    <n v="0"/>
    <s v="Travel_Rarely"/>
    <n v="121"/>
    <x v="0"/>
    <x v="7"/>
    <x v="3"/>
    <x v="1"/>
    <n v="1"/>
    <n v="804"/>
    <x v="0"/>
    <x v="1"/>
    <n v="86"/>
    <n v="2"/>
    <x v="0"/>
    <x v="2"/>
    <x v="3"/>
    <x v="0"/>
    <n v="4381"/>
    <x v="0"/>
    <n v="7530"/>
    <n v="1"/>
    <s v="Y"/>
    <x v="0"/>
    <n v="11"/>
    <n v="3"/>
    <n v="3"/>
    <n v="80"/>
    <n v="0"/>
    <n v="6"/>
    <n v="3"/>
    <x v="0"/>
    <x v="6"/>
    <x v="5"/>
    <n v="1"/>
  </r>
  <r>
    <s v="RM584"/>
    <n v="34"/>
    <x v="1"/>
    <s v="No"/>
    <n v="0"/>
    <s v="Travel_Rarely"/>
    <n v="1111"/>
    <x v="1"/>
    <x v="3"/>
    <x v="1"/>
    <x v="0"/>
    <n v="1"/>
    <n v="808"/>
    <x v="0"/>
    <x v="1"/>
    <n v="93"/>
    <n v="3"/>
    <x v="1"/>
    <x v="5"/>
    <x v="3"/>
    <x v="2"/>
    <n v="6500"/>
    <x v="1"/>
    <n v="13305"/>
    <n v="5"/>
    <s v="Y"/>
    <x v="0"/>
    <n v="17"/>
    <n v="3"/>
    <n v="2"/>
    <n v="80"/>
    <n v="1"/>
    <n v="6"/>
    <n v="1"/>
    <x v="0"/>
    <x v="3"/>
    <x v="2"/>
    <n v="1"/>
  </r>
  <r>
    <s v="RM607"/>
    <n v="34"/>
    <x v="1"/>
    <s v="No"/>
    <n v="0"/>
    <s v="Travel_Frequently"/>
    <n v="702"/>
    <x v="0"/>
    <x v="18"/>
    <x v="3"/>
    <x v="0"/>
    <n v="1"/>
    <n v="838"/>
    <x v="0"/>
    <x v="1"/>
    <n v="100"/>
    <n v="2"/>
    <x v="0"/>
    <x v="2"/>
    <x v="2"/>
    <x v="0"/>
    <n v="2553"/>
    <x v="0"/>
    <n v="8306"/>
    <n v="1"/>
    <s v="Y"/>
    <x v="0"/>
    <n v="16"/>
    <n v="3"/>
    <n v="3"/>
    <n v="80"/>
    <n v="0"/>
    <n v="6"/>
    <n v="3"/>
    <x v="0"/>
    <x v="5"/>
    <x v="2"/>
    <n v="1"/>
  </r>
  <r>
    <s v="RM614"/>
    <n v="34"/>
    <x v="1"/>
    <s v="No"/>
    <n v="0"/>
    <s v="Travel_Rarely"/>
    <n v="829"/>
    <x v="2"/>
    <x v="0"/>
    <x v="1"/>
    <x v="5"/>
    <n v="1"/>
    <n v="847"/>
    <x v="0"/>
    <x v="0"/>
    <n v="88"/>
    <n v="3"/>
    <x v="0"/>
    <x v="3"/>
    <x v="2"/>
    <x v="2"/>
    <n v="3737"/>
    <x v="0"/>
    <n v="2243"/>
    <n v="0"/>
    <s v="Y"/>
    <x v="0"/>
    <n v="19"/>
    <n v="3"/>
    <n v="3"/>
    <n v="80"/>
    <n v="1"/>
    <n v="4"/>
    <n v="1"/>
    <x v="2"/>
    <x v="3"/>
    <x v="2"/>
    <n v="0"/>
  </r>
  <r>
    <s v="RM672"/>
    <n v="34"/>
    <x v="1"/>
    <s v="No"/>
    <n v="0"/>
    <s v="Travel_Rarely"/>
    <n v="546"/>
    <x v="0"/>
    <x v="1"/>
    <x v="0"/>
    <x v="0"/>
    <n v="1"/>
    <n v="934"/>
    <x v="2"/>
    <x v="0"/>
    <n v="83"/>
    <n v="3"/>
    <x v="0"/>
    <x v="0"/>
    <x v="1"/>
    <x v="1"/>
    <n v="2008"/>
    <x v="0"/>
    <n v="6896"/>
    <n v="1"/>
    <s v="Y"/>
    <x v="0"/>
    <n v="14"/>
    <n v="3"/>
    <n v="2"/>
    <n v="80"/>
    <n v="2"/>
    <n v="1"/>
    <n v="3"/>
    <x v="0"/>
    <x v="1"/>
    <x v="0"/>
    <n v="1"/>
  </r>
  <r>
    <s v="RM758"/>
    <n v="34"/>
    <x v="1"/>
    <s v="No"/>
    <n v="0"/>
    <s v="Travel_Rarely"/>
    <n v="216"/>
    <x v="1"/>
    <x v="4"/>
    <x v="3"/>
    <x v="2"/>
    <n v="1"/>
    <n v="1047"/>
    <x v="2"/>
    <x v="0"/>
    <n v="75"/>
    <n v="4"/>
    <x v="1"/>
    <x v="5"/>
    <x v="2"/>
    <x v="1"/>
    <n v="9725"/>
    <x v="1"/>
    <n v="12278"/>
    <n v="0"/>
    <s v="Y"/>
    <x v="0"/>
    <n v="11"/>
    <n v="3"/>
    <n v="4"/>
    <n v="80"/>
    <n v="1"/>
    <n v="16"/>
    <n v="2"/>
    <x v="3"/>
    <x v="15"/>
    <x v="1"/>
    <n v="0"/>
  </r>
  <r>
    <s v="RM764"/>
    <n v="34"/>
    <x v="1"/>
    <s v="No"/>
    <n v="0"/>
    <s v="Travel_Rarely"/>
    <n v="1333"/>
    <x v="1"/>
    <x v="1"/>
    <x v="3"/>
    <x v="0"/>
    <n v="1"/>
    <n v="1055"/>
    <x v="0"/>
    <x v="1"/>
    <n v="87"/>
    <n v="3"/>
    <x v="0"/>
    <x v="1"/>
    <x v="0"/>
    <x v="2"/>
    <n v="2220"/>
    <x v="0"/>
    <n v="18410"/>
    <n v="1"/>
    <s v="Y"/>
    <x v="1"/>
    <n v="19"/>
    <n v="3"/>
    <n v="4"/>
    <n v="80"/>
    <n v="1"/>
    <n v="1"/>
    <n v="2"/>
    <x v="0"/>
    <x v="1"/>
    <x v="1"/>
    <n v="0"/>
  </r>
  <r>
    <s v="RM795"/>
    <n v="34"/>
    <x v="1"/>
    <s v="No"/>
    <n v="0"/>
    <s v="Travel_Frequently"/>
    <n v="618"/>
    <x v="0"/>
    <x v="0"/>
    <x v="2"/>
    <x v="0"/>
    <n v="1"/>
    <n v="1103"/>
    <x v="3"/>
    <x v="0"/>
    <n v="45"/>
    <n v="3"/>
    <x v="1"/>
    <x v="6"/>
    <x v="2"/>
    <x v="0"/>
    <n v="7756"/>
    <x v="1"/>
    <n v="22266"/>
    <n v="0"/>
    <s v="Y"/>
    <x v="0"/>
    <n v="17"/>
    <n v="3"/>
    <n v="3"/>
    <n v="80"/>
    <n v="0"/>
    <n v="7"/>
    <n v="1"/>
    <x v="3"/>
    <x v="6"/>
    <x v="2"/>
    <n v="0"/>
  </r>
  <r>
    <s v="RM804"/>
    <n v="34"/>
    <x v="1"/>
    <s v="No"/>
    <n v="0"/>
    <s v="Non-Travel"/>
    <n v="697"/>
    <x v="0"/>
    <x v="0"/>
    <x v="3"/>
    <x v="0"/>
    <n v="1"/>
    <n v="1115"/>
    <x v="0"/>
    <x v="0"/>
    <n v="40"/>
    <n v="2"/>
    <x v="0"/>
    <x v="2"/>
    <x v="2"/>
    <x v="2"/>
    <n v="2979"/>
    <x v="0"/>
    <n v="22478"/>
    <n v="3"/>
    <s v="Y"/>
    <x v="0"/>
    <n v="17"/>
    <n v="3"/>
    <n v="4"/>
    <n v="80"/>
    <n v="3"/>
    <n v="6"/>
    <n v="2"/>
    <x v="0"/>
    <x v="0"/>
    <x v="0"/>
    <n v="0"/>
  </r>
  <r>
    <s v="RM823"/>
    <n v="34"/>
    <x v="1"/>
    <s v="No"/>
    <n v="0"/>
    <s v="Travel_Frequently"/>
    <n v="1003"/>
    <x v="0"/>
    <x v="7"/>
    <x v="1"/>
    <x v="0"/>
    <n v="1"/>
    <n v="1140"/>
    <x v="1"/>
    <x v="0"/>
    <n v="95"/>
    <n v="3"/>
    <x v="1"/>
    <x v="4"/>
    <x v="0"/>
    <x v="0"/>
    <n v="4033"/>
    <x v="0"/>
    <n v="15834"/>
    <n v="2"/>
    <s v="Y"/>
    <x v="0"/>
    <n v="11"/>
    <n v="3"/>
    <n v="4"/>
    <n v="80"/>
    <n v="0"/>
    <n v="5"/>
    <n v="3"/>
    <x v="3"/>
    <x v="3"/>
    <x v="2"/>
    <n v="0"/>
  </r>
  <r>
    <s v="RM835"/>
    <n v="34"/>
    <x v="1"/>
    <s v="No"/>
    <n v="0"/>
    <s v="Travel_Rarely"/>
    <n v="1400"/>
    <x v="1"/>
    <x v="9"/>
    <x v="2"/>
    <x v="0"/>
    <n v="1"/>
    <n v="1163"/>
    <x v="2"/>
    <x v="1"/>
    <n v="70"/>
    <n v="3"/>
    <x v="1"/>
    <x v="5"/>
    <x v="0"/>
    <x v="2"/>
    <n v="5714"/>
    <x v="1"/>
    <n v="5829"/>
    <n v="1"/>
    <s v="Y"/>
    <x v="0"/>
    <n v="20"/>
    <n v="4"/>
    <n v="1"/>
    <n v="80"/>
    <n v="0"/>
    <n v="6"/>
    <n v="3"/>
    <x v="3"/>
    <x v="6"/>
    <x v="5"/>
    <n v="1"/>
  </r>
  <r>
    <s v="RM848"/>
    <n v="34"/>
    <x v="1"/>
    <s v="No"/>
    <n v="0"/>
    <s v="Travel_Frequently"/>
    <n v="669"/>
    <x v="0"/>
    <x v="4"/>
    <x v="0"/>
    <x v="1"/>
    <n v="1"/>
    <n v="1184"/>
    <x v="1"/>
    <x v="0"/>
    <n v="97"/>
    <n v="2"/>
    <x v="1"/>
    <x v="6"/>
    <x v="3"/>
    <x v="0"/>
    <n v="5343"/>
    <x v="1"/>
    <n v="25755"/>
    <n v="0"/>
    <s v="Y"/>
    <x v="0"/>
    <n v="20"/>
    <n v="4"/>
    <n v="3"/>
    <n v="80"/>
    <n v="0"/>
    <n v="14"/>
    <n v="3"/>
    <x v="0"/>
    <x v="13"/>
    <x v="9"/>
    <n v="4"/>
  </r>
  <r>
    <s v="RM907"/>
    <n v="34"/>
    <x v="1"/>
    <s v="No"/>
    <n v="0"/>
    <s v="Travel_Rarely"/>
    <n v="1320"/>
    <x v="0"/>
    <x v="21"/>
    <x v="0"/>
    <x v="3"/>
    <n v="1"/>
    <n v="1265"/>
    <x v="0"/>
    <x v="1"/>
    <n v="89"/>
    <n v="4"/>
    <x v="0"/>
    <x v="2"/>
    <x v="0"/>
    <x v="2"/>
    <n v="2585"/>
    <x v="0"/>
    <n v="21643"/>
    <n v="0"/>
    <s v="Y"/>
    <x v="0"/>
    <n v="17"/>
    <n v="3"/>
    <n v="4"/>
    <n v="80"/>
    <n v="0"/>
    <n v="2"/>
    <n v="5"/>
    <x v="3"/>
    <x v="1"/>
    <x v="0"/>
    <n v="0"/>
  </r>
  <r>
    <s v="RM918"/>
    <n v="34"/>
    <x v="1"/>
    <s v="No"/>
    <n v="0"/>
    <s v="Travel_Rarely"/>
    <n v="131"/>
    <x v="1"/>
    <x v="7"/>
    <x v="0"/>
    <x v="2"/>
    <n v="1"/>
    <n v="1281"/>
    <x v="0"/>
    <x v="1"/>
    <n v="86"/>
    <n v="3"/>
    <x v="1"/>
    <x v="5"/>
    <x v="3"/>
    <x v="0"/>
    <n v="4538"/>
    <x v="0"/>
    <n v="6039"/>
    <n v="0"/>
    <s v="Y"/>
    <x v="1"/>
    <n v="12"/>
    <n v="3"/>
    <n v="4"/>
    <n v="80"/>
    <n v="0"/>
    <n v="4"/>
    <n v="3"/>
    <x v="0"/>
    <x v="3"/>
    <x v="2"/>
    <n v="0"/>
  </r>
  <r>
    <s v="RM921"/>
    <n v="34"/>
    <x v="1"/>
    <s v="No"/>
    <n v="0"/>
    <s v="Travel_Frequently"/>
    <n v="135"/>
    <x v="0"/>
    <x v="19"/>
    <x v="0"/>
    <x v="1"/>
    <n v="1"/>
    <n v="1285"/>
    <x v="0"/>
    <x v="1"/>
    <n v="46"/>
    <n v="3"/>
    <x v="1"/>
    <x v="0"/>
    <x v="1"/>
    <x v="1"/>
    <n v="4444"/>
    <x v="0"/>
    <n v="22534"/>
    <n v="4"/>
    <s v="Y"/>
    <x v="0"/>
    <n v="13"/>
    <n v="3"/>
    <n v="3"/>
    <n v="80"/>
    <n v="2"/>
    <n v="15"/>
    <n v="2"/>
    <x v="1"/>
    <x v="11"/>
    <x v="7"/>
    <n v="5"/>
  </r>
  <r>
    <s v="RM924"/>
    <n v="34"/>
    <x v="1"/>
    <s v="No"/>
    <n v="0"/>
    <s v="Travel_Frequently"/>
    <n v="648"/>
    <x v="2"/>
    <x v="13"/>
    <x v="0"/>
    <x v="0"/>
    <n v="1"/>
    <n v="1289"/>
    <x v="0"/>
    <x v="0"/>
    <n v="56"/>
    <n v="2"/>
    <x v="1"/>
    <x v="3"/>
    <x v="1"/>
    <x v="2"/>
    <n v="4490"/>
    <x v="0"/>
    <n v="21833"/>
    <n v="4"/>
    <s v="Y"/>
    <x v="0"/>
    <n v="11"/>
    <n v="3"/>
    <n v="4"/>
    <n v="80"/>
    <n v="2"/>
    <n v="14"/>
    <n v="5"/>
    <x v="1"/>
    <x v="10"/>
    <x v="9"/>
    <n v="1"/>
  </r>
  <r>
    <s v="RM959"/>
    <n v="34"/>
    <x v="1"/>
    <s v="No"/>
    <n v="0"/>
    <s v="Travel_Rarely"/>
    <n v="943"/>
    <x v="0"/>
    <x v="9"/>
    <x v="0"/>
    <x v="0"/>
    <n v="1"/>
    <n v="1344"/>
    <x v="1"/>
    <x v="0"/>
    <n v="86"/>
    <n v="3"/>
    <x v="2"/>
    <x v="6"/>
    <x v="2"/>
    <x v="1"/>
    <n v="8500"/>
    <x v="1"/>
    <n v="5494"/>
    <n v="0"/>
    <s v="Y"/>
    <x v="0"/>
    <n v="11"/>
    <n v="3"/>
    <n v="4"/>
    <n v="80"/>
    <n v="1"/>
    <n v="10"/>
    <n v="0"/>
    <x v="3"/>
    <x v="9"/>
    <x v="6"/>
    <n v="1"/>
  </r>
  <r>
    <s v="RM965"/>
    <n v="34"/>
    <x v="1"/>
    <s v="No"/>
    <n v="0"/>
    <s v="Travel_Rarely"/>
    <n v="507"/>
    <x v="1"/>
    <x v="14"/>
    <x v="1"/>
    <x v="1"/>
    <n v="1"/>
    <n v="1356"/>
    <x v="0"/>
    <x v="1"/>
    <n v="66"/>
    <n v="3"/>
    <x v="1"/>
    <x v="5"/>
    <x v="3"/>
    <x v="0"/>
    <n v="6125"/>
    <x v="1"/>
    <n v="23553"/>
    <n v="1"/>
    <s v="Y"/>
    <x v="0"/>
    <n v="12"/>
    <n v="3"/>
    <n v="4"/>
    <n v="80"/>
    <n v="0"/>
    <n v="10"/>
    <n v="6"/>
    <x v="1"/>
    <x v="10"/>
    <x v="7"/>
    <n v="9"/>
  </r>
  <r>
    <s v="RM978"/>
    <n v="34"/>
    <x v="1"/>
    <s v="No"/>
    <n v="0"/>
    <s v="Non-Travel"/>
    <n v="999"/>
    <x v="0"/>
    <x v="20"/>
    <x v="2"/>
    <x v="3"/>
    <n v="1"/>
    <n v="1374"/>
    <x v="3"/>
    <x v="1"/>
    <n v="92"/>
    <n v="2"/>
    <x v="0"/>
    <x v="2"/>
    <x v="0"/>
    <x v="1"/>
    <n v="2029"/>
    <x v="0"/>
    <n v="15891"/>
    <n v="1"/>
    <s v="Y"/>
    <x v="0"/>
    <n v="20"/>
    <n v="4"/>
    <n v="3"/>
    <n v="80"/>
    <n v="3"/>
    <n v="5"/>
    <n v="2"/>
    <x v="0"/>
    <x v="5"/>
    <x v="4"/>
    <n v="0"/>
  </r>
  <r>
    <s v="RM980"/>
    <n v="34"/>
    <x v="1"/>
    <s v="No"/>
    <n v="0"/>
    <s v="Travel_Rarely"/>
    <n v="285"/>
    <x v="0"/>
    <x v="26"/>
    <x v="0"/>
    <x v="1"/>
    <n v="1"/>
    <n v="1377"/>
    <x v="2"/>
    <x v="0"/>
    <n v="86"/>
    <n v="3"/>
    <x v="1"/>
    <x v="0"/>
    <x v="0"/>
    <x v="2"/>
    <n v="5429"/>
    <x v="1"/>
    <n v="17491"/>
    <n v="4"/>
    <s v="Y"/>
    <x v="0"/>
    <n v="13"/>
    <n v="3"/>
    <n v="1"/>
    <n v="80"/>
    <n v="2"/>
    <n v="10"/>
    <n v="1"/>
    <x v="0"/>
    <x v="8"/>
    <x v="6"/>
    <n v="7"/>
  </r>
  <r>
    <s v="RM984"/>
    <n v="34"/>
    <x v="1"/>
    <s v="No"/>
    <n v="0"/>
    <s v="Travel_Rarely"/>
    <n v="404"/>
    <x v="0"/>
    <x v="7"/>
    <x v="3"/>
    <x v="3"/>
    <n v="1"/>
    <n v="1383"/>
    <x v="0"/>
    <x v="1"/>
    <n v="98"/>
    <n v="3"/>
    <x v="1"/>
    <x v="6"/>
    <x v="2"/>
    <x v="0"/>
    <n v="6687"/>
    <x v="1"/>
    <n v="6163"/>
    <n v="1"/>
    <s v="Y"/>
    <x v="0"/>
    <n v="11"/>
    <n v="3"/>
    <n v="4"/>
    <n v="80"/>
    <n v="0"/>
    <n v="14"/>
    <n v="2"/>
    <x v="1"/>
    <x v="14"/>
    <x v="14"/>
    <n v="4"/>
  </r>
  <r>
    <s v="RM1016"/>
    <n v="34"/>
    <x v="1"/>
    <s v="No"/>
    <n v="0"/>
    <s v="Travel_Frequently"/>
    <n v="560"/>
    <x v="0"/>
    <x v="4"/>
    <x v="3"/>
    <x v="4"/>
    <n v="1"/>
    <n v="1431"/>
    <x v="1"/>
    <x v="0"/>
    <n v="91"/>
    <n v="3"/>
    <x v="0"/>
    <x v="2"/>
    <x v="3"/>
    <x v="1"/>
    <n v="2996"/>
    <x v="0"/>
    <n v="20284"/>
    <n v="5"/>
    <s v="Y"/>
    <x v="0"/>
    <n v="14"/>
    <n v="3"/>
    <n v="3"/>
    <n v="80"/>
    <n v="2"/>
    <n v="10"/>
    <n v="2"/>
    <x v="0"/>
    <x v="4"/>
    <x v="3"/>
    <n v="1"/>
  </r>
  <r>
    <s v="RM1028"/>
    <n v="34"/>
    <x v="1"/>
    <s v="No"/>
    <n v="0"/>
    <s v="Travel_Rarely"/>
    <n v="401"/>
    <x v="0"/>
    <x v="4"/>
    <x v="0"/>
    <x v="0"/>
    <n v="1"/>
    <n v="1447"/>
    <x v="1"/>
    <x v="1"/>
    <n v="86"/>
    <n v="2"/>
    <x v="0"/>
    <x v="0"/>
    <x v="1"/>
    <x v="2"/>
    <n v="3294"/>
    <x v="0"/>
    <n v="3708"/>
    <n v="5"/>
    <s v="Y"/>
    <x v="0"/>
    <n v="17"/>
    <n v="3"/>
    <n v="1"/>
    <n v="80"/>
    <n v="1"/>
    <n v="7"/>
    <n v="2"/>
    <x v="3"/>
    <x v="5"/>
    <x v="4"/>
    <n v="0"/>
  </r>
  <r>
    <s v="RM1040"/>
    <n v="34"/>
    <x v="1"/>
    <s v="Yes"/>
    <n v="1"/>
    <s v="Travel_Rarely"/>
    <n v="1107"/>
    <x v="2"/>
    <x v="9"/>
    <x v="3"/>
    <x v="3"/>
    <n v="1"/>
    <n v="1467"/>
    <x v="3"/>
    <x v="1"/>
    <n v="52"/>
    <n v="3"/>
    <x v="0"/>
    <x v="3"/>
    <x v="0"/>
    <x v="2"/>
    <n v="2742"/>
    <x v="0"/>
    <n v="3072"/>
    <n v="1"/>
    <s v="Y"/>
    <x v="0"/>
    <n v="15"/>
    <n v="3"/>
    <n v="4"/>
    <n v="80"/>
    <n v="0"/>
    <n v="2"/>
    <n v="0"/>
    <x v="0"/>
    <x v="2"/>
    <x v="2"/>
    <n v="2"/>
  </r>
  <r>
    <s v="RM1049"/>
    <n v="34"/>
    <x v="1"/>
    <s v="No"/>
    <n v="0"/>
    <s v="Travel_Rarely"/>
    <n v="1326"/>
    <x v="1"/>
    <x v="0"/>
    <x v="0"/>
    <x v="4"/>
    <n v="1"/>
    <n v="1478"/>
    <x v="1"/>
    <x v="0"/>
    <n v="81"/>
    <n v="1"/>
    <x v="1"/>
    <x v="5"/>
    <x v="3"/>
    <x v="0"/>
    <n v="4759"/>
    <x v="0"/>
    <n v="15891"/>
    <n v="3"/>
    <s v="Y"/>
    <x v="0"/>
    <n v="18"/>
    <n v="3"/>
    <n v="4"/>
    <n v="80"/>
    <n v="0"/>
    <n v="15"/>
    <n v="2"/>
    <x v="0"/>
    <x v="13"/>
    <x v="9"/>
    <n v="3"/>
  </r>
  <r>
    <s v="RM1056"/>
    <n v="34"/>
    <x v="1"/>
    <s v="No"/>
    <n v="0"/>
    <s v="Travel_Frequently"/>
    <n v="829"/>
    <x v="0"/>
    <x v="14"/>
    <x v="0"/>
    <x v="1"/>
    <n v="1"/>
    <n v="1485"/>
    <x v="2"/>
    <x v="0"/>
    <n v="71"/>
    <n v="3"/>
    <x v="3"/>
    <x v="7"/>
    <x v="3"/>
    <x v="1"/>
    <n v="17007"/>
    <x v="3"/>
    <n v="11929"/>
    <n v="7"/>
    <s v="Y"/>
    <x v="0"/>
    <n v="14"/>
    <n v="3"/>
    <n v="4"/>
    <n v="80"/>
    <n v="2"/>
    <n v="16"/>
    <n v="3"/>
    <x v="3"/>
    <x v="14"/>
    <x v="7"/>
    <n v="6"/>
  </r>
  <r>
    <s v="RM1059"/>
    <n v="34"/>
    <x v="1"/>
    <s v="Yes"/>
    <n v="1"/>
    <s v="Travel_Rarely"/>
    <n v="790"/>
    <x v="1"/>
    <x v="22"/>
    <x v="3"/>
    <x v="1"/>
    <n v="1"/>
    <n v="1489"/>
    <x v="3"/>
    <x v="1"/>
    <n v="40"/>
    <n v="2"/>
    <x v="1"/>
    <x v="5"/>
    <x v="1"/>
    <x v="0"/>
    <n v="4599"/>
    <x v="0"/>
    <n v="7815"/>
    <n v="0"/>
    <s v="Y"/>
    <x v="1"/>
    <n v="23"/>
    <n v="4"/>
    <n v="3"/>
    <n v="80"/>
    <n v="0"/>
    <n v="16"/>
    <n v="2"/>
    <x v="1"/>
    <x v="15"/>
    <x v="9"/>
    <n v="10"/>
  </r>
  <r>
    <s v="RM1085"/>
    <n v="34"/>
    <x v="1"/>
    <s v="No"/>
    <n v="0"/>
    <s v="Travel_Rarely"/>
    <n v="971"/>
    <x v="1"/>
    <x v="4"/>
    <x v="0"/>
    <x v="3"/>
    <n v="1"/>
    <n v="1535"/>
    <x v="1"/>
    <x v="0"/>
    <n v="64"/>
    <n v="2"/>
    <x v="2"/>
    <x v="5"/>
    <x v="0"/>
    <x v="2"/>
    <n v="7083"/>
    <x v="1"/>
    <n v="12288"/>
    <n v="1"/>
    <s v="Y"/>
    <x v="1"/>
    <n v="14"/>
    <n v="3"/>
    <n v="4"/>
    <n v="80"/>
    <n v="0"/>
    <n v="10"/>
    <n v="3"/>
    <x v="0"/>
    <x v="10"/>
    <x v="9"/>
    <n v="8"/>
  </r>
  <r>
    <s v="RM1088"/>
    <n v="34"/>
    <x v="1"/>
    <s v="No"/>
    <n v="0"/>
    <s v="Travel_Rarely"/>
    <n v="1440"/>
    <x v="1"/>
    <x v="17"/>
    <x v="1"/>
    <x v="3"/>
    <n v="1"/>
    <n v="1541"/>
    <x v="2"/>
    <x v="0"/>
    <n v="55"/>
    <n v="3"/>
    <x v="0"/>
    <x v="1"/>
    <x v="0"/>
    <x v="2"/>
    <n v="2308"/>
    <x v="0"/>
    <n v="4944"/>
    <n v="0"/>
    <s v="Y"/>
    <x v="1"/>
    <n v="25"/>
    <n v="4"/>
    <n v="2"/>
    <n v="80"/>
    <n v="1"/>
    <n v="12"/>
    <n v="4"/>
    <x v="0"/>
    <x v="11"/>
    <x v="10"/>
    <n v="5"/>
  </r>
  <r>
    <s v="RM1116"/>
    <n v="34"/>
    <x v="1"/>
    <s v="No"/>
    <n v="0"/>
    <s v="Travel_Rarely"/>
    <n v="479"/>
    <x v="0"/>
    <x v="17"/>
    <x v="3"/>
    <x v="1"/>
    <n v="1"/>
    <n v="1577"/>
    <x v="3"/>
    <x v="0"/>
    <n v="35"/>
    <n v="3"/>
    <x v="0"/>
    <x v="2"/>
    <x v="2"/>
    <x v="0"/>
    <n v="2972"/>
    <x v="0"/>
    <n v="22061"/>
    <n v="1"/>
    <s v="Y"/>
    <x v="0"/>
    <n v="13"/>
    <n v="3"/>
    <n v="3"/>
    <n v="80"/>
    <n v="0"/>
    <n v="1"/>
    <n v="4"/>
    <x v="2"/>
    <x v="1"/>
    <x v="0"/>
    <n v="0"/>
  </r>
  <r>
    <s v="RM1118"/>
    <n v="34"/>
    <x v="1"/>
    <s v="No"/>
    <n v="0"/>
    <s v="Travel_Rarely"/>
    <n v="1351"/>
    <x v="0"/>
    <x v="4"/>
    <x v="3"/>
    <x v="0"/>
    <n v="1"/>
    <n v="1580"/>
    <x v="2"/>
    <x v="0"/>
    <n v="45"/>
    <n v="3"/>
    <x v="1"/>
    <x v="2"/>
    <x v="2"/>
    <x v="2"/>
    <n v="5484"/>
    <x v="1"/>
    <n v="13008"/>
    <n v="9"/>
    <s v="Y"/>
    <x v="0"/>
    <n v="17"/>
    <n v="3"/>
    <n v="2"/>
    <n v="80"/>
    <n v="1"/>
    <n v="9"/>
    <n v="3"/>
    <x v="3"/>
    <x v="2"/>
    <x v="2"/>
    <n v="2"/>
  </r>
  <r>
    <s v="RM1132"/>
    <n v="34"/>
    <x v="1"/>
    <s v="No"/>
    <n v="0"/>
    <s v="Travel_Frequently"/>
    <n v="653"/>
    <x v="0"/>
    <x v="1"/>
    <x v="3"/>
    <x v="3"/>
    <n v="1"/>
    <n v="1597"/>
    <x v="1"/>
    <x v="0"/>
    <n v="92"/>
    <n v="2"/>
    <x v="1"/>
    <x v="6"/>
    <x v="0"/>
    <x v="2"/>
    <n v="5063"/>
    <x v="1"/>
    <n v="15332"/>
    <n v="1"/>
    <s v="Y"/>
    <x v="0"/>
    <n v="14"/>
    <n v="3"/>
    <n v="2"/>
    <n v="80"/>
    <n v="1"/>
    <n v="8"/>
    <n v="3"/>
    <x v="3"/>
    <x v="8"/>
    <x v="2"/>
    <n v="7"/>
  </r>
  <r>
    <s v="RM1147"/>
    <n v="34"/>
    <x v="1"/>
    <s v="No"/>
    <n v="0"/>
    <s v="Travel_Frequently"/>
    <n v="426"/>
    <x v="0"/>
    <x v="1"/>
    <x v="3"/>
    <x v="0"/>
    <n v="1"/>
    <n v="1615"/>
    <x v="0"/>
    <x v="0"/>
    <n v="42"/>
    <n v="4"/>
    <x v="1"/>
    <x v="4"/>
    <x v="2"/>
    <x v="1"/>
    <n v="4724"/>
    <x v="0"/>
    <n v="17000"/>
    <n v="1"/>
    <s v="Y"/>
    <x v="0"/>
    <n v="13"/>
    <n v="3"/>
    <n v="1"/>
    <n v="80"/>
    <n v="1"/>
    <n v="9"/>
    <n v="3"/>
    <x v="0"/>
    <x v="9"/>
    <x v="6"/>
    <n v="7"/>
  </r>
  <r>
    <s v="RM1180"/>
    <n v="34"/>
    <x v="1"/>
    <s v="No"/>
    <n v="0"/>
    <s v="Travel_Rarely"/>
    <n v="1130"/>
    <x v="0"/>
    <x v="0"/>
    <x v="0"/>
    <x v="0"/>
    <n v="1"/>
    <n v="1658"/>
    <x v="1"/>
    <x v="1"/>
    <n v="66"/>
    <n v="3"/>
    <x v="1"/>
    <x v="2"/>
    <x v="1"/>
    <x v="1"/>
    <n v="5433"/>
    <x v="1"/>
    <n v="19332"/>
    <n v="1"/>
    <s v="Y"/>
    <x v="0"/>
    <n v="12"/>
    <n v="3"/>
    <n v="3"/>
    <n v="80"/>
    <n v="1"/>
    <n v="11"/>
    <n v="2"/>
    <x v="0"/>
    <x v="11"/>
    <x v="7"/>
    <n v="7"/>
  </r>
  <r>
    <s v="RM1209"/>
    <n v="34"/>
    <x v="1"/>
    <s v="No"/>
    <n v="0"/>
    <s v="Travel_Rarely"/>
    <n v="1157"/>
    <x v="0"/>
    <x v="2"/>
    <x v="1"/>
    <x v="1"/>
    <n v="1"/>
    <n v="1696"/>
    <x v="2"/>
    <x v="0"/>
    <n v="57"/>
    <n v="2"/>
    <x v="1"/>
    <x v="0"/>
    <x v="2"/>
    <x v="2"/>
    <n v="3986"/>
    <x v="0"/>
    <n v="11912"/>
    <n v="1"/>
    <s v="Y"/>
    <x v="0"/>
    <n v="14"/>
    <n v="3"/>
    <n v="3"/>
    <n v="80"/>
    <n v="1"/>
    <n v="15"/>
    <n v="3"/>
    <x v="1"/>
    <x v="15"/>
    <x v="10"/>
    <n v="4"/>
  </r>
  <r>
    <s v="RM1213"/>
    <n v="34"/>
    <x v="1"/>
    <s v="No"/>
    <n v="0"/>
    <s v="Travel_Rarely"/>
    <n v="678"/>
    <x v="0"/>
    <x v="19"/>
    <x v="0"/>
    <x v="0"/>
    <n v="1"/>
    <n v="1701"/>
    <x v="2"/>
    <x v="1"/>
    <n v="35"/>
    <n v="2"/>
    <x v="0"/>
    <x v="2"/>
    <x v="2"/>
    <x v="2"/>
    <n v="2929"/>
    <x v="0"/>
    <n v="20338"/>
    <n v="1"/>
    <s v="Y"/>
    <x v="0"/>
    <n v="12"/>
    <n v="3"/>
    <n v="2"/>
    <n v="80"/>
    <n v="0"/>
    <n v="10"/>
    <n v="3"/>
    <x v="0"/>
    <x v="10"/>
    <x v="9"/>
    <n v="8"/>
  </r>
  <r>
    <s v="RM1253"/>
    <n v="34"/>
    <x v="1"/>
    <s v="No"/>
    <n v="0"/>
    <s v="Travel_Rarely"/>
    <n v="181"/>
    <x v="0"/>
    <x v="7"/>
    <x v="3"/>
    <x v="1"/>
    <n v="1"/>
    <n v="1755"/>
    <x v="1"/>
    <x v="0"/>
    <n v="97"/>
    <n v="4"/>
    <x v="0"/>
    <x v="2"/>
    <x v="2"/>
    <x v="2"/>
    <n v="2932"/>
    <x v="0"/>
    <n v="5586"/>
    <n v="0"/>
    <s v="Y"/>
    <x v="1"/>
    <n v="14"/>
    <n v="3"/>
    <n v="1"/>
    <n v="80"/>
    <n v="3"/>
    <n v="6"/>
    <n v="3"/>
    <x v="0"/>
    <x v="5"/>
    <x v="0"/>
    <n v="1"/>
  </r>
  <r>
    <s v="RM1268"/>
    <n v="34"/>
    <x v="1"/>
    <s v="No"/>
    <n v="0"/>
    <s v="Non-Travel"/>
    <n v="1375"/>
    <x v="1"/>
    <x v="1"/>
    <x v="0"/>
    <x v="0"/>
    <n v="1"/>
    <n v="1774"/>
    <x v="1"/>
    <x v="0"/>
    <n v="87"/>
    <n v="3"/>
    <x v="1"/>
    <x v="5"/>
    <x v="0"/>
    <x v="1"/>
    <n v="4001"/>
    <x v="0"/>
    <n v="12313"/>
    <n v="1"/>
    <s v="Y"/>
    <x v="1"/>
    <n v="14"/>
    <n v="3"/>
    <n v="3"/>
    <n v="80"/>
    <n v="1"/>
    <n v="15"/>
    <n v="3"/>
    <x v="0"/>
    <x v="15"/>
    <x v="13"/>
    <n v="0"/>
  </r>
  <r>
    <s v="RM1271"/>
    <n v="34"/>
    <x v="1"/>
    <s v="No"/>
    <n v="0"/>
    <s v="Travel_Rarely"/>
    <n v="511"/>
    <x v="1"/>
    <x v="0"/>
    <x v="1"/>
    <x v="0"/>
    <n v="1"/>
    <n v="1779"/>
    <x v="1"/>
    <x v="1"/>
    <n v="32"/>
    <n v="1"/>
    <x v="1"/>
    <x v="5"/>
    <x v="2"/>
    <x v="0"/>
    <n v="6029"/>
    <x v="1"/>
    <n v="25353"/>
    <n v="5"/>
    <s v="Y"/>
    <x v="0"/>
    <n v="12"/>
    <n v="3"/>
    <n v="1"/>
    <n v="80"/>
    <n v="0"/>
    <n v="6"/>
    <n v="3"/>
    <x v="0"/>
    <x v="2"/>
    <x v="2"/>
    <n v="2"/>
  </r>
  <r>
    <s v="RM1291"/>
    <n v="34"/>
    <x v="1"/>
    <s v="Yes"/>
    <n v="1"/>
    <s v="Travel_Frequently"/>
    <n v="234"/>
    <x v="0"/>
    <x v="9"/>
    <x v="3"/>
    <x v="0"/>
    <n v="1"/>
    <n v="1807"/>
    <x v="1"/>
    <x v="0"/>
    <n v="93"/>
    <n v="3"/>
    <x v="1"/>
    <x v="0"/>
    <x v="3"/>
    <x v="2"/>
    <n v="5346"/>
    <x v="1"/>
    <n v="6208"/>
    <n v="4"/>
    <s v="Y"/>
    <x v="0"/>
    <n v="17"/>
    <n v="3"/>
    <n v="3"/>
    <n v="80"/>
    <n v="1"/>
    <n v="11"/>
    <n v="3"/>
    <x v="3"/>
    <x v="7"/>
    <x v="1"/>
    <n v="0"/>
  </r>
  <r>
    <s v="RM1301"/>
    <n v="34"/>
    <x v="1"/>
    <s v="No"/>
    <n v="0"/>
    <s v="Travel_Rarely"/>
    <n v="810"/>
    <x v="1"/>
    <x v="3"/>
    <x v="1"/>
    <x v="3"/>
    <n v="1"/>
    <n v="1823"/>
    <x v="2"/>
    <x v="0"/>
    <n v="92"/>
    <n v="4"/>
    <x v="1"/>
    <x v="5"/>
    <x v="0"/>
    <x v="2"/>
    <n v="6799"/>
    <x v="1"/>
    <n v="22128"/>
    <n v="1"/>
    <s v="Y"/>
    <x v="0"/>
    <n v="21"/>
    <n v="4"/>
    <n v="3"/>
    <n v="80"/>
    <n v="2"/>
    <n v="10"/>
    <n v="5"/>
    <x v="0"/>
    <x v="10"/>
    <x v="7"/>
    <n v="4"/>
  </r>
  <r>
    <s v="RM1343"/>
    <n v="34"/>
    <x v="1"/>
    <s v="No"/>
    <n v="0"/>
    <s v="Travel_Rarely"/>
    <n v="1480"/>
    <x v="1"/>
    <x v="12"/>
    <x v="0"/>
    <x v="0"/>
    <n v="1"/>
    <n v="1882"/>
    <x v="0"/>
    <x v="0"/>
    <n v="64"/>
    <n v="3"/>
    <x v="2"/>
    <x v="5"/>
    <x v="2"/>
    <x v="2"/>
    <n v="9713"/>
    <x v="1"/>
    <n v="24444"/>
    <n v="2"/>
    <s v="Y"/>
    <x v="1"/>
    <n v="13"/>
    <n v="3"/>
    <n v="4"/>
    <n v="80"/>
    <n v="3"/>
    <n v="9"/>
    <n v="3"/>
    <x v="0"/>
    <x v="5"/>
    <x v="3"/>
    <n v="1"/>
  </r>
  <r>
    <s v="RM1354"/>
    <n v="34"/>
    <x v="1"/>
    <s v="Yes"/>
    <n v="1"/>
    <s v="Non-Travel"/>
    <n v="967"/>
    <x v="0"/>
    <x v="18"/>
    <x v="3"/>
    <x v="3"/>
    <n v="1"/>
    <n v="1905"/>
    <x v="1"/>
    <x v="0"/>
    <n v="85"/>
    <n v="1"/>
    <x v="0"/>
    <x v="2"/>
    <x v="3"/>
    <x v="2"/>
    <n v="2307"/>
    <x v="0"/>
    <n v="14460"/>
    <n v="1"/>
    <s v="Y"/>
    <x v="1"/>
    <n v="23"/>
    <n v="4"/>
    <n v="2"/>
    <n v="80"/>
    <n v="1"/>
    <n v="5"/>
    <n v="2"/>
    <x v="0"/>
    <x v="5"/>
    <x v="2"/>
    <n v="3"/>
  </r>
  <r>
    <s v="RM1360"/>
    <n v="34"/>
    <x v="1"/>
    <s v="No"/>
    <n v="0"/>
    <s v="Travel_Rarely"/>
    <n v="735"/>
    <x v="1"/>
    <x v="0"/>
    <x v="2"/>
    <x v="1"/>
    <n v="1"/>
    <n v="1915"/>
    <x v="1"/>
    <x v="1"/>
    <n v="75"/>
    <n v="2"/>
    <x v="1"/>
    <x v="5"/>
    <x v="2"/>
    <x v="2"/>
    <n v="8103"/>
    <x v="1"/>
    <n v="16495"/>
    <n v="3"/>
    <s v="Y"/>
    <x v="1"/>
    <n v="12"/>
    <n v="3"/>
    <n v="3"/>
    <n v="80"/>
    <n v="0"/>
    <n v="9"/>
    <n v="3"/>
    <x v="3"/>
    <x v="4"/>
    <x v="2"/>
    <n v="0"/>
  </r>
  <r>
    <s v="RM1369"/>
    <n v="34"/>
    <x v="1"/>
    <s v="No"/>
    <n v="0"/>
    <s v="Travel_Frequently"/>
    <n v="735"/>
    <x v="0"/>
    <x v="6"/>
    <x v="3"/>
    <x v="4"/>
    <n v="1"/>
    <n v="1932"/>
    <x v="0"/>
    <x v="0"/>
    <n v="86"/>
    <n v="2"/>
    <x v="1"/>
    <x v="2"/>
    <x v="2"/>
    <x v="2"/>
    <n v="5747"/>
    <x v="1"/>
    <n v="26496"/>
    <n v="1"/>
    <s v="Y"/>
    <x v="1"/>
    <n v="15"/>
    <n v="3"/>
    <n v="2"/>
    <n v="80"/>
    <n v="0"/>
    <n v="16"/>
    <n v="3"/>
    <x v="0"/>
    <x v="15"/>
    <x v="10"/>
    <n v="6"/>
  </r>
  <r>
    <s v="RM1385"/>
    <n v="34"/>
    <x v="1"/>
    <s v="No"/>
    <n v="0"/>
    <s v="Travel_Rarely"/>
    <n v="937"/>
    <x v="1"/>
    <x v="4"/>
    <x v="0"/>
    <x v="2"/>
    <n v="1"/>
    <n v="1950"/>
    <x v="3"/>
    <x v="0"/>
    <n v="32"/>
    <n v="3"/>
    <x v="2"/>
    <x v="5"/>
    <x v="2"/>
    <x v="0"/>
    <n v="9888"/>
    <x v="1"/>
    <n v="6770"/>
    <n v="1"/>
    <s v="Y"/>
    <x v="0"/>
    <n v="21"/>
    <n v="4"/>
    <n v="1"/>
    <n v="80"/>
    <n v="0"/>
    <n v="14"/>
    <n v="3"/>
    <x v="3"/>
    <x v="14"/>
    <x v="7"/>
    <n v="2"/>
  </r>
  <r>
    <s v="RM1386"/>
    <n v="34"/>
    <x v="1"/>
    <s v="No"/>
    <n v="0"/>
    <s v="Travel_Rarely"/>
    <n v="1239"/>
    <x v="1"/>
    <x v="25"/>
    <x v="3"/>
    <x v="1"/>
    <n v="1"/>
    <n v="1951"/>
    <x v="1"/>
    <x v="0"/>
    <n v="39"/>
    <n v="3"/>
    <x v="2"/>
    <x v="5"/>
    <x v="0"/>
    <x v="1"/>
    <n v="8628"/>
    <x v="1"/>
    <n v="22914"/>
    <n v="1"/>
    <s v="Y"/>
    <x v="0"/>
    <n v="18"/>
    <n v="3"/>
    <n v="3"/>
    <n v="80"/>
    <n v="1"/>
    <n v="9"/>
    <n v="2"/>
    <x v="3"/>
    <x v="8"/>
    <x v="6"/>
    <n v="1"/>
  </r>
  <r>
    <s v="RM1447"/>
    <n v="34"/>
    <x v="1"/>
    <s v="No"/>
    <n v="0"/>
    <s v="Travel_Rarely"/>
    <n v="704"/>
    <x v="1"/>
    <x v="27"/>
    <x v="0"/>
    <x v="2"/>
    <n v="1"/>
    <n v="2035"/>
    <x v="1"/>
    <x v="1"/>
    <n v="95"/>
    <n v="2"/>
    <x v="1"/>
    <x v="5"/>
    <x v="0"/>
    <x v="2"/>
    <n v="6712"/>
    <x v="1"/>
    <n v="8978"/>
    <n v="1"/>
    <s v="Y"/>
    <x v="0"/>
    <n v="21"/>
    <n v="4"/>
    <n v="4"/>
    <n v="80"/>
    <n v="2"/>
    <n v="8"/>
    <n v="2"/>
    <x v="0"/>
    <x v="8"/>
    <x v="6"/>
    <n v="1"/>
  </r>
  <r>
    <s v="RM1470"/>
    <n v="34"/>
    <x v="1"/>
    <s v="No"/>
    <n v="0"/>
    <s v="Travel_Rarely"/>
    <n v="628"/>
    <x v="0"/>
    <x v="3"/>
    <x v="0"/>
    <x v="1"/>
    <n v="1"/>
    <n v="2068"/>
    <x v="2"/>
    <x v="0"/>
    <n v="82"/>
    <n v="4"/>
    <x v="1"/>
    <x v="0"/>
    <x v="0"/>
    <x v="2"/>
    <n v="4404"/>
    <x v="0"/>
    <n v="10228"/>
    <n v="2"/>
    <s v="Y"/>
    <x v="0"/>
    <n v="12"/>
    <n v="3"/>
    <n v="1"/>
    <n v="80"/>
    <n v="0"/>
    <n v="6"/>
    <n v="3"/>
    <x v="1"/>
    <x v="4"/>
    <x v="3"/>
    <n v="1"/>
  </r>
  <r>
    <s v="RM011"/>
    <n v="35"/>
    <x v="1"/>
    <s v="No"/>
    <n v="0"/>
    <s v="Travel_Rarely"/>
    <n v="809"/>
    <x v="0"/>
    <x v="18"/>
    <x v="0"/>
    <x v="1"/>
    <n v="1"/>
    <n v="14"/>
    <x v="3"/>
    <x v="0"/>
    <n v="84"/>
    <n v="4"/>
    <x v="0"/>
    <x v="0"/>
    <x v="1"/>
    <x v="2"/>
    <n v="2426"/>
    <x v="0"/>
    <n v="16479"/>
    <n v="0"/>
    <s v="Y"/>
    <x v="0"/>
    <n v="13"/>
    <n v="3"/>
    <n v="3"/>
    <n v="80"/>
    <n v="1"/>
    <n v="6"/>
    <n v="5"/>
    <x v="0"/>
    <x v="5"/>
    <x v="4"/>
    <n v="0"/>
  </r>
  <r>
    <s v="RM038"/>
    <n v="35"/>
    <x v="1"/>
    <s v="No"/>
    <n v="0"/>
    <s v="Travel_Rarely"/>
    <n v="890"/>
    <x v="1"/>
    <x v="7"/>
    <x v="0"/>
    <x v="2"/>
    <n v="1"/>
    <n v="49"/>
    <x v="1"/>
    <x v="1"/>
    <n v="97"/>
    <n v="3"/>
    <x v="0"/>
    <x v="1"/>
    <x v="2"/>
    <x v="2"/>
    <n v="2014"/>
    <x v="0"/>
    <n v="9687"/>
    <n v="1"/>
    <s v="Y"/>
    <x v="0"/>
    <n v="13"/>
    <n v="3"/>
    <n v="1"/>
    <n v="80"/>
    <n v="0"/>
    <n v="2"/>
    <n v="3"/>
    <x v="0"/>
    <x v="2"/>
    <x v="2"/>
    <n v="2"/>
  </r>
  <r>
    <s v="RM041"/>
    <n v="35"/>
    <x v="1"/>
    <s v="No"/>
    <n v="0"/>
    <s v="Travel_Rarely"/>
    <n v="464"/>
    <x v="0"/>
    <x v="12"/>
    <x v="1"/>
    <x v="4"/>
    <n v="1"/>
    <n v="53"/>
    <x v="0"/>
    <x v="0"/>
    <n v="75"/>
    <n v="3"/>
    <x v="0"/>
    <x v="0"/>
    <x v="2"/>
    <x v="1"/>
    <n v="1951"/>
    <x v="0"/>
    <n v="10910"/>
    <n v="1"/>
    <s v="Y"/>
    <x v="0"/>
    <n v="12"/>
    <n v="3"/>
    <n v="3"/>
    <n v="80"/>
    <n v="1"/>
    <n v="1"/>
    <n v="3"/>
    <x v="0"/>
    <x v="1"/>
    <x v="0"/>
    <n v="0"/>
  </r>
  <r>
    <s v="RM050"/>
    <n v="35"/>
    <x v="1"/>
    <s v="No"/>
    <n v="0"/>
    <s v="Travel_Rarely"/>
    <n v="1229"/>
    <x v="0"/>
    <x v="3"/>
    <x v="2"/>
    <x v="0"/>
    <n v="1"/>
    <n v="63"/>
    <x v="1"/>
    <x v="0"/>
    <n v="36"/>
    <n v="4"/>
    <x v="0"/>
    <x v="0"/>
    <x v="2"/>
    <x v="2"/>
    <n v="2269"/>
    <x v="0"/>
    <n v="4892"/>
    <n v="1"/>
    <s v="Y"/>
    <x v="0"/>
    <n v="19"/>
    <n v="3"/>
    <n v="4"/>
    <n v="80"/>
    <n v="0"/>
    <n v="1"/>
    <n v="2"/>
    <x v="0"/>
    <x v="1"/>
    <x v="0"/>
    <n v="0"/>
  </r>
  <r>
    <s v="RM054"/>
    <n v="35"/>
    <x v="1"/>
    <s v="No"/>
    <n v="0"/>
    <s v="Non-Travel"/>
    <n v="1097"/>
    <x v="0"/>
    <x v="13"/>
    <x v="1"/>
    <x v="1"/>
    <n v="1"/>
    <n v="70"/>
    <x v="0"/>
    <x v="0"/>
    <n v="79"/>
    <n v="2"/>
    <x v="2"/>
    <x v="6"/>
    <x v="3"/>
    <x v="2"/>
    <n v="9884"/>
    <x v="1"/>
    <n v="8302"/>
    <n v="2"/>
    <s v="Y"/>
    <x v="1"/>
    <n v="13"/>
    <n v="3"/>
    <n v="3"/>
    <n v="80"/>
    <n v="1"/>
    <n v="10"/>
    <n v="3"/>
    <x v="0"/>
    <x v="4"/>
    <x v="0"/>
    <n v="2"/>
  </r>
  <r>
    <s v="RM057"/>
    <n v="35"/>
    <x v="1"/>
    <s v="No"/>
    <n v="0"/>
    <s v="Travel_Frequently"/>
    <n v="853"/>
    <x v="1"/>
    <x v="16"/>
    <x v="4"/>
    <x v="0"/>
    <n v="1"/>
    <n v="74"/>
    <x v="2"/>
    <x v="0"/>
    <n v="71"/>
    <n v="3"/>
    <x v="2"/>
    <x v="5"/>
    <x v="3"/>
    <x v="2"/>
    <n v="9069"/>
    <x v="1"/>
    <n v="11031"/>
    <n v="1"/>
    <s v="Y"/>
    <x v="0"/>
    <n v="22"/>
    <n v="4"/>
    <n v="4"/>
    <n v="80"/>
    <n v="1"/>
    <n v="9"/>
    <n v="3"/>
    <x v="3"/>
    <x v="9"/>
    <x v="7"/>
    <n v="1"/>
  </r>
  <r>
    <s v="RM058"/>
    <n v="35"/>
    <x v="1"/>
    <s v="No"/>
    <n v="0"/>
    <s v="Travel_Rarely"/>
    <n v="1142"/>
    <x v="0"/>
    <x v="23"/>
    <x v="3"/>
    <x v="1"/>
    <n v="1"/>
    <n v="75"/>
    <x v="0"/>
    <x v="1"/>
    <n v="30"/>
    <n v="3"/>
    <x v="0"/>
    <x v="0"/>
    <x v="3"/>
    <x v="2"/>
    <n v="4014"/>
    <x v="0"/>
    <n v="16002"/>
    <n v="3"/>
    <s v="Y"/>
    <x v="1"/>
    <n v="15"/>
    <n v="3"/>
    <n v="3"/>
    <n v="80"/>
    <n v="1"/>
    <n v="4"/>
    <n v="3"/>
    <x v="0"/>
    <x v="2"/>
    <x v="2"/>
    <n v="2"/>
  </r>
  <r>
    <s v="RM069"/>
    <n v="35"/>
    <x v="1"/>
    <s v="No"/>
    <n v="0"/>
    <s v="Travel_Frequently"/>
    <n v="664"/>
    <x v="0"/>
    <x v="4"/>
    <x v="0"/>
    <x v="1"/>
    <n v="1"/>
    <n v="88"/>
    <x v="2"/>
    <x v="0"/>
    <n v="79"/>
    <n v="3"/>
    <x v="0"/>
    <x v="2"/>
    <x v="3"/>
    <x v="2"/>
    <n v="2194"/>
    <x v="0"/>
    <n v="5868"/>
    <n v="4"/>
    <s v="Y"/>
    <x v="0"/>
    <n v="13"/>
    <n v="3"/>
    <n v="4"/>
    <n v="80"/>
    <n v="1"/>
    <n v="5"/>
    <n v="2"/>
    <x v="3"/>
    <x v="3"/>
    <x v="2"/>
    <n v="1"/>
  </r>
  <r>
    <s v="RM077"/>
    <n v="35"/>
    <x v="1"/>
    <s v="No"/>
    <n v="0"/>
    <s v="Travel_Rarely"/>
    <n v="776"/>
    <x v="1"/>
    <x v="4"/>
    <x v="3"/>
    <x v="2"/>
    <n v="1"/>
    <n v="100"/>
    <x v="0"/>
    <x v="0"/>
    <n v="32"/>
    <n v="2"/>
    <x v="1"/>
    <x v="5"/>
    <x v="3"/>
    <x v="0"/>
    <n v="4312"/>
    <x v="0"/>
    <n v="23016"/>
    <n v="0"/>
    <s v="Y"/>
    <x v="0"/>
    <n v="14"/>
    <n v="3"/>
    <n v="2"/>
    <n v="80"/>
    <n v="0"/>
    <n v="16"/>
    <n v="2"/>
    <x v="0"/>
    <x v="15"/>
    <x v="12"/>
    <n v="2"/>
  </r>
  <r>
    <s v="RM082"/>
    <n v="35"/>
    <x v="1"/>
    <s v="No"/>
    <n v="0"/>
    <s v="Travel_Rarely"/>
    <n v="1214"/>
    <x v="0"/>
    <x v="4"/>
    <x v="0"/>
    <x v="1"/>
    <n v="1"/>
    <n v="105"/>
    <x v="2"/>
    <x v="0"/>
    <n v="30"/>
    <n v="2"/>
    <x v="0"/>
    <x v="2"/>
    <x v="0"/>
    <x v="0"/>
    <n v="2859"/>
    <x v="0"/>
    <n v="26278"/>
    <n v="1"/>
    <s v="Y"/>
    <x v="0"/>
    <n v="18"/>
    <n v="3"/>
    <n v="1"/>
    <n v="80"/>
    <n v="0"/>
    <n v="6"/>
    <n v="3"/>
    <x v="0"/>
    <x v="6"/>
    <x v="4"/>
    <n v="0"/>
  </r>
  <r>
    <s v="RM152"/>
    <n v="35"/>
    <x v="1"/>
    <s v="No"/>
    <n v="0"/>
    <s v="Travel_Rarely"/>
    <n v="662"/>
    <x v="1"/>
    <x v="4"/>
    <x v="4"/>
    <x v="2"/>
    <n v="1"/>
    <n v="204"/>
    <x v="0"/>
    <x v="0"/>
    <n v="94"/>
    <n v="3"/>
    <x v="2"/>
    <x v="5"/>
    <x v="1"/>
    <x v="2"/>
    <n v="7295"/>
    <x v="1"/>
    <n v="11439"/>
    <n v="1"/>
    <s v="Y"/>
    <x v="0"/>
    <n v="13"/>
    <n v="3"/>
    <n v="1"/>
    <n v="80"/>
    <n v="2"/>
    <n v="10"/>
    <n v="3"/>
    <x v="0"/>
    <x v="10"/>
    <x v="7"/>
    <n v="0"/>
  </r>
  <r>
    <s v="RM193"/>
    <n v="35"/>
    <x v="1"/>
    <s v="Yes"/>
    <n v="1"/>
    <s v="Travel_Rarely"/>
    <n v="556"/>
    <x v="0"/>
    <x v="23"/>
    <x v="1"/>
    <x v="0"/>
    <n v="1"/>
    <n v="261"/>
    <x v="2"/>
    <x v="0"/>
    <n v="50"/>
    <n v="2"/>
    <x v="1"/>
    <x v="4"/>
    <x v="0"/>
    <x v="2"/>
    <n v="5916"/>
    <x v="1"/>
    <n v="15497"/>
    <n v="3"/>
    <s v="Y"/>
    <x v="1"/>
    <n v="13"/>
    <n v="3"/>
    <n v="1"/>
    <n v="80"/>
    <n v="0"/>
    <n v="8"/>
    <n v="1"/>
    <x v="0"/>
    <x v="1"/>
    <x v="0"/>
    <n v="0"/>
  </r>
  <r>
    <s v="RM197"/>
    <n v="35"/>
    <x v="1"/>
    <s v="No"/>
    <n v="0"/>
    <s v="Travel_Frequently"/>
    <n v="138"/>
    <x v="0"/>
    <x v="7"/>
    <x v="0"/>
    <x v="1"/>
    <n v="1"/>
    <n v="269"/>
    <x v="2"/>
    <x v="1"/>
    <n v="37"/>
    <n v="3"/>
    <x v="1"/>
    <x v="0"/>
    <x v="1"/>
    <x v="0"/>
    <n v="4425"/>
    <x v="0"/>
    <n v="15986"/>
    <n v="5"/>
    <s v="Y"/>
    <x v="0"/>
    <n v="11"/>
    <n v="3"/>
    <n v="4"/>
    <n v="80"/>
    <n v="0"/>
    <n v="10"/>
    <n v="5"/>
    <x v="0"/>
    <x v="6"/>
    <x v="2"/>
    <n v="1"/>
  </r>
  <r>
    <s v="RM229"/>
    <n v="35"/>
    <x v="1"/>
    <s v="No"/>
    <n v="0"/>
    <s v="Travel_Frequently"/>
    <n v="944"/>
    <x v="1"/>
    <x v="4"/>
    <x v="0"/>
    <x v="2"/>
    <n v="1"/>
    <n v="314"/>
    <x v="0"/>
    <x v="1"/>
    <n v="92"/>
    <n v="3"/>
    <x v="2"/>
    <x v="5"/>
    <x v="0"/>
    <x v="0"/>
    <n v="8789"/>
    <x v="1"/>
    <n v="9096"/>
    <n v="1"/>
    <s v="Y"/>
    <x v="0"/>
    <n v="14"/>
    <n v="3"/>
    <n v="1"/>
    <n v="80"/>
    <n v="0"/>
    <n v="10"/>
    <n v="3"/>
    <x v="1"/>
    <x v="10"/>
    <x v="6"/>
    <n v="0"/>
  </r>
  <r>
    <s v="RM277"/>
    <n v="35"/>
    <x v="1"/>
    <s v="No"/>
    <n v="0"/>
    <s v="Travel_Rarely"/>
    <n v="1315"/>
    <x v="0"/>
    <x v="6"/>
    <x v="0"/>
    <x v="0"/>
    <n v="1"/>
    <n v="381"/>
    <x v="2"/>
    <x v="1"/>
    <n v="71"/>
    <n v="4"/>
    <x v="2"/>
    <x v="8"/>
    <x v="1"/>
    <x v="1"/>
    <n v="11996"/>
    <x v="2"/>
    <n v="19100"/>
    <n v="7"/>
    <s v="Y"/>
    <x v="0"/>
    <n v="18"/>
    <n v="3"/>
    <n v="2"/>
    <n v="80"/>
    <n v="1"/>
    <n v="10"/>
    <n v="6"/>
    <x v="3"/>
    <x v="7"/>
    <x v="6"/>
    <n v="6"/>
  </r>
  <r>
    <s v="RM298"/>
    <n v="35"/>
    <x v="1"/>
    <s v="No"/>
    <n v="0"/>
    <s v="Travel_Rarely"/>
    <n v="1232"/>
    <x v="1"/>
    <x v="18"/>
    <x v="0"/>
    <x v="2"/>
    <n v="1"/>
    <n v="406"/>
    <x v="0"/>
    <x v="0"/>
    <n v="96"/>
    <n v="3"/>
    <x v="2"/>
    <x v="5"/>
    <x v="1"/>
    <x v="2"/>
    <n v="8020"/>
    <x v="1"/>
    <n v="5100"/>
    <n v="0"/>
    <s v="Y"/>
    <x v="0"/>
    <n v="15"/>
    <n v="3"/>
    <n v="3"/>
    <n v="80"/>
    <n v="2"/>
    <n v="12"/>
    <n v="3"/>
    <x v="3"/>
    <x v="11"/>
    <x v="9"/>
    <n v="6"/>
  </r>
  <r>
    <s v="RM345"/>
    <n v="35"/>
    <x v="1"/>
    <s v="No"/>
    <n v="0"/>
    <s v="Travel_Rarely"/>
    <n v="1296"/>
    <x v="0"/>
    <x v="2"/>
    <x v="3"/>
    <x v="3"/>
    <n v="1"/>
    <n v="464"/>
    <x v="0"/>
    <x v="0"/>
    <n v="62"/>
    <n v="3"/>
    <x v="2"/>
    <x v="4"/>
    <x v="1"/>
    <x v="0"/>
    <n v="8095"/>
    <x v="1"/>
    <n v="18264"/>
    <n v="0"/>
    <s v="Y"/>
    <x v="0"/>
    <n v="13"/>
    <n v="3"/>
    <n v="4"/>
    <n v="80"/>
    <n v="0"/>
    <n v="17"/>
    <n v="5"/>
    <x v="0"/>
    <x v="16"/>
    <x v="8"/>
    <n v="0"/>
  </r>
  <r>
    <s v="RM373"/>
    <n v="35"/>
    <x v="1"/>
    <s v="No"/>
    <n v="0"/>
    <s v="Travel_Rarely"/>
    <n v="755"/>
    <x v="0"/>
    <x v="9"/>
    <x v="3"/>
    <x v="0"/>
    <n v="1"/>
    <n v="496"/>
    <x v="0"/>
    <x v="0"/>
    <n v="97"/>
    <n v="2"/>
    <x v="1"/>
    <x v="6"/>
    <x v="1"/>
    <x v="0"/>
    <n v="6540"/>
    <x v="1"/>
    <n v="19394"/>
    <n v="9"/>
    <s v="Y"/>
    <x v="0"/>
    <n v="19"/>
    <n v="3"/>
    <n v="3"/>
    <n v="80"/>
    <n v="0"/>
    <n v="10"/>
    <n v="5"/>
    <x v="0"/>
    <x v="1"/>
    <x v="1"/>
    <n v="0"/>
  </r>
  <r>
    <s v="RM431"/>
    <n v="35"/>
    <x v="1"/>
    <s v="No"/>
    <n v="0"/>
    <s v="Travel_Rarely"/>
    <n v="144"/>
    <x v="0"/>
    <x v="6"/>
    <x v="0"/>
    <x v="0"/>
    <n v="1"/>
    <n v="577"/>
    <x v="1"/>
    <x v="0"/>
    <n v="46"/>
    <n v="1"/>
    <x v="0"/>
    <x v="0"/>
    <x v="0"/>
    <x v="0"/>
    <n v="4230"/>
    <x v="0"/>
    <n v="19225"/>
    <n v="0"/>
    <s v="Y"/>
    <x v="0"/>
    <n v="15"/>
    <n v="3"/>
    <n v="3"/>
    <n v="80"/>
    <n v="0"/>
    <n v="6"/>
    <n v="2"/>
    <x v="0"/>
    <x v="5"/>
    <x v="4"/>
    <n v="4"/>
  </r>
  <r>
    <s v="RM439"/>
    <n v="35"/>
    <x v="1"/>
    <s v="No"/>
    <n v="0"/>
    <s v="Travel_Rarely"/>
    <n v="1276"/>
    <x v="0"/>
    <x v="18"/>
    <x v="0"/>
    <x v="0"/>
    <n v="1"/>
    <n v="586"/>
    <x v="1"/>
    <x v="0"/>
    <n v="72"/>
    <n v="3"/>
    <x v="2"/>
    <x v="6"/>
    <x v="0"/>
    <x v="2"/>
    <n v="7632"/>
    <x v="1"/>
    <n v="14295"/>
    <n v="4"/>
    <s v="Y"/>
    <x v="1"/>
    <n v="12"/>
    <n v="3"/>
    <n v="3"/>
    <n v="80"/>
    <n v="0"/>
    <n v="10"/>
    <n v="2"/>
    <x v="0"/>
    <x v="8"/>
    <x v="6"/>
    <n v="0"/>
  </r>
  <r>
    <s v="RM448"/>
    <n v="35"/>
    <x v="1"/>
    <s v="No"/>
    <n v="0"/>
    <s v="Travel_Rarely"/>
    <n v="619"/>
    <x v="1"/>
    <x v="4"/>
    <x v="0"/>
    <x v="2"/>
    <n v="1"/>
    <n v="600"/>
    <x v="2"/>
    <x v="0"/>
    <n v="85"/>
    <n v="3"/>
    <x v="1"/>
    <x v="5"/>
    <x v="0"/>
    <x v="2"/>
    <n v="4717"/>
    <x v="0"/>
    <n v="18659"/>
    <n v="9"/>
    <s v="Y"/>
    <x v="0"/>
    <n v="11"/>
    <n v="3"/>
    <n v="3"/>
    <n v="80"/>
    <n v="0"/>
    <n v="15"/>
    <n v="2"/>
    <x v="0"/>
    <x v="11"/>
    <x v="9"/>
    <n v="6"/>
  </r>
  <r>
    <s v="RM462"/>
    <n v="35"/>
    <x v="1"/>
    <s v="No"/>
    <n v="0"/>
    <s v="Travel_Rarely"/>
    <n v="195"/>
    <x v="1"/>
    <x v="4"/>
    <x v="0"/>
    <x v="1"/>
    <n v="1"/>
    <n v="620"/>
    <x v="3"/>
    <x v="1"/>
    <n v="80"/>
    <n v="3"/>
    <x v="1"/>
    <x v="5"/>
    <x v="0"/>
    <x v="0"/>
    <n v="4859"/>
    <x v="0"/>
    <n v="6698"/>
    <n v="1"/>
    <s v="Y"/>
    <x v="0"/>
    <n v="16"/>
    <n v="3"/>
    <n v="4"/>
    <n v="80"/>
    <n v="0"/>
    <n v="5"/>
    <n v="3"/>
    <x v="0"/>
    <x v="5"/>
    <x v="4"/>
    <n v="0"/>
  </r>
  <r>
    <s v="RM484"/>
    <n v="35"/>
    <x v="1"/>
    <s v="No"/>
    <n v="0"/>
    <s v="Travel_Rarely"/>
    <n v="538"/>
    <x v="0"/>
    <x v="10"/>
    <x v="1"/>
    <x v="4"/>
    <n v="1"/>
    <n v="652"/>
    <x v="3"/>
    <x v="0"/>
    <n v="54"/>
    <n v="2"/>
    <x v="1"/>
    <x v="0"/>
    <x v="2"/>
    <x v="0"/>
    <n v="3681"/>
    <x v="0"/>
    <n v="14004"/>
    <n v="4"/>
    <s v="Y"/>
    <x v="0"/>
    <n v="14"/>
    <n v="3"/>
    <n v="4"/>
    <n v="80"/>
    <n v="0"/>
    <n v="9"/>
    <n v="3"/>
    <x v="0"/>
    <x v="3"/>
    <x v="2"/>
    <n v="0"/>
  </r>
  <r>
    <s v="RM509"/>
    <n v="35"/>
    <x v="1"/>
    <s v="No"/>
    <n v="0"/>
    <s v="Travel_Rarely"/>
    <n v="1017"/>
    <x v="0"/>
    <x v="11"/>
    <x v="3"/>
    <x v="0"/>
    <n v="1"/>
    <n v="691"/>
    <x v="2"/>
    <x v="0"/>
    <n v="82"/>
    <n v="1"/>
    <x v="1"/>
    <x v="2"/>
    <x v="2"/>
    <x v="0"/>
    <n v="6646"/>
    <x v="1"/>
    <n v="19368"/>
    <n v="1"/>
    <s v="Y"/>
    <x v="0"/>
    <n v="13"/>
    <n v="3"/>
    <n v="2"/>
    <n v="80"/>
    <n v="0"/>
    <n v="17"/>
    <n v="3"/>
    <x v="0"/>
    <x v="17"/>
    <x v="14"/>
    <n v="11"/>
  </r>
  <r>
    <s v="RM516"/>
    <n v="35"/>
    <x v="1"/>
    <s v="No"/>
    <n v="0"/>
    <s v="Non-Travel"/>
    <n v="727"/>
    <x v="0"/>
    <x v="0"/>
    <x v="0"/>
    <x v="0"/>
    <n v="1"/>
    <n v="704"/>
    <x v="0"/>
    <x v="0"/>
    <n v="41"/>
    <n v="2"/>
    <x v="0"/>
    <x v="0"/>
    <x v="0"/>
    <x v="2"/>
    <n v="1281"/>
    <x v="0"/>
    <n v="16900"/>
    <n v="1"/>
    <s v="Y"/>
    <x v="0"/>
    <n v="18"/>
    <n v="3"/>
    <n v="3"/>
    <n v="80"/>
    <n v="2"/>
    <n v="1"/>
    <n v="3"/>
    <x v="0"/>
    <x v="1"/>
    <x v="0"/>
    <n v="0"/>
  </r>
  <r>
    <s v="RM558"/>
    <n v="35"/>
    <x v="1"/>
    <s v="No"/>
    <n v="0"/>
    <s v="Non-Travel"/>
    <n v="1225"/>
    <x v="0"/>
    <x v="7"/>
    <x v="3"/>
    <x v="0"/>
    <n v="1"/>
    <n v="771"/>
    <x v="1"/>
    <x v="1"/>
    <n v="61"/>
    <n v="3"/>
    <x v="1"/>
    <x v="6"/>
    <x v="3"/>
    <x v="1"/>
    <n v="5093"/>
    <x v="1"/>
    <n v="4761"/>
    <n v="2"/>
    <s v="Y"/>
    <x v="0"/>
    <n v="11"/>
    <n v="3"/>
    <n v="1"/>
    <n v="80"/>
    <n v="1"/>
    <n v="16"/>
    <n v="2"/>
    <x v="1"/>
    <x v="1"/>
    <x v="0"/>
    <n v="0"/>
  </r>
  <r>
    <s v="RM581"/>
    <n v="35"/>
    <x v="1"/>
    <s v="No"/>
    <n v="0"/>
    <s v="Travel_Rarely"/>
    <n v="384"/>
    <x v="1"/>
    <x v="3"/>
    <x v="3"/>
    <x v="0"/>
    <n v="1"/>
    <n v="805"/>
    <x v="3"/>
    <x v="1"/>
    <n v="72"/>
    <n v="3"/>
    <x v="0"/>
    <x v="1"/>
    <x v="2"/>
    <x v="2"/>
    <n v="2572"/>
    <x v="0"/>
    <n v="20317"/>
    <n v="1"/>
    <s v="Y"/>
    <x v="0"/>
    <n v="16"/>
    <n v="3"/>
    <n v="2"/>
    <n v="80"/>
    <n v="1"/>
    <n v="3"/>
    <n v="1"/>
    <x v="3"/>
    <x v="3"/>
    <x v="2"/>
    <n v="0"/>
  </r>
  <r>
    <s v="RM597"/>
    <n v="35"/>
    <x v="1"/>
    <s v="No"/>
    <n v="0"/>
    <s v="Travel_Rarely"/>
    <n v="1258"/>
    <x v="0"/>
    <x v="4"/>
    <x v="3"/>
    <x v="0"/>
    <n v="1"/>
    <n v="826"/>
    <x v="1"/>
    <x v="1"/>
    <n v="40"/>
    <n v="4"/>
    <x v="0"/>
    <x v="2"/>
    <x v="0"/>
    <x v="0"/>
    <n v="2506"/>
    <x v="0"/>
    <n v="13301"/>
    <n v="3"/>
    <s v="Y"/>
    <x v="0"/>
    <n v="13"/>
    <n v="3"/>
    <n v="3"/>
    <n v="80"/>
    <n v="0"/>
    <n v="7"/>
    <n v="0"/>
    <x v="0"/>
    <x v="2"/>
    <x v="2"/>
    <n v="2"/>
  </r>
  <r>
    <s v="RM612"/>
    <n v="35"/>
    <x v="1"/>
    <s v="No"/>
    <n v="0"/>
    <s v="Travel_Rarely"/>
    <n v="950"/>
    <x v="0"/>
    <x v="17"/>
    <x v="0"/>
    <x v="4"/>
    <n v="1"/>
    <n v="845"/>
    <x v="0"/>
    <x v="0"/>
    <n v="59"/>
    <n v="3"/>
    <x v="2"/>
    <x v="4"/>
    <x v="0"/>
    <x v="0"/>
    <n v="10221"/>
    <x v="2"/>
    <n v="18869"/>
    <n v="3"/>
    <s v="Y"/>
    <x v="0"/>
    <n v="21"/>
    <n v="4"/>
    <n v="2"/>
    <n v="80"/>
    <n v="0"/>
    <n v="17"/>
    <n v="3"/>
    <x v="1"/>
    <x v="8"/>
    <x v="5"/>
    <n v="1"/>
  </r>
  <r>
    <s v="RM621"/>
    <n v="35"/>
    <x v="1"/>
    <s v="No"/>
    <n v="0"/>
    <s v="Travel_Rarely"/>
    <n v="1343"/>
    <x v="0"/>
    <x v="28"/>
    <x v="2"/>
    <x v="1"/>
    <n v="1"/>
    <n v="856"/>
    <x v="0"/>
    <x v="1"/>
    <n v="53"/>
    <n v="2"/>
    <x v="0"/>
    <x v="2"/>
    <x v="3"/>
    <x v="0"/>
    <n v="2559"/>
    <x v="0"/>
    <n v="17852"/>
    <n v="1"/>
    <s v="Y"/>
    <x v="0"/>
    <n v="11"/>
    <n v="3"/>
    <n v="4"/>
    <n v="80"/>
    <n v="0"/>
    <n v="6"/>
    <n v="3"/>
    <x v="3"/>
    <x v="6"/>
    <x v="5"/>
    <n v="1"/>
  </r>
  <r>
    <s v="RM636"/>
    <n v="35"/>
    <x v="1"/>
    <s v="No"/>
    <n v="0"/>
    <s v="Travel_Rarely"/>
    <n v="607"/>
    <x v="0"/>
    <x v="9"/>
    <x v="0"/>
    <x v="0"/>
    <n v="1"/>
    <n v="880"/>
    <x v="1"/>
    <x v="1"/>
    <n v="66"/>
    <n v="2"/>
    <x v="2"/>
    <x v="4"/>
    <x v="0"/>
    <x v="2"/>
    <n v="10685"/>
    <x v="2"/>
    <n v="23457"/>
    <n v="1"/>
    <s v="Y"/>
    <x v="1"/>
    <n v="20"/>
    <n v="4"/>
    <n v="2"/>
    <n v="80"/>
    <n v="1"/>
    <n v="17"/>
    <n v="2"/>
    <x v="0"/>
    <x v="17"/>
    <x v="13"/>
    <n v="5"/>
  </r>
  <r>
    <s v="RM637"/>
    <n v="35"/>
    <x v="1"/>
    <s v="Yes"/>
    <n v="1"/>
    <s v="Travel_Frequently"/>
    <n v="130"/>
    <x v="0"/>
    <x v="10"/>
    <x v="3"/>
    <x v="0"/>
    <n v="1"/>
    <n v="881"/>
    <x v="1"/>
    <x v="1"/>
    <n v="96"/>
    <n v="3"/>
    <x v="0"/>
    <x v="2"/>
    <x v="1"/>
    <x v="1"/>
    <n v="2022"/>
    <x v="0"/>
    <n v="16612"/>
    <n v="1"/>
    <s v="Y"/>
    <x v="1"/>
    <n v="19"/>
    <n v="3"/>
    <n v="1"/>
    <n v="80"/>
    <n v="1"/>
    <n v="10"/>
    <n v="3"/>
    <x v="3"/>
    <x v="10"/>
    <x v="2"/>
    <n v="7"/>
  </r>
  <r>
    <s v="RM648"/>
    <n v="35"/>
    <x v="1"/>
    <s v="No"/>
    <n v="0"/>
    <s v="Travel_Rarely"/>
    <n v="672"/>
    <x v="0"/>
    <x v="10"/>
    <x v="0"/>
    <x v="3"/>
    <n v="1"/>
    <n v="899"/>
    <x v="1"/>
    <x v="0"/>
    <n v="78"/>
    <n v="2"/>
    <x v="2"/>
    <x v="4"/>
    <x v="1"/>
    <x v="2"/>
    <n v="10903"/>
    <x v="2"/>
    <n v="9129"/>
    <n v="3"/>
    <s v="Y"/>
    <x v="0"/>
    <n v="16"/>
    <n v="3"/>
    <n v="1"/>
    <n v="80"/>
    <n v="0"/>
    <n v="16"/>
    <n v="2"/>
    <x v="0"/>
    <x v="13"/>
    <x v="10"/>
    <n v="4"/>
  </r>
  <r>
    <s v="RM677"/>
    <n v="35"/>
    <x v="1"/>
    <s v="No"/>
    <n v="0"/>
    <s v="Travel_Rarely"/>
    <n v="1137"/>
    <x v="0"/>
    <x v="8"/>
    <x v="2"/>
    <x v="0"/>
    <n v="1"/>
    <n v="942"/>
    <x v="1"/>
    <x v="1"/>
    <n v="51"/>
    <n v="3"/>
    <x v="1"/>
    <x v="6"/>
    <x v="2"/>
    <x v="2"/>
    <n v="4014"/>
    <x v="0"/>
    <n v="19170"/>
    <n v="1"/>
    <s v="Y"/>
    <x v="1"/>
    <n v="25"/>
    <n v="4"/>
    <n v="4"/>
    <n v="80"/>
    <n v="1"/>
    <n v="10"/>
    <n v="2"/>
    <x v="2"/>
    <x v="10"/>
    <x v="8"/>
    <n v="0"/>
  </r>
  <r>
    <s v="RM699"/>
    <n v="35"/>
    <x v="1"/>
    <s v="No"/>
    <n v="0"/>
    <s v="Travel_Rarely"/>
    <n v="1219"/>
    <x v="1"/>
    <x v="16"/>
    <x v="0"/>
    <x v="1"/>
    <n v="1"/>
    <n v="975"/>
    <x v="0"/>
    <x v="1"/>
    <n v="86"/>
    <n v="3"/>
    <x v="1"/>
    <x v="5"/>
    <x v="0"/>
    <x v="2"/>
    <n v="4601"/>
    <x v="0"/>
    <n v="6179"/>
    <n v="1"/>
    <s v="Y"/>
    <x v="0"/>
    <n v="16"/>
    <n v="3"/>
    <n v="2"/>
    <n v="80"/>
    <n v="0"/>
    <n v="5"/>
    <n v="3"/>
    <x v="0"/>
    <x v="5"/>
    <x v="2"/>
    <n v="1"/>
  </r>
  <r>
    <s v="RM705"/>
    <n v="35"/>
    <x v="1"/>
    <s v="No"/>
    <n v="0"/>
    <s v="Travel_Rarely"/>
    <n v="882"/>
    <x v="1"/>
    <x v="0"/>
    <x v="3"/>
    <x v="0"/>
    <n v="1"/>
    <n v="984"/>
    <x v="1"/>
    <x v="0"/>
    <n v="92"/>
    <n v="3"/>
    <x v="2"/>
    <x v="5"/>
    <x v="2"/>
    <x v="1"/>
    <n v="7823"/>
    <x v="1"/>
    <n v="6812"/>
    <n v="6"/>
    <s v="Y"/>
    <x v="0"/>
    <n v="13"/>
    <n v="3"/>
    <n v="2"/>
    <n v="80"/>
    <n v="1"/>
    <n v="12"/>
    <n v="2"/>
    <x v="0"/>
    <x v="10"/>
    <x v="9"/>
    <n v="0"/>
  </r>
  <r>
    <s v="RM726"/>
    <n v="35"/>
    <x v="1"/>
    <s v="Yes"/>
    <n v="1"/>
    <s v="Travel_Rarely"/>
    <n v="622"/>
    <x v="0"/>
    <x v="5"/>
    <x v="3"/>
    <x v="4"/>
    <n v="1"/>
    <n v="1010"/>
    <x v="0"/>
    <x v="0"/>
    <n v="39"/>
    <n v="2"/>
    <x v="0"/>
    <x v="0"/>
    <x v="1"/>
    <x v="1"/>
    <n v="3743"/>
    <x v="0"/>
    <n v="10074"/>
    <n v="1"/>
    <s v="Y"/>
    <x v="1"/>
    <n v="24"/>
    <n v="4"/>
    <n v="4"/>
    <n v="80"/>
    <n v="1"/>
    <n v="5"/>
    <n v="2"/>
    <x v="2"/>
    <x v="4"/>
    <x v="2"/>
    <n v="0"/>
  </r>
  <r>
    <s v="RM730"/>
    <n v="35"/>
    <x v="1"/>
    <s v="No"/>
    <n v="0"/>
    <s v="Travel_Rarely"/>
    <n v="583"/>
    <x v="0"/>
    <x v="10"/>
    <x v="3"/>
    <x v="1"/>
    <n v="1"/>
    <n v="1014"/>
    <x v="0"/>
    <x v="1"/>
    <n v="57"/>
    <n v="3"/>
    <x v="2"/>
    <x v="6"/>
    <x v="0"/>
    <x v="1"/>
    <n v="10388"/>
    <x v="2"/>
    <n v="6975"/>
    <n v="1"/>
    <s v="Y"/>
    <x v="1"/>
    <n v="11"/>
    <n v="3"/>
    <n v="3"/>
    <n v="80"/>
    <n v="1"/>
    <n v="16"/>
    <n v="3"/>
    <x v="3"/>
    <x v="16"/>
    <x v="10"/>
    <n v="10"/>
  </r>
  <r>
    <s v="RM741"/>
    <n v="35"/>
    <x v="1"/>
    <s v="No"/>
    <n v="0"/>
    <s v="Travel_Rarely"/>
    <n v="802"/>
    <x v="0"/>
    <x v="1"/>
    <x v="0"/>
    <x v="4"/>
    <n v="1"/>
    <n v="1028"/>
    <x v="2"/>
    <x v="0"/>
    <n v="45"/>
    <n v="3"/>
    <x v="0"/>
    <x v="0"/>
    <x v="2"/>
    <x v="1"/>
    <n v="3917"/>
    <x v="0"/>
    <n v="9541"/>
    <n v="1"/>
    <s v="Y"/>
    <x v="0"/>
    <n v="20"/>
    <n v="4"/>
    <n v="1"/>
    <n v="80"/>
    <n v="1"/>
    <n v="3"/>
    <n v="4"/>
    <x v="3"/>
    <x v="3"/>
    <x v="2"/>
    <n v="1"/>
  </r>
  <r>
    <s v="RM792"/>
    <n v="35"/>
    <x v="1"/>
    <s v="Yes"/>
    <n v="1"/>
    <s v="Travel_Rarely"/>
    <n v="1204"/>
    <x v="1"/>
    <x v="12"/>
    <x v="0"/>
    <x v="3"/>
    <n v="1"/>
    <n v="1100"/>
    <x v="1"/>
    <x v="0"/>
    <n v="86"/>
    <n v="3"/>
    <x v="2"/>
    <x v="5"/>
    <x v="3"/>
    <x v="0"/>
    <n v="9582"/>
    <x v="1"/>
    <n v="10333"/>
    <n v="0"/>
    <s v="Y"/>
    <x v="1"/>
    <n v="22"/>
    <n v="4"/>
    <n v="1"/>
    <n v="80"/>
    <n v="0"/>
    <n v="9"/>
    <n v="2"/>
    <x v="0"/>
    <x v="8"/>
    <x v="6"/>
    <n v="4"/>
  </r>
  <r>
    <s v="RM821"/>
    <n v="35"/>
    <x v="1"/>
    <s v="No"/>
    <n v="0"/>
    <s v="Travel_Frequently"/>
    <n v="1182"/>
    <x v="1"/>
    <x v="13"/>
    <x v="1"/>
    <x v="2"/>
    <n v="1"/>
    <n v="1137"/>
    <x v="1"/>
    <x v="0"/>
    <n v="54"/>
    <n v="3"/>
    <x v="1"/>
    <x v="5"/>
    <x v="2"/>
    <x v="1"/>
    <n v="4968"/>
    <x v="0"/>
    <n v="18500"/>
    <n v="1"/>
    <s v="Y"/>
    <x v="0"/>
    <n v="11"/>
    <n v="3"/>
    <n v="4"/>
    <n v="80"/>
    <n v="1"/>
    <n v="5"/>
    <n v="3"/>
    <x v="0"/>
    <x v="5"/>
    <x v="2"/>
    <n v="0"/>
  </r>
  <r>
    <s v="RM836"/>
    <n v="35"/>
    <x v="1"/>
    <s v="No"/>
    <n v="0"/>
    <s v="Travel_Rarely"/>
    <n v="528"/>
    <x v="2"/>
    <x v="3"/>
    <x v="3"/>
    <x v="3"/>
    <n v="1"/>
    <n v="1164"/>
    <x v="0"/>
    <x v="0"/>
    <n v="100"/>
    <n v="3"/>
    <x v="0"/>
    <x v="3"/>
    <x v="0"/>
    <x v="0"/>
    <n v="4323"/>
    <x v="0"/>
    <n v="7108"/>
    <n v="1"/>
    <s v="Y"/>
    <x v="0"/>
    <n v="17"/>
    <n v="3"/>
    <n v="2"/>
    <n v="80"/>
    <n v="0"/>
    <n v="6"/>
    <n v="2"/>
    <x v="2"/>
    <x v="5"/>
    <x v="4"/>
    <n v="1"/>
  </r>
  <r>
    <s v="RM841"/>
    <n v="35"/>
    <x v="1"/>
    <s v="No"/>
    <n v="0"/>
    <s v="Travel_Rarely"/>
    <n v="982"/>
    <x v="0"/>
    <x v="4"/>
    <x v="3"/>
    <x v="1"/>
    <n v="1"/>
    <n v="1172"/>
    <x v="1"/>
    <x v="0"/>
    <n v="58"/>
    <n v="2"/>
    <x v="0"/>
    <x v="0"/>
    <x v="0"/>
    <x v="2"/>
    <n v="2258"/>
    <x v="0"/>
    <n v="16340"/>
    <n v="6"/>
    <s v="Y"/>
    <x v="0"/>
    <n v="12"/>
    <n v="3"/>
    <n v="2"/>
    <n v="80"/>
    <n v="1"/>
    <n v="10"/>
    <n v="2"/>
    <x v="0"/>
    <x v="8"/>
    <x v="0"/>
    <n v="1"/>
  </r>
  <r>
    <s v="RM847"/>
    <n v="35"/>
    <x v="1"/>
    <s v="No"/>
    <n v="0"/>
    <s v="Travel_Rarely"/>
    <n v="819"/>
    <x v="0"/>
    <x v="7"/>
    <x v="0"/>
    <x v="0"/>
    <n v="1"/>
    <n v="1182"/>
    <x v="0"/>
    <x v="0"/>
    <n v="44"/>
    <n v="2"/>
    <x v="2"/>
    <x v="4"/>
    <x v="1"/>
    <x v="1"/>
    <n v="10274"/>
    <x v="2"/>
    <n v="19588"/>
    <n v="2"/>
    <s v="Y"/>
    <x v="0"/>
    <n v="18"/>
    <n v="3"/>
    <n v="2"/>
    <n v="80"/>
    <n v="1"/>
    <n v="15"/>
    <n v="2"/>
    <x v="1"/>
    <x v="7"/>
    <x v="6"/>
    <n v="6"/>
  </r>
  <r>
    <s v="RM849"/>
    <n v="35"/>
    <x v="1"/>
    <s v="No"/>
    <n v="0"/>
    <s v="Travel_Frequently"/>
    <n v="636"/>
    <x v="0"/>
    <x v="12"/>
    <x v="3"/>
    <x v="4"/>
    <n v="1"/>
    <n v="1185"/>
    <x v="1"/>
    <x v="0"/>
    <n v="47"/>
    <n v="2"/>
    <x v="0"/>
    <x v="0"/>
    <x v="2"/>
    <x v="2"/>
    <n v="2376"/>
    <x v="0"/>
    <n v="26537"/>
    <n v="1"/>
    <s v="Y"/>
    <x v="0"/>
    <n v="13"/>
    <n v="3"/>
    <n v="2"/>
    <n v="80"/>
    <n v="1"/>
    <n v="2"/>
    <n v="2"/>
    <x v="1"/>
    <x v="2"/>
    <x v="2"/>
    <n v="2"/>
  </r>
  <r>
    <s v="RM871"/>
    <n v="35"/>
    <x v="1"/>
    <s v="No"/>
    <n v="0"/>
    <s v="Travel_Rarely"/>
    <n v="1361"/>
    <x v="1"/>
    <x v="24"/>
    <x v="3"/>
    <x v="0"/>
    <n v="1"/>
    <n v="1218"/>
    <x v="0"/>
    <x v="0"/>
    <n v="94"/>
    <n v="3"/>
    <x v="1"/>
    <x v="5"/>
    <x v="3"/>
    <x v="2"/>
    <n v="8966"/>
    <x v="1"/>
    <n v="21026"/>
    <n v="3"/>
    <s v="Y"/>
    <x v="1"/>
    <n v="15"/>
    <n v="3"/>
    <n v="4"/>
    <n v="80"/>
    <n v="3"/>
    <n v="15"/>
    <n v="2"/>
    <x v="0"/>
    <x v="7"/>
    <x v="6"/>
    <n v="1"/>
  </r>
  <r>
    <s v="RM889"/>
    <n v="35"/>
    <x v="1"/>
    <s v="No"/>
    <n v="0"/>
    <s v="Non-Travel"/>
    <n v="1212"/>
    <x v="1"/>
    <x v="3"/>
    <x v="1"/>
    <x v="2"/>
    <n v="1"/>
    <n v="1243"/>
    <x v="0"/>
    <x v="1"/>
    <n v="78"/>
    <n v="2"/>
    <x v="2"/>
    <x v="5"/>
    <x v="2"/>
    <x v="2"/>
    <n v="10377"/>
    <x v="2"/>
    <n v="13755"/>
    <n v="4"/>
    <s v="Y"/>
    <x v="1"/>
    <n v="11"/>
    <n v="3"/>
    <n v="2"/>
    <n v="80"/>
    <n v="1"/>
    <n v="16"/>
    <n v="6"/>
    <x v="3"/>
    <x v="13"/>
    <x v="2"/>
    <n v="4"/>
  </r>
  <r>
    <s v="RM925"/>
    <n v="35"/>
    <x v="1"/>
    <s v="No"/>
    <n v="0"/>
    <s v="Travel_Rarely"/>
    <n v="735"/>
    <x v="0"/>
    <x v="11"/>
    <x v="2"/>
    <x v="0"/>
    <n v="1"/>
    <n v="1291"/>
    <x v="0"/>
    <x v="0"/>
    <n v="66"/>
    <n v="3"/>
    <x v="0"/>
    <x v="2"/>
    <x v="0"/>
    <x v="2"/>
    <n v="3506"/>
    <x v="0"/>
    <n v="6020"/>
    <n v="0"/>
    <s v="Y"/>
    <x v="1"/>
    <n v="14"/>
    <n v="3"/>
    <n v="4"/>
    <n v="80"/>
    <n v="0"/>
    <n v="4"/>
    <n v="3"/>
    <x v="0"/>
    <x v="3"/>
    <x v="2"/>
    <n v="2"/>
  </r>
  <r>
    <s v="RM962"/>
    <n v="35"/>
    <x v="1"/>
    <s v="No"/>
    <n v="0"/>
    <s v="Travel_Frequently"/>
    <n v="482"/>
    <x v="0"/>
    <x v="12"/>
    <x v="3"/>
    <x v="0"/>
    <n v="1"/>
    <n v="1350"/>
    <x v="0"/>
    <x v="0"/>
    <n v="87"/>
    <n v="3"/>
    <x v="1"/>
    <x v="2"/>
    <x v="0"/>
    <x v="0"/>
    <n v="4249"/>
    <x v="0"/>
    <n v="2690"/>
    <n v="1"/>
    <s v="Y"/>
    <x v="1"/>
    <n v="11"/>
    <n v="3"/>
    <n v="2"/>
    <n v="80"/>
    <n v="0"/>
    <n v="9"/>
    <n v="3"/>
    <x v="0"/>
    <x v="9"/>
    <x v="8"/>
    <n v="1"/>
  </r>
  <r>
    <s v="RM974"/>
    <n v="35"/>
    <x v="1"/>
    <s v="No"/>
    <n v="0"/>
    <s v="Travel_Rarely"/>
    <n v="817"/>
    <x v="0"/>
    <x v="4"/>
    <x v="0"/>
    <x v="1"/>
    <n v="1"/>
    <n v="1369"/>
    <x v="1"/>
    <x v="1"/>
    <n v="60"/>
    <n v="2"/>
    <x v="1"/>
    <x v="0"/>
    <x v="2"/>
    <x v="2"/>
    <n v="5363"/>
    <x v="1"/>
    <n v="10846"/>
    <n v="0"/>
    <s v="Y"/>
    <x v="0"/>
    <n v="12"/>
    <n v="3"/>
    <n v="2"/>
    <n v="80"/>
    <n v="1"/>
    <n v="10"/>
    <n v="0"/>
    <x v="0"/>
    <x v="9"/>
    <x v="6"/>
    <n v="0"/>
  </r>
  <r>
    <s v="RM982"/>
    <n v="35"/>
    <x v="1"/>
    <s v="Yes"/>
    <n v="1"/>
    <s v="Travel_Frequently"/>
    <n v="662"/>
    <x v="1"/>
    <x v="16"/>
    <x v="3"/>
    <x v="2"/>
    <n v="1"/>
    <n v="1380"/>
    <x v="1"/>
    <x v="1"/>
    <n v="67"/>
    <n v="3"/>
    <x v="1"/>
    <x v="5"/>
    <x v="0"/>
    <x v="2"/>
    <n v="4614"/>
    <x v="0"/>
    <n v="23288"/>
    <n v="0"/>
    <s v="Y"/>
    <x v="1"/>
    <n v="18"/>
    <n v="3"/>
    <n v="3"/>
    <n v="80"/>
    <n v="1"/>
    <n v="5"/>
    <n v="0"/>
    <x v="3"/>
    <x v="4"/>
    <x v="2"/>
    <n v="3"/>
  </r>
  <r>
    <s v="RM1003"/>
    <n v="35"/>
    <x v="1"/>
    <s v="No"/>
    <n v="0"/>
    <s v="Travel_Frequently"/>
    <n v="200"/>
    <x v="0"/>
    <x v="16"/>
    <x v="1"/>
    <x v="0"/>
    <n v="1"/>
    <n v="1412"/>
    <x v="0"/>
    <x v="0"/>
    <n v="60"/>
    <n v="3"/>
    <x v="2"/>
    <x v="4"/>
    <x v="2"/>
    <x v="0"/>
    <n v="9362"/>
    <x v="1"/>
    <n v="19944"/>
    <n v="2"/>
    <s v="Y"/>
    <x v="0"/>
    <n v="11"/>
    <n v="3"/>
    <n v="3"/>
    <n v="80"/>
    <n v="0"/>
    <n v="10"/>
    <n v="2"/>
    <x v="0"/>
    <x v="2"/>
    <x v="2"/>
    <n v="2"/>
  </r>
  <r>
    <s v="RM1060"/>
    <n v="35"/>
    <x v="1"/>
    <s v="No"/>
    <n v="0"/>
    <s v="Travel_Rarely"/>
    <n v="660"/>
    <x v="1"/>
    <x v="17"/>
    <x v="2"/>
    <x v="0"/>
    <n v="1"/>
    <n v="1492"/>
    <x v="1"/>
    <x v="0"/>
    <n v="76"/>
    <n v="3"/>
    <x v="0"/>
    <x v="1"/>
    <x v="0"/>
    <x v="2"/>
    <n v="2404"/>
    <x v="0"/>
    <n v="16192"/>
    <n v="1"/>
    <s v="Y"/>
    <x v="0"/>
    <n v="13"/>
    <n v="3"/>
    <n v="1"/>
    <n v="80"/>
    <n v="1"/>
    <n v="1"/>
    <n v="3"/>
    <x v="0"/>
    <x v="1"/>
    <x v="0"/>
    <n v="0"/>
  </r>
  <r>
    <s v="RM1082"/>
    <n v="35"/>
    <x v="1"/>
    <s v="No"/>
    <n v="0"/>
    <s v="Travel_Rarely"/>
    <n v="1029"/>
    <x v="0"/>
    <x v="18"/>
    <x v="0"/>
    <x v="0"/>
    <n v="1"/>
    <n v="1529"/>
    <x v="1"/>
    <x v="1"/>
    <n v="91"/>
    <n v="2"/>
    <x v="2"/>
    <x v="6"/>
    <x v="1"/>
    <x v="0"/>
    <n v="8606"/>
    <x v="1"/>
    <n v="21195"/>
    <n v="1"/>
    <s v="Y"/>
    <x v="0"/>
    <n v="19"/>
    <n v="3"/>
    <n v="4"/>
    <n v="80"/>
    <n v="0"/>
    <n v="11"/>
    <n v="3"/>
    <x v="2"/>
    <x v="11"/>
    <x v="7"/>
    <n v="3"/>
  </r>
  <r>
    <s v="RM1101"/>
    <n v="35"/>
    <x v="1"/>
    <s v="No"/>
    <n v="0"/>
    <s v="Travel_Rarely"/>
    <n v="1402"/>
    <x v="1"/>
    <x v="27"/>
    <x v="3"/>
    <x v="0"/>
    <n v="1"/>
    <n v="1554"/>
    <x v="2"/>
    <x v="1"/>
    <n v="98"/>
    <n v="2"/>
    <x v="0"/>
    <x v="1"/>
    <x v="0"/>
    <x v="2"/>
    <n v="2430"/>
    <x v="0"/>
    <n v="26204"/>
    <n v="0"/>
    <s v="Y"/>
    <x v="0"/>
    <n v="23"/>
    <n v="4"/>
    <n v="1"/>
    <n v="80"/>
    <n v="2"/>
    <n v="6"/>
    <n v="5"/>
    <x v="0"/>
    <x v="5"/>
    <x v="3"/>
    <n v="4"/>
  </r>
  <r>
    <s v="RM1109"/>
    <n v="35"/>
    <x v="1"/>
    <s v="No"/>
    <n v="0"/>
    <s v="Travel_Rarely"/>
    <n v="992"/>
    <x v="0"/>
    <x v="4"/>
    <x v="0"/>
    <x v="1"/>
    <n v="1"/>
    <n v="1564"/>
    <x v="1"/>
    <x v="0"/>
    <n v="68"/>
    <n v="2"/>
    <x v="0"/>
    <x v="0"/>
    <x v="3"/>
    <x v="0"/>
    <n v="2450"/>
    <x v="0"/>
    <n v="21731"/>
    <n v="1"/>
    <s v="Y"/>
    <x v="0"/>
    <n v="19"/>
    <n v="3"/>
    <n v="2"/>
    <n v="80"/>
    <n v="0"/>
    <n v="3"/>
    <n v="3"/>
    <x v="0"/>
    <x v="3"/>
    <x v="0"/>
    <n v="1"/>
  </r>
  <r>
    <s v="RM1111"/>
    <n v="35"/>
    <x v="1"/>
    <s v="Yes"/>
    <n v="1"/>
    <s v="Travel_Rarely"/>
    <n v="104"/>
    <x v="0"/>
    <x v="7"/>
    <x v="0"/>
    <x v="0"/>
    <n v="1"/>
    <n v="1569"/>
    <x v="3"/>
    <x v="1"/>
    <n v="69"/>
    <n v="3"/>
    <x v="0"/>
    <x v="0"/>
    <x v="3"/>
    <x v="1"/>
    <n v="2074"/>
    <x v="0"/>
    <n v="26619"/>
    <n v="1"/>
    <s v="Y"/>
    <x v="1"/>
    <n v="12"/>
    <n v="3"/>
    <n v="4"/>
    <n v="80"/>
    <n v="1"/>
    <n v="1"/>
    <n v="2"/>
    <x v="0"/>
    <x v="1"/>
    <x v="0"/>
    <n v="0"/>
  </r>
  <r>
    <s v="RM1124"/>
    <n v="35"/>
    <x v="1"/>
    <s v="No"/>
    <n v="0"/>
    <s v="Travel_Rarely"/>
    <n v="670"/>
    <x v="0"/>
    <x v="1"/>
    <x v="3"/>
    <x v="1"/>
    <n v="1"/>
    <n v="1587"/>
    <x v="3"/>
    <x v="1"/>
    <n v="51"/>
    <n v="3"/>
    <x v="1"/>
    <x v="6"/>
    <x v="0"/>
    <x v="0"/>
    <n v="6142"/>
    <x v="1"/>
    <n v="4223"/>
    <n v="3"/>
    <s v="Y"/>
    <x v="1"/>
    <n v="16"/>
    <n v="3"/>
    <n v="3"/>
    <n v="80"/>
    <n v="0"/>
    <n v="10"/>
    <n v="4"/>
    <x v="0"/>
    <x v="5"/>
    <x v="2"/>
    <n v="0"/>
  </r>
  <r>
    <s v="RM1131"/>
    <n v="35"/>
    <x v="1"/>
    <s v="No"/>
    <n v="0"/>
    <s v="Travel_Rarely"/>
    <n v="750"/>
    <x v="0"/>
    <x v="27"/>
    <x v="0"/>
    <x v="0"/>
    <n v="1"/>
    <n v="1596"/>
    <x v="2"/>
    <x v="0"/>
    <n v="46"/>
    <n v="4"/>
    <x v="1"/>
    <x v="0"/>
    <x v="0"/>
    <x v="2"/>
    <n v="3407"/>
    <x v="0"/>
    <n v="25348"/>
    <n v="1"/>
    <s v="Y"/>
    <x v="0"/>
    <n v="17"/>
    <n v="3"/>
    <n v="4"/>
    <n v="80"/>
    <n v="2"/>
    <n v="10"/>
    <n v="3"/>
    <x v="3"/>
    <x v="10"/>
    <x v="9"/>
    <n v="6"/>
  </r>
  <r>
    <s v="RM1135"/>
    <n v="35"/>
    <x v="1"/>
    <s v="No"/>
    <n v="0"/>
    <s v="Travel_Rarely"/>
    <n v="1349"/>
    <x v="0"/>
    <x v="17"/>
    <x v="1"/>
    <x v="0"/>
    <n v="1"/>
    <n v="1601"/>
    <x v="0"/>
    <x v="0"/>
    <n v="63"/>
    <n v="2"/>
    <x v="0"/>
    <x v="0"/>
    <x v="2"/>
    <x v="2"/>
    <n v="2690"/>
    <x v="0"/>
    <n v="7713"/>
    <n v="1"/>
    <s v="Y"/>
    <x v="0"/>
    <n v="18"/>
    <n v="3"/>
    <n v="4"/>
    <n v="80"/>
    <n v="1"/>
    <n v="1"/>
    <n v="5"/>
    <x v="3"/>
    <x v="1"/>
    <x v="0"/>
    <n v="0"/>
  </r>
  <r>
    <s v="RM1151"/>
    <n v="35"/>
    <x v="1"/>
    <s v="No"/>
    <n v="0"/>
    <s v="Travel_Rarely"/>
    <n v="819"/>
    <x v="0"/>
    <x v="16"/>
    <x v="4"/>
    <x v="0"/>
    <n v="1"/>
    <n v="1621"/>
    <x v="2"/>
    <x v="0"/>
    <n v="48"/>
    <n v="4"/>
    <x v="1"/>
    <x v="2"/>
    <x v="3"/>
    <x v="2"/>
    <n v="5208"/>
    <x v="1"/>
    <n v="26312"/>
    <n v="1"/>
    <s v="Y"/>
    <x v="0"/>
    <n v="11"/>
    <n v="3"/>
    <n v="4"/>
    <n v="80"/>
    <n v="0"/>
    <n v="16"/>
    <n v="2"/>
    <x v="0"/>
    <x v="16"/>
    <x v="15"/>
    <n v="1"/>
  </r>
  <r>
    <s v="RM1158"/>
    <n v="35"/>
    <x v="1"/>
    <s v="No"/>
    <n v="0"/>
    <s v="Non-Travel"/>
    <n v="208"/>
    <x v="0"/>
    <x v="3"/>
    <x v="3"/>
    <x v="0"/>
    <n v="1"/>
    <n v="1630"/>
    <x v="0"/>
    <x v="1"/>
    <n v="52"/>
    <n v="3"/>
    <x v="1"/>
    <x v="6"/>
    <x v="0"/>
    <x v="2"/>
    <n v="4148"/>
    <x v="0"/>
    <n v="12250"/>
    <n v="1"/>
    <s v="Y"/>
    <x v="0"/>
    <n v="12"/>
    <n v="3"/>
    <n v="4"/>
    <n v="80"/>
    <n v="1"/>
    <n v="15"/>
    <n v="5"/>
    <x v="0"/>
    <x v="14"/>
    <x v="14"/>
    <n v="2"/>
  </r>
  <r>
    <s v="RM1163"/>
    <n v="35"/>
    <x v="1"/>
    <s v="Yes"/>
    <n v="1"/>
    <s v="Travel_Rarely"/>
    <n v="737"/>
    <x v="1"/>
    <x v="1"/>
    <x v="0"/>
    <x v="1"/>
    <n v="1"/>
    <n v="1639"/>
    <x v="1"/>
    <x v="0"/>
    <n v="55"/>
    <n v="2"/>
    <x v="2"/>
    <x v="5"/>
    <x v="3"/>
    <x v="2"/>
    <n v="10306"/>
    <x v="2"/>
    <n v="21530"/>
    <n v="9"/>
    <s v="Y"/>
    <x v="0"/>
    <n v="17"/>
    <n v="3"/>
    <n v="3"/>
    <n v="80"/>
    <n v="0"/>
    <n v="15"/>
    <n v="3"/>
    <x v="0"/>
    <x v="13"/>
    <x v="11"/>
    <n v="6"/>
  </r>
  <r>
    <s v="RM1168"/>
    <n v="35"/>
    <x v="1"/>
    <s v="Yes"/>
    <n v="1"/>
    <s v="Travel_Rarely"/>
    <n v="763"/>
    <x v="1"/>
    <x v="14"/>
    <x v="1"/>
    <x v="1"/>
    <n v="1"/>
    <n v="1645"/>
    <x v="3"/>
    <x v="0"/>
    <n v="59"/>
    <n v="1"/>
    <x v="1"/>
    <x v="5"/>
    <x v="2"/>
    <x v="1"/>
    <n v="5440"/>
    <x v="1"/>
    <n v="22098"/>
    <n v="6"/>
    <s v="Y"/>
    <x v="1"/>
    <n v="14"/>
    <n v="3"/>
    <n v="4"/>
    <n v="80"/>
    <n v="2"/>
    <n v="7"/>
    <n v="2"/>
    <x v="3"/>
    <x v="2"/>
    <x v="2"/>
    <n v="2"/>
  </r>
  <r>
    <s v="RM1187"/>
    <n v="35"/>
    <x v="1"/>
    <s v="Yes"/>
    <n v="1"/>
    <s v="Travel_Frequently"/>
    <n v="880"/>
    <x v="1"/>
    <x v="15"/>
    <x v="3"/>
    <x v="4"/>
    <n v="1"/>
    <n v="1667"/>
    <x v="1"/>
    <x v="0"/>
    <n v="36"/>
    <n v="3"/>
    <x v="1"/>
    <x v="5"/>
    <x v="2"/>
    <x v="0"/>
    <n v="4581"/>
    <x v="0"/>
    <n v="10414"/>
    <n v="3"/>
    <s v="Y"/>
    <x v="1"/>
    <n v="24"/>
    <n v="4"/>
    <n v="1"/>
    <n v="80"/>
    <n v="0"/>
    <n v="13"/>
    <n v="2"/>
    <x v="1"/>
    <x v="11"/>
    <x v="9"/>
    <n v="6"/>
  </r>
  <r>
    <s v="RM1216"/>
    <n v="35"/>
    <x v="1"/>
    <s v="No"/>
    <n v="0"/>
    <s v="Travel_Frequently"/>
    <n v="146"/>
    <x v="0"/>
    <x v="7"/>
    <x v="3"/>
    <x v="1"/>
    <n v="1"/>
    <n v="1704"/>
    <x v="3"/>
    <x v="0"/>
    <n v="79"/>
    <n v="2"/>
    <x v="0"/>
    <x v="2"/>
    <x v="2"/>
    <x v="0"/>
    <n v="4930"/>
    <x v="0"/>
    <n v="13970"/>
    <n v="0"/>
    <s v="Y"/>
    <x v="1"/>
    <n v="14"/>
    <n v="3"/>
    <n v="3"/>
    <n v="80"/>
    <n v="0"/>
    <n v="6"/>
    <n v="2"/>
    <x v="1"/>
    <x v="5"/>
    <x v="4"/>
    <n v="1"/>
  </r>
  <r>
    <s v="RM1233"/>
    <n v="35"/>
    <x v="1"/>
    <s v="No"/>
    <n v="0"/>
    <s v="Travel_Rarely"/>
    <n v="1370"/>
    <x v="0"/>
    <x v="28"/>
    <x v="3"/>
    <x v="0"/>
    <n v="1"/>
    <n v="1728"/>
    <x v="1"/>
    <x v="0"/>
    <n v="49"/>
    <n v="3"/>
    <x v="1"/>
    <x v="4"/>
    <x v="0"/>
    <x v="2"/>
    <n v="6883"/>
    <x v="1"/>
    <n v="5151"/>
    <n v="2"/>
    <s v="Y"/>
    <x v="0"/>
    <n v="16"/>
    <n v="3"/>
    <n v="2"/>
    <n v="80"/>
    <n v="1"/>
    <n v="17"/>
    <n v="3"/>
    <x v="0"/>
    <x v="7"/>
    <x v="6"/>
    <n v="0"/>
  </r>
  <r>
    <s v="RM1282"/>
    <n v="35"/>
    <x v="1"/>
    <s v="Yes"/>
    <n v="1"/>
    <s v="Travel_Rarely"/>
    <n v="303"/>
    <x v="1"/>
    <x v="28"/>
    <x v="0"/>
    <x v="0"/>
    <n v="1"/>
    <n v="1797"/>
    <x v="0"/>
    <x v="0"/>
    <n v="84"/>
    <n v="3"/>
    <x v="1"/>
    <x v="5"/>
    <x v="2"/>
    <x v="0"/>
    <n v="5813"/>
    <x v="1"/>
    <n v="13492"/>
    <n v="1"/>
    <s v="Y"/>
    <x v="1"/>
    <n v="18"/>
    <n v="3"/>
    <n v="4"/>
    <n v="80"/>
    <n v="0"/>
    <n v="10"/>
    <n v="2"/>
    <x v="0"/>
    <x v="10"/>
    <x v="6"/>
    <n v="7"/>
  </r>
  <r>
    <s v="RM1289"/>
    <n v="35"/>
    <x v="1"/>
    <s v="No"/>
    <n v="0"/>
    <s v="Non-Travel"/>
    <n v="1180"/>
    <x v="0"/>
    <x v="7"/>
    <x v="1"/>
    <x v="1"/>
    <n v="1"/>
    <n v="1804"/>
    <x v="2"/>
    <x v="0"/>
    <n v="90"/>
    <n v="3"/>
    <x v="1"/>
    <x v="4"/>
    <x v="2"/>
    <x v="1"/>
    <n v="5762"/>
    <x v="1"/>
    <n v="24442"/>
    <n v="2"/>
    <s v="Y"/>
    <x v="0"/>
    <n v="14"/>
    <n v="3"/>
    <n v="3"/>
    <n v="80"/>
    <n v="1"/>
    <n v="15"/>
    <n v="6"/>
    <x v="0"/>
    <x v="7"/>
    <x v="6"/>
    <n v="1"/>
  </r>
  <r>
    <s v="RM1303"/>
    <n v="35"/>
    <x v="1"/>
    <s v="No"/>
    <n v="0"/>
    <s v="Travel_Rarely"/>
    <n v="185"/>
    <x v="0"/>
    <x v="23"/>
    <x v="3"/>
    <x v="1"/>
    <n v="1"/>
    <n v="1826"/>
    <x v="2"/>
    <x v="0"/>
    <n v="91"/>
    <n v="1"/>
    <x v="0"/>
    <x v="0"/>
    <x v="0"/>
    <x v="2"/>
    <n v="2705"/>
    <x v="0"/>
    <n v="9696"/>
    <n v="0"/>
    <s v="Y"/>
    <x v="0"/>
    <n v="16"/>
    <n v="3"/>
    <n v="2"/>
    <n v="80"/>
    <n v="1"/>
    <n v="6"/>
    <n v="2"/>
    <x v="1"/>
    <x v="5"/>
    <x v="4"/>
    <n v="0"/>
  </r>
  <r>
    <s v="RM1346"/>
    <n v="35"/>
    <x v="1"/>
    <s v="No"/>
    <n v="0"/>
    <s v="Travel_Rarely"/>
    <n v="219"/>
    <x v="0"/>
    <x v="18"/>
    <x v="1"/>
    <x v="4"/>
    <n v="1"/>
    <n v="1886"/>
    <x v="1"/>
    <x v="1"/>
    <n v="44"/>
    <n v="2"/>
    <x v="1"/>
    <x v="4"/>
    <x v="1"/>
    <x v="2"/>
    <n v="4788"/>
    <x v="0"/>
    <n v="25388"/>
    <n v="0"/>
    <s v="Y"/>
    <x v="1"/>
    <n v="11"/>
    <n v="3"/>
    <n v="4"/>
    <n v="80"/>
    <n v="0"/>
    <n v="4"/>
    <n v="2"/>
    <x v="0"/>
    <x v="3"/>
    <x v="2"/>
    <n v="0"/>
  </r>
  <r>
    <s v="RM1381"/>
    <n v="35"/>
    <x v="1"/>
    <s v="No"/>
    <n v="0"/>
    <s v="Travel_Rarely"/>
    <n v="682"/>
    <x v="1"/>
    <x v="16"/>
    <x v="3"/>
    <x v="1"/>
    <n v="1"/>
    <n v="1945"/>
    <x v="2"/>
    <x v="0"/>
    <n v="71"/>
    <n v="3"/>
    <x v="1"/>
    <x v="5"/>
    <x v="3"/>
    <x v="2"/>
    <n v="5561"/>
    <x v="1"/>
    <n v="15975"/>
    <n v="0"/>
    <s v="Y"/>
    <x v="0"/>
    <n v="16"/>
    <n v="3"/>
    <n v="4"/>
    <n v="80"/>
    <n v="1"/>
    <n v="6"/>
    <n v="2"/>
    <x v="2"/>
    <x v="5"/>
    <x v="3"/>
    <n v="0"/>
  </r>
  <r>
    <s v="RM1393"/>
    <n v="35"/>
    <x v="1"/>
    <s v="No"/>
    <n v="0"/>
    <s v="Travel_Rarely"/>
    <n v="1224"/>
    <x v="1"/>
    <x v="17"/>
    <x v="3"/>
    <x v="0"/>
    <n v="1"/>
    <n v="1962"/>
    <x v="0"/>
    <x v="1"/>
    <n v="55"/>
    <n v="3"/>
    <x v="1"/>
    <x v="5"/>
    <x v="2"/>
    <x v="2"/>
    <n v="5204"/>
    <x v="1"/>
    <n v="13586"/>
    <n v="1"/>
    <s v="Y"/>
    <x v="1"/>
    <n v="11"/>
    <n v="3"/>
    <n v="4"/>
    <n v="80"/>
    <n v="0"/>
    <n v="10"/>
    <n v="2"/>
    <x v="0"/>
    <x v="10"/>
    <x v="7"/>
    <n v="0"/>
  </r>
  <r>
    <s v="RM1423"/>
    <n v="35"/>
    <x v="1"/>
    <s v="No"/>
    <n v="0"/>
    <s v="Travel_Rarely"/>
    <n v="1490"/>
    <x v="0"/>
    <x v="13"/>
    <x v="3"/>
    <x v="1"/>
    <n v="1"/>
    <n v="2003"/>
    <x v="1"/>
    <x v="0"/>
    <n v="43"/>
    <n v="3"/>
    <x v="0"/>
    <x v="0"/>
    <x v="0"/>
    <x v="2"/>
    <n v="2660"/>
    <x v="0"/>
    <n v="20232"/>
    <n v="7"/>
    <s v="Y"/>
    <x v="1"/>
    <n v="11"/>
    <n v="3"/>
    <n v="3"/>
    <n v="80"/>
    <n v="1"/>
    <n v="5"/>
    <n v="3"/>
    <x v="0"/>
    <x v="2"/>
    <x v="2"/>
    <n v="2"/>
  </r>
  <r>
    <s v="RM1425"/>
    <n v="35"/>
    <x v="1"/>
    <s v="No"/>
    <n v="0"/>
    <s v="Travel_Rarely"/>
    <n v="1395"/>
    <x v="0"/>
    <x v="9"/>
    <x v="3"/>
    <x v="1"/>
    <n v="1"/>
    <n v="2008"/>
    <x v="2"/>
    <x v="0"/>
    <n v="48"/>
    <n v="3"/>
    <x v="1"/>
    <x v="2"/>
    <x v="0"/>
    <x v="0"/>
    <n v="5098"/>
    <x v="1"/>
    <n v="18698"/>
    <n v="1"/>
    <s v="Y"/>
    <x v="0"/>
    <n v="19"/>
    <n v="3"/>
    <n v="2"/>
    <n v="80"/>
    <n v="0"/>
    <n v="10"/>
    <n v="5"/>
    <x v="0"/>
    <x v="10"/>
    <x v="6"/>
    <n v="0"/>
  </r>
  <r>
    <s v="RM1451"/>
    <n v="35"/>
    <x v="1"/>
    <s v="No"/>
    <n v="0"/>
    <s v="Travel_Rarely"/>
    <n v="1146"/>
    <x v="2"/>
    <x v="20"/>
    <x v="3"/>
    <x v="0"/>
    <n v="1"/>
    <n v="2040"/>
    <x v="0"/>
    <x v="1"/>
    <n v="31"/>
    <n v="3"/>
    <x v="2"/>
    <x v="3"/>
    <x v="2"/>
    <x v="0"/>
    <n v="8837"/>
    <x v="1"/>
    <n v="16642"/>
    <n v="1"/>
    <s v="Y"/>
    <x v="1"/>
    <n v="16"/>
    <n v="3"/>
    <n v="3"/>
    <n v="80"/>
    <n v="0"/>
    <n v="9"/>
    <n v="2"/>
    <x v="0"/>
    <x v="9"/>
    <x v="0"/>
    <n v="1"/>
  </r>
  <r>
    <s v="RM1457"/>
    <n v="35"/>
    <x v="1"/>
    <s v="No"/>
    <n v="0"/>
    <s v="Travel_Frequently"/>
    <n v="1199"/>
    <x v="0"/>
    <x v="16"/>
    <x v="3"/>
    <x v="0"/>
    <n v="1"/>
    <n v="2049"/>
    <x v="0"/>
    <x v="0"/>
    <n v="80"/>
    <n v="3"/>
    <x v="1"/>
    <x v="6"/>
    <x v="0"/>
    <x v="2"/>
    <n v="5689"/>
    <x v="1"/>
    <n v="24594"/>
    <n v="1"/>
    <s v="Y"/>
    <x v="1"/>
    <n v="14"/>
    <n v="3"/>
    <n v="4"/>
    <n v="80"/>
    <n v="2"/>
    <n v="10"/>
    <n v="2"/>
    <x v="1"/>
    <x v="10"/>
    <x v="2"/>
    <n v="0"/>
  </r>
  <r>
    <s v="RM1459"/>
    <n v="35"/>
    <x v="1"/>
    <s v="No"/>
    <n v="0"/>
    <s v="Travel_Rarely"/>
    <n v="287"/>
    <x v="0"/>
    <x v="4"/>
    <x v="3"/>
    <x v="0"/>
    <n v="1"/>
    <n v="2052"/>
    <x v="0"/>
    <x v="1"/>
    <n v="62"/>
    <n v="1"/>
    <x v="0"/>
    <x v="2"/>
    <x v="2"/>
    <x v="2"/>
    <n v="2977"/>
    <x v="0"/>
    <n v="8952"/>
    <n v="1"/>
    <s v="Y"/>
    <x v="0"/>
    <n v="12"/>
    <n v="3"/>
    <n v="4"/>
    <n v="80"/>
    <n v="1"/>
    <n v="4"/>
    <n v="5"/>
    <x v="0"/>
    <x v="4"/>
    <x v="3"/>
    <n v="1"/>
  </r>
  <r>
    <s v="RM010"/>
    <n v="36"/>
    <x v="2"/>
    <s v="No"/>
    <n v="0"/>
    <s v="Travel_Rarely"/>
    <n v="1299"/>
    <x v="0"/>
    <x v="28"/>
    <x v="0"/>
    <x v="1"/>
    <n v="1"/>
    <n v="13"/>
    <x v="0"/>
    <x v="0"/>
    <n v="94"/>
    <n v="3"/>
    <x v="1"/>
    <x v="6"/>
    <x v="0"/>
    <x v="2"/>
    <n v="5237"/>
    <x v="1"/>
    <n v="16577"/>
    <n v="6"/>
    <s v="Y"/>
    <x v="0"/>
    <n v="13"/>
    <n v="3"/>
    <n v="2"/>
    <n v="80"/>
    <n v="2"/>
    <n v="17"/>
    <n v="3"/>
    <x v="3"/>
    <x v="7"/>
    <x v="6"/>
    <n v="7"/>
  </r>
  <r>
    <s v="RM022"/>
    <n v="36"/>
    <x v="2"/>
    <s v="Yes"/>
    <n v="1"/>
    <s v="Travel_Rarely"/>
    <n v="1218"/>
    <x v="1"/>
    <x v="9"/>
    <x v="3"/>
    <x v="0"/>
    <n v="1"/>
    <n v="27"/>
    <x v="0"/>
    <x v="0"/>
    <n v="82"/>
    <n v="2"/>
    <x v="0"/>
    <x v="1"/>
    <x v="3"/>
    <x v="0"/>
    <n v="3407"/>
    <x v="0"/>
    <n v="6986"/>
    <n v="7"/>
    <s v="Y"/>
    <x v="0"/>
    <n v="23"/>
    <n v="4"/>
    <n v="2"/>
    <n v="80"/>
    <n v="0"/>
    <n v="10"/>
    <n v="4"/>
    <x v="0"/>
    <x v="5"/>
    <x v="3"/>
    <n v="0"/>
  </r>
  <r>
    <s v="RM039"/>
    <n v="36"/>
    <x v="2"/>
    <s v="No"/>
    <n v="0"/>
    <s v="Travel_Rarely"/>
    <n v="852"/>
    <x v="0"/>
    <x v="2"/>
    <x v="3"/>
    <x v="0"/>
    <n v="1"/>
    <n v="51"/>
    <x v="2"/>
    <x v="1"/>
    <n v="82"/>
    <n v="2"/>
    <x v="0"/>
    <x v="2"/>
    <x v="3"/>
    <x v="2"/>
    <n v="3419"/>
    <x v="0"/>
    <n v="13072"/>
    <n v="9"/>
    <s v="Y"/>
    <x v="1"/>
    <n v="14"/>
    <n v="3"/>
    <n v="4"/>
    <n v="80"/>
    <n v="1"/>
    <n v="6"/>
    <n v="3"/>
    <x v="1"/>
    <x v="1"/>
    <x v="1"/>
    <n v="0"/>
  </r>
  <r>
    <s v="RM065"/>
    <n v="36"/>
    <x v="2"/>
    <s v="No"/>
    <n v="0"/>
    <s v="Travel_Rarely"/>
    <n v="1223"/>
    <x v="0"/>
    <x v="3"/>
    <x v="0"/>
    <x v="3"/>
    <n v="1"/>
    <n v="83"/>
    <x v="0"/>
    <x v="1"/>
    <n v="59"/>
    <n v="3"/>
    <x v="2"/>
    <x v="6"/>
    <x v="0"/>
    <x v="1"/>
    <n v="10096"/>
    <x v="2"/>
    <n v="8202"/>
    <n v="1"/>
    <s v="Y"/>
    <x v="0"/>
    <n v="13"/>
    <n v="3"/>
    <n v="2"/>
    <n v="80"/>
    <n v="3"/>
    <n v="17"/>
    <n v="2"/>
    <x v="0"/>
    <x v="17"/>
    <x v="13"/>
    <n v="12"/>
  </r>
  <r>
    <s v="RM067"/>
    <n v="36"/>
    <x v="2"/>
    <s v="No"/>
    <n v="0"/>
    <s v="Travel_Frequently"/>
    <n v="1195"/>
    <x v="0"/>
    <x v="13"/>
    <x v="0"/>
    <x v="0"/>
    <n v="1"/>
    <n v="85"/>
    <x v="2"/>
    <x v="0"/>
    <n v="95"/>
    <n v="2"/>
    <x v="1"/>
    <x v="4"/>
    <x v="1"/>
    <x v="0"/>
    <n v="6499"/>
    <x v="1"/>
    <n v="22656"/>
    <n v="1"/>
    <s v="Y"/>
    <x v="0"/>
    <n v="13"/>
    <n v="3"/>
    <n v="3"/>
    <n v="80"/>
    <n v="0"/>
    <n v="6"/>
    <n v="3"/>
    <x v="0"/>
    <x v="6"/>
    <x v="5"/>
    <n v="0"/>
  </r>
  <r>
    <s v="RM070"/>
    <n v="36"/>
    <x v="2"/>
    <s v="Yes"/>
    <n v="1"/>
    <s v="Travel_Rarely"/>
    <n v="318"/>
    <x v="0"/>
    <x v="9"/>
    <x v="0"/>
    <x v="1"/>
    <n v="1"/>
    <n v="90"/>
    <x v="1"/>
    <x v="0"/>
    <n v="79"/>
    <n v="2"/>
    <x v="0"/>
    <x v="2"/>
    <x v="0"/>
    <x v="2"/>
    <n v="3388"/>
    <x v="0"/>
    <n v="21777"/>
    <n v="0"/>
    <s v="Y"/>
    <x v="1"/>
    <n v="17"/>
    <n v="3"/>
    <n v="1"/>
    <n v="80"/>
    <n v="1"/>
    <n v="2"/>
    <n v="0"/>
    <x v="3"/>
    <x v="1"/>
    <x v="0"/>
    <n v="0"/>
  </r>
  <r>
    <s v="RM075"/>
    <n v="36"/>
    <x v="2"/>
    <s v="No"/>
    <n v="0"/>
    <s v="Travel_Rarely"/>
    <n v="132"/>
    <x v="0"/>
    <x v="11"/>
    <x v="0"/>
    <x v="0"/>
    <n v="1"/>
    <n v="97"/>
    <x v="2"/>
    <x v="1"/>
    <n v="55"/>
    <n v="4"/>
    <x v="0"/>
    <x v="0"/>
    <x v="2"/>
    <x v="2"/>
    <n v="3038"/>
    <x v="0"/>
    <n v="22002"/>
    <n v="3"/>
    <s v="Y"/>
    <x v="0"/>
    <n v="12"/>
    <n v="3"/>
    <n v="2"/>
    <n v="80"/>
    <n v="0"/>
    <n v="5"/>
    <n v="3"/>
    <x v="0"/>
    <x v="1"/>
    <x v="0"/>
    <n v="0"/>
  </r>
  <r>
    <s v="RM118"/>
    <n v="36"/>
    <x v="2"/>
    <s v="No"/>
    <n v="0"/>
    <s v="Travel_Frequently"/>
    <n v="1467"/>
    <x v="1"/>
    <x v="13"/>
    <x v="1"/>
    <x v="3"/>
    <n v="1"/>
    <n v="154"/>
    <x v="2"/>
    <x v="1"/>
    <n v="92"/>
    <n v="3"/>
    <x v="2"/>
    <x v="5"/>
    <x v="2"/>
    <x v="2"/>
    <n v="9738"/>
    <x v="1"/>
    <n v="22952"/>
    <n v="0"/>
    <s v="Y"/>
    <x v="0"/>
    <n v="14"/>
    <n v="3"/>
    <n v="3"/>
    <n v="80"/>
    <n v="1"/>
    <n v="10"/>
    <n v="6"/>
    <x v="0"/>
    <x v="9"/>
    <x v="6"/>
    <n v="2"/>
  </r>
  <r>
    <s v="RM119"/>
    <n v="36"/>
    <x v="2"/>
    <s v="No"/>
    <n v="0"/>
    <s v="Travel_Rarely"/>
    <n v="922"/>
    <x v="0"/>
    <x v="0"/>
    <x v="1"/>
    <x v="0"/>
    <n v="1"/>
    <n v="155"/>
    <x v="3"/>
    <x v="1"/>
    <n v="39"/>
    <n v="3"/>
    <x v="0"/>
    <x v="0"/>
    <x v="2"/>
    <x v="1"/>
    <n v="2835"/>
    <x v="0"/>
    <n v="2561"/>
    <n v="5"/>
    <s v="Y"/>
    <x v="0"/>
    <n v="22"/>
    <n v="4"/>
    <n v="1"/>
    <n v="80"/>
    <n v="1"/>
    <n v="7"/>
    <n v="2"/>
    <x v="0"/>
    <x v="1"/>
    <x v="0"/>
    <n v="0"/>
  </r>
  <r>
    <s v="RM136"/>
    <n v="36"/>
    <x v="2"/>
    <s v="No"/>
    <n v="0"/>
    <s v="Travel_Rarely"/>
    <n v="216"/>
    <x v="0"/>
    <x v="11"/>
    <x v="1"/>
    <x v="1"/>
    <n v="1"/>
    <n v="178"/>
    <x v="2"/>
    <x v="0"/>
    <n v="84"/>
    <n v="3"/>
    <x v="1"/>
    <x v="4"/>
    <x v="1"/>
    <x v="1"/>
    <n v="4941"/>
    <x v="0"/>
    <n v="2819"/>
    <n v="6"/>
    <s v="Y"/>
    <x v="0"/>
    <n v="20"/>
    <n v="4"/>
    <n v="4"/>
    <n v="80"/>
    <n v="2"/>
    <n v="7"/>
    <n v="0"/>
    <x v="0"/>
    <x v="3"/>
    <x v="2"/>
    <n v="0"/>
  </r>
  <r>
    <s v="RM173"/>
    <n v="36"/>
    <x v="2"/>
    <s v="No"/>
    <n v="0"/>
    <s v="Travel_Frequently"/>
    <n v="1480"/>
    <x v="0"/>
    <x v="0"/>
    <x v="1"/>
    <x v="1"/>
    <n v="1"/>
    <n v="238"/>
    <x v="1"/>
    <x v="0"/>
    <n v="30"/>
    <n v="3"/>
    <x v="0"/>
    <x v="0"/>
    <x v="1"/>
    <x v="0"/>
    <n v="2088"/>
    <x v="0"/>
    <n v="15062"/>
    <n v="4"/>
    <s v="Y"/>
    <x v="0"/>
    <n v="12"/>
    <n v="3"/>
    <n v="3"/>
    <n v="80"/>
    <n v="0"/>
    <n v="13"/>
    <n v="3"/>
    <x v="3"/>
    <x v="8"/>
    <x v="6"/>
    <n v="7"/>
  </r>
  <r>
    <s v="RM208"/>
    <n v="36"/>
    <x v="2"/>
    <s v="No"/>
    <n v="0"/>
    <s v="Travel_Frequently"/>
    <n v="635"/>
    <x v="0"/>
    <x v="16"/>
    <x v="2"/>
    <x v="1"/>
    <n v="1"/>
    <n v="286"/>
    <x v="2"/>
    <x v="1"/>
    <n v="73"/>
    <n v="3"/>
    <x v="0"/>
    <x v="0"/>
    <x v="2"/>
    <x v="0"/>
    <n v="2153"/>
    <x v="0"/>
    <n v="7703"/>
    <n v="1"/>
    <s v="Y"/>
    <x v="0"/>
    <n v="13"/>
    <n v="3"/>
    <n v="1"/>
    <n v="80"/>
    <n v="0"/>
    <n v="8"/>
    <n v="2"/>
    <x v="0"/>
    <x v="8"/>
    <x v="1"/>
    <n v="1"/>
  </r>
  <r>
    <s v="RM221"/>
    <n v="36"/>
    <x v="2"/>
    <s v="No"/>
    <n v="0"/>
    <s v="Travel_Rarely"/>
    <n v="1396"/>
    <x v="0"/>
    <x v="2"/>
    <x v="1"/>
    <x v="0"/>
    <n v="1"/>
    <n v="304"/>
    <x v="1"/>
    <x v="0"/>
    <n v="62"/>
    <n v="3"/>
    <x v="1"/>
    <x v="0"/>
    <x v="1"/>
    <x v="0"/>
    <n v="5914"/>
    <x v="1"/>
    <n v="9945"/>
    <n v="8"/>
    <s v="Y"/>
    <x v="0"/>
    <n v="16"/>
    <n v="3"/>
    <n v="4"/>
    <n v="80"/>
    <n v="0"/>
    <n v="16"/>
    <n v="3"/>
    <x v="1"/>
    <x v="13"/>
    <x v="14"/>
    <n v="3"/>
  </r>
  <r>
    <s v="RM270"/>
    <n v="36"/>
    <x v="2"/>
    <s v="No"/>
    <n v="0"/>
    <s v="Travel_Rarely"/>
    <n v="1403"/>
    <x v="0"/>
    <x v="11"/>
    <x v="0"/>
    <x v="0"/>
    <n v="1"/>
    <n v="373"/>
    <x v="1"/>
    <x v="0"/>
    <n v="47"/>
    <n v="3"/>
    <x v="0"/>
    <x v="0"/>
    <x v="2"/>
    <x v="2"/>
    <n v="3210"/>
    <x v="0"/>
    <n v="20251"/>
    <n v="0"/>
    <s v="Y"/>
    <x v="0"/>
    <n v="11"/>
    <n v="3"/>
    <n v="3"/>
    <n v="80"/>
    <n v="1"/>
    <n v="16"/>
    <n v="4"/>
    <x v="0"/>
    <x v="15"/>
    <x v="12"/>
    <n v="10"/>
  </r>
  <r>
    <s v="RM292"/>
    <n v="36"/>
    <x v="2"/>
    <s v="No"/>
    <n v="0"/>
    <s v="Travel_Rarely"/>
    <n v="506"/>
    <x v="0"/>
    <x v="0"/>
    <x v="0"/>
    <x v="3"/>
    <n v="1"/>
    <n v="397"/>
    <x v="0"/>
    <x v="0"/>
    <n v="30"/>
    <n v="3"/>
    <x v="1"/>
    <x v="2"/>
    <x v="1"/>
    <x v="0"/>
    <n v="4485"/>
    <x v="0"/>
    <n v="26285"/>
    <n v="4"/>
    <s v="Y"/>
    <x v="0"/>
    <n v="12"/>
    <n v="3"/>
    <n v="4"/>
    <n v="80"/>
    <n v="0"/>
    <n v="10"/>
    <n v="2"/>
    <x v="0"/>
    <x v="8"/>
    <x v="0"/>
    <n v="7"/>
  </r>
  <r>
    <s v="RM299"/>
    <n v="36"/>
    <x v="2"/>
    <s v="No"/>
    <n v="0"/>
    <s v="Travel_Frequently"/>
    <n v="566"/>
    <x v="0"/>
    <x v="16"/>
    <x v="3"/>
    <x v="0"/>
    <n v="1"/>
    <n v="407"/>
    <x v="0"/>
    <x v="0"/>
    <n v="81"/>
    <n v="4"/>
    <x v="0"/>
    <x v="0"/>
    <x v="2"/>
    <x v="2"/>
    <n v="3688"/>
    <x v="0"/>
    <n v="7122"/>
    <n v="4"/>
    <s v="Y"/>
    <x v="0"/>
    <n v="18"/>
    <n v="3"/>
    <n v="4"/>
    <n v="80"/>
    <n v="2"/>
    <n v="4"/>
    <n v="2"/>
    <x v="0"/>
    <x v="1"/>
    <x v="0"/>
    <n v="0"/>
  </r>
  <r>
    <s v="RM306"/>
    <n v="36"/>
    <x v="2"/>
    <s v="No"/>
    <n v="0"/>
    <s v="Non-Travel"/>
    <n v="1105"/>
    <x v="0"/>
    <x v="22"/>
    <x v="3"/>
    <x v="0"/>
    <n v="1"/>
    <n v="419"/>
    <x v="2"/>
    <x v="1"/>
    <n v="47"/>
    <n v="3"/>
    <x v="1"/>
    <x v="0"/>
    <x v="1"/>
    <x v="2"/>
    <n v="5674"/>
    <x v="1"/>
    <n v="6927"/>
    <n v="7"/>
    <s v="Y"/>
    <x v="0"/>
    <n v="15"/>
    <n v="3"/>
    <n v="3"/>
    <n v="80"/>
    <n v="1"/>
    <n v="11"/>
    <n v="3"/>
    <x v="0"/>
    <x v="9"/>
    <x v="7"/>
    <n v="0"/>
  </r>
  <r>
    <s v="RM359"/>
    <n v="36"/>
    <x v="2"/>
    <s v="No"/>
    <n v="0"/>
    <s v="Non-Travel"/>
    <n v="845"/>
    <x v="1"/>
    <x v="4"/>
    <x v="4"/>
    <x v="1"/>
    <n v="1"/>
    <n v="479"/>
    <x v="1"/>
    <x v="1"/>
    <n v="45"/>
    <n v="3"/>
    <x v="1"/>
    <x v="5"/>
    <x v="2"/>
    <x v="0"/>
    <n v="6653"/>
    <x v="1"/>
    <n v="15276"/>
    <n v="4"/>
    <s v="Y"/>
    <x v="0"/>
    <n v="15"/>
    <n v="3"/>
    <n v="2"/>
    <n v="80"/>
    <n v="0"/>
    <n v="7"/>
    <n v="6"/>
    <x v="0"/>
    <x v="1"/>
    <x v="0"/>
    <n v="0"/>
  </r>
  <r>
    <s v="RM360"/>
    <n v="36"/>
    <x v="2"/>
    <s v="No"/>
    <n v="0"/>
    <s v="Travel_Frequently"/>
    <n v="541"/>
    <x v="1"/>
    <x v="0"/>
    <x v="3"/>
    <x v="1"/>
    <n v="1"/>
    <n v="481"/>
    <x v="3"/>
    <x v="0"/>
    <n v="48"/>
    <n v="2"/>
    <x v="2"/>
    <x v="5"/>
    <x v="2"/>
    <x v="2"/>
    <n v="9699"/>
    <x v="1"/>
    <n v="7246"/>
    <n v="4"/>
    <s v="Y"/>
    <x v="0"/>
    <n v="11"/>
    <n v="3"/>
    <n v="1"/>
    <n v="80"/>
    <n v="1"/>
    <n v="16"/>
    <n v="2"/>
    <x v="0"/>
    <x v="13"/>
    <x v="9"/>
    <n v="1"/>
  </r>
  <r>
    <s v="RM378"/>
    <n v="36"/>
    <x v="2"/>
    <s v="No"/>
    <n v="0"/>
    <s v="Travel_Rarely"/>
    <n v="329"/>
    <x v="0"/>
    <x v="7"/>
    <x v="0"/>
    <x v="0"/>
    <n v="1"/>
    <n v="501"/>
    <x v="1"/>
    <x v="1"/>
    <n v="96"/>
    <n v="3"/>
    <x v="0"/>
    <x v="2"/>
    <x v="0"/>
    <x v="2"/>
    <n v="2543"/>
    <x v="0"/>
    <n v="11868"/>
    <n v="4"/>
    <s v="Y"/>
    <x v="0"/>
    <n v="13"/>
    <n v="3"/>
    <n v="2"/>
    <n v="80"/>
    <n v="1"/>
    <n v="6"/>
    <n v="3"/>
    <x v="0"/>
    <x v="2"/>
    <x v="2"/>
    <n v="2"/>
  </r>
  <r>
    <s v="RM385"/>
    <n v="36"/>
    <x v="2"/>
    <s v="No"/>
    <n v="0"/>
    <s v="Travel_Rarely"/>
    <n v="164"/>
    <x v="1"/>
    <x v="7"/>
    <x v="1"/>
    <x v="1"/>
    <n v="1"/>
    <n v="513"/>
    <x v="2"/>
    <x v="0"/>
    <n v="61"/>
    <n v="2"/>
    <x v="2"/>
    <x v="5"/>
    <x v="0"/>
    <x v="2"/>
    <n v="7596"/>
    <x v="1"/>
    <n v="3809"/>
    <n v="1"/>
    <s v="Y"/>
    <x v="0"/>
    <n v="13"/>
    <n v="3"/>
    <n v="2"/>
    <n v="80"/>
    <n v="2"/>
    <n v="10"/>
    <n v="2"/>
    <x v="0"/>
    <x v="10"/>
    <x v="9"/>
    <n v="9"/>
  </r>
  <r>
    <s v="RM443"/>
    <n v="36"/>
    <x v="2"/>
    <s v="No"/>
    <n v="0"/>
    <s v="Non-Travel"/>
    <n v="635"/>
    <x v="1"/>
    <x v="1"/>
    <x v="3"/>
    <x v="1"/>
    <n v="1"/>
    <n v="592"/>
    <x v="2"/>
    <x v="0"/>
    <n v="32"/>
    <n v="3"/>
    <x v="2"/>
    <x v="5"/>
    <x v="2"/>
    <x v="0"/>
    <n v="9980"/>
    <x v="1"/>
    <n v="15318"/>
    <n v="1"/>
    <s v="Y"/>
    <x v="0"/>
    <n v="14"/>
    <n v="3"/>
    <n v="4"/>
    <n v="80"/>
    <n v="0"/>
    <n v="10"/>
    <n v="3"/>
    <x v="3"/>
    <x v="10"/>
    <x v="3"/>
    <n v="9"/>
  </r>
  <r>
    <s v="RM512"/>
    <n v="36"/>
    <x v="2"/>
    <s v="No"/>
    <n v="0"/>
    <s v="Travel_Rarely"/>
    <n v="913"/>
    <x v="0"/>
    <x v="9"/>
    <x v="1"/>
    <x v="1"/>
    <n v="1"/>
    <n v="699"/>
    <x v="2"/>
    <x v="0"/>
    <n v="48"/>
    <n v="2"/>
    <x v="1"/>
    <x v="4"/>
    <x v="1"/>
    <x v="1"/>
    <n v="8847"/>
    <x v="1"/>
    <n v="13934"/>
    <n v="2"/>
    <s v="Y"/>
    <x v="1"/>
    <n v="11"/>
    <n v="3"/>
    <n v="3"/>
    <n v="80"/>
    <n v="1"/>
    <n v="13"/>
    <n v="2"/>
    <x v="0"/>
    <x v="3"/>
    <x v="2"/>
    <n v="0"/>
  </r>
  <r>
    <s v="RM542"/>
    <n v="36"/>
    <x v="2"/>
    <s v="No"/>
    <n v="0"/>
    <s v="Non-Travel"/>
    <n v="427"/>
    <x v="0"/>
    <x v="3"/>
    <x v="0"/>
    <x v="0"/>
    <n v="1"/>
    <n v="742"/>
    <x v="3"/>
    <x v="1"/>
    <n v="63"/>
    <n v="4"/>
    <x v="2"/>
    <x v="7"/>
    <x v="3"/>
    <x v="2"/>
    <n v="11713"/>
    <x v="2"/>
    <n v="20335"/>
    <n v="9"/>
    <s v="Y"/>
    <x v="0"/>
    <n v="14"/>
    <n v="3"/>
    <n v="1"/>
    <n v="80"/>
    <n v="1"/>
    <n v="10"/>
    <n v="2"/>
    <x v="0"/>
    <x v="8"/>
    <x v="6"/>
    <n v="0"/>
  </r>
  <r>
    <s v="RM570"/>
    <n v="36"/>
    <x v="2"/>
    <s v="No"/>
    <n v="0"/>
    <s v="Non-Travel"/>
    <n v="1434"/>
    <x v="1"/>
    <x v="3"/>
    <x v="3"/>
    <x v="0"/>
    <n v="1"/>
    <n v="789"/>
    <x v="3"/>
    <x v="0"/>
    <n v="76"/>
    <n v="2"/>
    <x v="2"/>
    <x v="5"/>
    <x v="3"/>
    <x v="0"/>
    <n v="7587"/>
    <x v="1"/>
    <n v="14229"/>
    <n v="1"/>
    <s v="Y"/>
    <x v="0"/>
    <n v="15"/>
    <n v="3"/>
    <n v="2"/>
    <n v="80"/>
    <n v="0"/>
    <n v="10"/>
    <n v="1"/>
    <x v="0"/>
    <x v="10"/>
    <x v="6"/>
    <n v="0"/>
  </r>
  <r>
    <s v="RM594"/>
    <n v="36"/>
    <x v="2"/>
    <s v="No"/>
    <n v="0"/>
    <s v="Travel_Rarely"/>
    <n v="676"/>
    <x v="0"/>
    <x v="4"/>
    <x v="0"/>
    <x v="4"/>
    <n v="1"/>
    <n v="823"/>
    <x v="0"/>
    <x v="1"/>
    <n v="35"/>
    <n v="3"/>
    <x v="1"/>
    <x v="4"/>
    <x v="1"/>
    <x v="2"/>
    <n v="5228"/>
    <x v="1"/>
    <n v="23361"/>
    <n v="0"/>
    <s v="Y"/>
    <x v="0"/>
    <n v="15"/>
    <n v="3"/>
    <n v="1"/>
    <n v="80"/>
    <n v="1"/>
    <n v="10"/>
    <n v="2"/>
    <x v="0"/>
    <x v="9"/>
    <x v="6"/>
    <n v="0"/>
  </r>
  <r>
    <s v="RM600"/>
    <n v="36"/>
    <x v="2"/>
    <s v="No"/>
    <n v="0"/>
    <s v="Travel_Rarely"/>
    <n v="1041"/>
    <x v="2"/>
    <x v="25"/>
    <x v="0"/>
    <x v="5"/>
    <n v="1"/>
    <n v="829"/>
    <x v="0"/>
    <x v="0"/>
    <n v="36"/>
    <n v="3"/>
    <x v="0"/>
    <x v="3"/>
    <x v="1"/>
    <x v="2"/>
    <n v="2143"/>
    <x v="0"/>
    <n v="25527"/>
    <n v="4"/>
    <s v="Y"/>
    <x v="0"/>
    <n v="13"/>
    <n v="3"/>
    <n v="2"/>
    <n v="80"/>
    <n v="1"/>
    <n v="8"/>
    <n v="2"/>
    <x v="0"/>
    <x v="5"/>
    <x v="2"/>
    <n v="0"/>
  </r>
  <r>
    <s v="RM622"/>
    <n v="36"/>
    <x v="2"/>
    <s v="No"/>
    <n v="0"/>
    <s v="Travel_Rarely"/>
    <n v="928"/>
    <x v="1"/>
    <x v="4"/>
    <x v="1"/>
    <x v="0"/>
    <n v="1"/>
    <n v="857"/>
    <x v="2"/>
    <x v="0"/>
    <n v="56"/>
    <n v="3"/>
    <x v="1"/>
    <x v="5"/>
    <x v="2"/>
    <x v="2"/>
    <n v="6201"/>
    <x v="1"/>
    <n v="2823"/>
    <n v="1"/>
    <s v="Y"/>
    <x v="1"/>
    <n v="14"/>
    <n v="3"/>
    <n v="4"/>
    <n v="80"/>
    <n v="1"/>
    <n v="18"/>
    <n v="1"/>
    <x v="3"/>
    <x v="18"/>
    <x v="13"/>
    <n v="4"/>
  </r>
  <r>
    <s v="RM634"/>
    <n v="36"/>
    <x v="2"/>
    <s v="No"/>
    <n v="0"/>
    <s v="Travel_Rarely"/>
    <n v="1278"/>
    <x v="2"/>
    <x v="3"/>
    <x v="0"/>
    <x v="0"/>
    <n v="1"/>
    <n v="878"/>
    <x v="3"/>
    <x v="0"/>
    <n v="77"/>
    <n v="2"/>
    <x v="0"/>
    <x v="3"/>
    <x v="3"/>
    <x v="2"/>
    <n v="2342"/>
    <x v="0"/>
    <n v="8635"/>
    <n v="0"/>
    <s v="Y"/>
    <x v="0"/>
    <n v="21"/>
    <n v="4"/>
    <n v="3"/>
    <n v="80"/>
    <n v="0"/>
    <n v="6"/>
    <n v="3"/>
    <x v="0"/>
    <x v="5"/>
    <x v="4"/>
    <n v="0"/>
  </r>
  <r>
    <s v="RM665"/>
    <n v="36"/>
    <x v="2"/>
    <s v="No"/>
    <n v="0"/>
    <s v="Travel_Rarely"/>
    <n v="1425"/>
    <x v="0"/>
    <x v="5"/>
    <x v="2"/>
    <x v="0"/>
    <n v="1"/>
    <n v="924"/>
    <x v="0"/>
    <x v="0"/>
    <n v="68"/>
    <n v="3"/>
    <x v="1"/>
    <x v="6"/>
    <x v="2"/>
    <x v="2"/>
    <n v="6586"/>
    <x v="1"/>
    <n v="4821"/>
    <n v="0"/>
    <s v="Y"/>
    <x v="1"/>
    <n v="17"/>
    <n v="3"/>
    <n v="1"/>
    <n v="80"/>
    <n v="1"/>
    <n v="17"/>
    <n v="2"/>
    <x v="3"/>
    <x v="16"/>
    <x v="7"/>
    <n v="4"/>
  </r>
  <r>
    <s v="RM681"/>
    <n v="36"/>
    <x v="2"/>
    <s v="No"/>
    <n v="0"/>
    <s v="Travel_Rarely"/>
    <n v="188"/>
    <x v="0"/>
    <x v="17"/>
    <x v="3"/>
    <x v="4"/>
    <n v="1"/>
    <n v="949"/>
    <x v="2"/>
    <x v="0"/>
    <n v="65"/>
    <n v="3"/>
    <x v="0"/>
    <x v="2"/>
    <x v="2"/>
    <x v="0"/>
    <n v="4678"/>
    <x v="0"/>
    <n v="23293"/>
    <n v="2"/>
    <s v="Y"/>
    <x v="0"/>
    <n v="18"/>
    <n v="3"/>
    <n v="3"/>
    <n v="80"/>
    <n v="0"/>
    <n v="8"/>
    <n v="6"/>
    <x v="0"/>
    <x v="6"/>
    <x v="2"/>
    <n v="0"/>
  </r>
  <r>
    <s v="RM688"/>
    <n v="36"/>
    <x v="2"/>
    <s v="No"/>
    <n v="0"/>
    <s v="Travel_Rarely"/>
    <n v="938"/>
    <x v="0"/>
    <x v="7"/>
    <x v="3"/>
    <x v="1"/>
    <n v="1"/>
    <n v="958"/>
    <x v="0"/>
    <x v="0"/>
    <n v="79"/>
    <n v="3"/>
    <x v="0"/>
    <x v="0"/>
    <x v="0"/>
    <x v="0"/>
    <n v="2519"/>
    <x v="0"/>
    <n v="12287"/>
    <n v="4"/>
    <s v="Y"/>
    <x v="0"/>
    <n v="21"/>
    <n v="4"/>
    <n v="3"/>
    <n v="80"/>
    <n v="0"/>
    <n v="16"/>
    <n v="6"/>
    <x v="0"/>
    <x v="11"/>
    <x v="7"/>
    <n v="3"/>
  </r>
  <r>
    <s v="RM694"/>
    <n v="36"/>
    <x v="2"/>
    <s v="Yes"/>
    <n v="1"/>
    <s v="Travel_Rarely"/>
    <n v="530"/>
    <x v="1"/>
    <x v="0"/>
    <x v="2"/>
    <x v="0"/>
    <n v="1"/>
    <n v="967"/>
    <x v="0"/>
    <x v="0"/>
    <n v="51"/>
    <n v="2"/>
    <x v="2"/>
    <x v="5"/>
    <x v="2"/>
    <x v="2"/>
    <n v="10325"/>
    <x v="2"/>
    <n v="5518"/>
    <n v="1"/>
    <s v="Y"/>
    <x v="1"/>
    <n v="11"/>
    <n v="3"/>
    <n v="1"/>
    <n v="80"/>
    <n v="1"/>
    <n v="16"/>
    <n v="6"/>
    <x v="0"/>
    <x v="16"/>
    <x v="6"/>
    <n v="3"/>
  </r>
  <r>
    <s v="RM709"/>
    <n v="36"/>
    <x v="2"/>
    <s v="No"/>
    <n v="0"/>
    <s v="Non-Travel"/>
    <n v="1229"/>
    <x v="1"/>
    <x v="3"/>
    <x v="3"/>
    <x v="3"/>
    <n v="1"/>
    <n v="990"/>
    <x v="3"/>
    <x v="0"/>
    <n v="84"/>
    <n v="3"/>
    <x v="1"/>
    <x v="5"/>
    <x v="2"/>
    <x v="1"/>
    <n v="5079"/>
    <x v="1"/>
    <n v="25952"/>
    <n v="4"/>
    <s v="Y"/>
    <x v="0"/>
    <n v="13"/>
    <n v="3"/>
    <n v="4"/>
    <n v="80"/>
    <n v="2"/>
    <n v="12"/>
    <n v="3"/>
    <x v="0"/>
    <x v="7"/>
    <x v="6"/>
    <n v="0"/>
  </r>
  <r>
    <s v="RM753"/>
    <n v="36"/>
    <x v="2"/>
    <s v="Yes"/>
    <n v="1"/>
    <s v="Travel_Rarely"/>
    <n v="885"/>
    <x v="0"/>
    <x v="18"/>
    <x v="3"/>
    <x v="0"/>
    <n v="1"/>
    <n v="1042"/>
    <x v="0"/>
    <x v="1"/>
    <n v="43"/>
    <n v="4"/>
    <x v="0"/>
    <x v="0"/>
    <x v="3"/>
    <x v="0"/>
    <n v="2743"/>
    <x v="0"/>
    <n v="8269"/>
    <n v="1"/>
    <s v="Y"/>
    <x v="0"/>
    <n v="16"/>
    <n v="3"/>
    <n v="3"/>
    <n v="80"/>
    <n v="0"/>
    <n v="18"/>
    <n v="1"/>
    <x v="0"/>
    <x v="17"/>
    <x v="12"/>
    <n v="15"/>
  </r>
  <r>
    <s v="RM762"/>
    <n v="36"/>
    <x v="2"/>
    <s v="Yes"/>
    <n v="1"/>
    <s v="Travel_Rarely"/>
    <n v="660"/>
    <x v="0"/>
    <x v="14"/>
    <x v="0"/>
    <x v="4"/>
    <n v="1"/>
    <n v="1052"/>
    <x v="3"/>
    <x v="0"/>
    <n v="81"/>
    <n v="3"/>
    <x v="1"/>
    <x v="0"/>
    <x v="0"/>
    <x v="1"/>
    <n v="4834"/>
    <x v="0"/>
    <n v="7858"/>
    <n v="7"/>
    <s v="Y"/>
    <x v="0"/>
    <n v="14"/>
    <n v="3"/>
    <n v="2"/>
    <n v="80"/>
    <n v="1"/>
    <n v="9"/>
    <n v="3"/>
    <x v="3"/>
    <x v="1"/>
    <x v="0"/>
    <n v="0"/>
  </r>
  <r>
    <s v="RM774"/>
    <n v="36"/>
    <x v="2"/>
    <s v="No"/>
    <n v="0"/>
    <s v="Travel_Rarely"/>
    <n v="796"/>
    <x v="0"/>
    <x v="15"/>
    <x v="4"/>
    <x v="1"/>
    <n v="1"/>
    <n v="1073"/>
    <x v="1"/>
    <x v="1"/>
    <n v="51"/>
    <n v="2"/>
    <x v="2"/>
    <x v="4"/>
    <x v="2"/>
    <x v="0"/>
    <n v="8858"/>
    <x v="1"/>
    <n v="15669"/>
    <n v="0"/>
    <s v="Y"/>
    <x v="0"/>
    <n v="11"/>
    <n v="3"/>
    <n v="2"/>
    <n v="80"/>
    <n v="0"/>
    <n v="15"/>
    <n v="2"/>
    <x v="3"/>
    <x v="14"/>
    <x v="7"/>
    <n v="7"/>
  </r>
  <r>
    <s v="RM818"/>
    <n v="36"/>
    <x v="2"/>
    <s v="No"/>
    <n v="0"/>
    <s v="Non-Travel"/>
    <n v="217"/>
    <x v="0"/>
    <x v="16"/>
    <x v="3"/>
    <x v="0"/>
    <n v="1"/>
    <n v="1133"/>
    <x v="3"/>
    <x v="0"/>
    <n v="78"/>
    <n v="3"/>
    <x v="1"/>
    <x v="4"/>
    <x v="2"/>
    <x v="0"/>
    <n v="7779"/>
    <x v="1"/>
    <n v="23238"/>
    <n v="2"/>
    <s v="Y"/>
    <x v="0"/>
    <n v="20"/>
    <n v="4"/>
    <n v="1"/>
    <n v="80"/>
    <n v="0"/>
    <n v="18"/>
    <n v="0"/>
    <x v="0"/>
    <x v="11"/>
    <x v="9"/>
    <n v="0"/>
  </r>
  <r>
    <s v="RM874"/>
    <n v="36"/>
    <x v="2"/>
    <s v="No"/>
    <n v="0"/>
    <s v="Travel_Rarely"/>
    <n v="917"/>
    <x v="0"/>
    <x v="11"/>
    <x v="3"/>
    <x v="0"/>
    <n v="1"/>
    <n v="1221"/>
    <x v="0"/>
    <x v="0"/>
    <n v="60"/>
    <n v="1"/>
    <x v="0"/>
    <x v="0"/>
    <x v="0"/>
    <x v="1"/>
    <n v="2741"/>
    <x v="0"/>
    <n v="6865"/>
    <n v="1"/>
    <s v="Y"/>
    <x v="0"/>
    <n v="14"/>
    <n v="3"/>
    <n v="3"/>
    <n v="80"/>
    <n v="1"/>
    <n v="7"/>
    <n v="4"/>
    <x v="0"/>
    <x v="7"/>
    <x v="6"/>
    <n v="1"/>
  </r>
  <r>
    <s v="RM883"/>
    <n v="36"/>
    <x v="2"/>
    <s v="No"/>
    <n v="0"/>
    <s v="Travel_Rarely"/>
    <n v="363"/>
    <x v="0"/>
    <x v="4"/>
    <x v="0"/>
    <x v="3"/>
    <n v="1"/>
    <n v="1237"/>
    <x v="0"/>
    <x v="1"/>
    <n v="77"/>
    <n v="1"/>
    <x v="2"/>
    <x v="4"/>
    <x v="3"/>
    <x v="1"/>
    <n v="10252"/>
    <x v="2"/>
    <n v="4235"/>
    <n v="2"/>
    <s v="Y"/>
    <x v="1"/>
    <n v="21"/>
    <n v="4"/>
    <n v="3"/>
    <n v="80"/>
    <n v="1"/>
    <n v="17"/>
    <n v="2"/>
    <x v="0"/>
    <x v="7"/>
    <x v="6"/>
    <n v="7"/>
  </r>
  <r>
    <s v="RM901"/>
    <n v="36"/>
    <x v="2"/>
    <s v="No"/>
    <n v="0"/>
    <s v="Travel_Frequently"/>
    <n v="469"/>
    <x v="0"/>
    <x v="0"/>
    <x v="0"/>
    <x v="3"/>
    <n v="1"/>
    <n v="1257"/>
    <x v="0"/>
    <x v="0"/>
    <n v="46"/>
    <n v="3"/>
    <x v="0"/>
    <x v="2"/>
    <x v="1"/>
    <x v="2"/>
    <n v="3692"/>
    <x v="0"/>
    <n v="9256"/>
    <n v="1"/>
    <s v="Y"/>
    <x v="0"/>
    <n v="12"/>
    <n v="3"/>
    <n v="3"/>
    <n v="80"/>
    <n v="0"/>
    <n v="12"/>
    <n v="2"/>
    <x v="3"/>
    <x v="11"/>
    <x v="10"/>
    <n v="0"/>
  </r>
  <r>
    <s v="RM928"/>
    <n v="36"/>
    <x v="2"/>
    <s v="No"/>
    <n v="0"/>
    <s v="Travel_Rarely"/>
    <n v="429"/>
    <x v="0"/>
    <x v="7"/>
    <x v="3"/>
    <x v="0"/>
    <n v="1"/>
    <n v="1294"/>
    <x v="0"/>
    <x v="1"/>
    <n v="53"/>
    <n v="3"/>
    <x v="1"/>
    <x v="4"/>
    <x v="1"/>
    <x v="0"/>
    <n v="5410"/>
    <x v="1"/>
    <n v="2323"/>
    <n v="9"/>
    <s v="Y"/>
    <x v="1"/>
    <n v="11"/>
    <n v="3"/>
    <n v="4"/>
    <n v="80"/>
    <n v="0"/>
    <n v="18"/>
    <n v="2"/>
    <x v="0"/>
    <x v="16"/>
    <x v="13"/>
    <n v="5"/>
  </r>
  <r>
    <s v="RM943"/>
    <n v="36"/>
    <x v="2"/>
    <s v="No"/>
    <n v="0"/>
    <s v="Travel_Rarely"/>
    <n v="325"/>
    <x v="0"/>
    <x v="1"/>
    <x v="3"/>
    <x v="3"/>
    <n v="1"/>
    <n v="1312"/>
    <x v="1"/>
    <x v="1"/>
    <n v="63"/>
    <n v="3"/>
    <x v="2"/>
    <x v="6"/>
    <x v="0"/>
    <x v="2"/>
    <n v="7094"/>
    <x v="1"/>
    <n v="5747"/>
    <n v="3"/>
    <s v="Y"/>
    <x v="0"/>
    <n v="12"/>
    <n v="3"/>
    <n v="1"/>
    <n v="80"/>
    <n v="0"/>
    <n v="10"/>
    <n v="0"/>
    <x v="0"/>
    <x v="7"/>
    <x v="6"/>
    <n v="1"/>
  </r>
  <r>
    <s v="RM969"/>
    <n v="36"/>
    <x v="2"/>
    <s v="No"/>
    <n v="0"/>
    <s v="Travel_Frequently"/>
    <n v="607"/>
    <x v="1"/>
    <x v="17"/>
    <x v="0"/>
    <x v="2"/>
    <n v="1"/>
    <n v="1362"/>
    <x v="3"/>
    <x v="1"/>
    <n v="83"/>
    <n v="4"/>
    <x v="1"/>
    <x v="5"/>
    <x v="3"/>
    <x v="2"/>
    <n v="4639"/>
    <x v="0"/>
    <n v="2261"/>
    <n v="2"/>
    <s v="Y"/>
    <x v="0"/>
    <n v="16"/>
    <n v="3"/>
    <n v="4"/>
    <n v="80"/>
    <n v="1"/>
    <n v="17"/>
    <n v="2"/>
    <x v="3"/>
    <x v="15"/>
    <x v="6"/>
    <n v="6"/>
  </r>
  <r>
    <s v="RM1012"/>
    <n v="36"/>
    <x v="2"/>
    <s v="No"/>
    <n v="0"/>
    <s v="Travel_Rarely"/>
    <n v="1174"/>
    <x v="1"/>
    <x v="0"/>
    <x v="3"/>
    <x v="2"/>
    <n v="1"/>
    <n v="1425"/>
    <x v="3"/>
    <x v="1"/>
    <n v="99"/>
    <n v="3"/>
    <x v="1"/>
    <x v="5"/>
    <x v="1"/>
    <x v="0"/>
    <n v="9278"/>
    <x v="1"/>
    <n v="20763"/>
    <n v="3"/>
    <s v="Y"/>
    <x v="1"/>
    <n v="16"/>
    <n v="3"/>
    <n v="4"/>
    <n v="80"/>
    <n v="0"/>
    <n v="15"/>
    <n v="3"/>
    <x v="0"/>
    <x v="5"/>
    <x v="4"/>
    <n v="0"/>
  </r>
  <r>
    <s v="RM1019"/>
    <n v="36"/>
    <x v="2"/>
    <s v="No"/>
    <n v="0"/>
    <s v="Travel_Rarely"/>
    <n v="172"/>
    <x v="0"/>
    <x v="12"/>
    <x v="3"/>
    <x v="0"/>
    <n v="1"/>
    <n v="1435"/>
    <x v="3"/>
    <x v="0"/>
    <n v="37"/>
    <n v="2"/>
    <x v="1"/>
    <x v="0"/>
    <x v="2"/>
    <x v="0"/>
    <n v="5810"/>
    <x v="1"/>
    <n v="22604"/>
    <n v="1"/>
    <s v="Y"/>
    <x v="0"/>
    <n v="16"/>
    <n v="3"/>
    <n v="3"/>
    <n v="80"/>
    <n v="0"/>
    <n v="10"/>
    <n v="2"/>
    <x v="3"/>
    <x v="10"/>
    <x v="4"/>
    <n v="1"/>
  </r>
  <r>
    <s v="RM1020"/>
    <n v="36"/>
    <x v="2"/>
    <s v="No"/>
    <n v="0"/>
    <s v="Travel_Rarely"/>
    <n v="329"/>
    <x v="1"/>
    <x v="18"/>
    <x v="3"/>
    <x v="2"/>
    <n v="1"/>
    <n v="1436"/>
    <x v="0"/>
    <x v="1"/>
    <n v="98"/>
    <n v="2"/>
    <x v="1"/>
    <x v="5"/>
    <x v="3"/>
    <x v="2"/>
    <n v="5647"/>
    <x v="1"/>
    <n v="13494"/>
    <n v="4"/>
    <s v="Y"/>
    <x v="0"/>
    <n v="13"/>
    <n v="3"/>
    <n v="1"/>
    <n v="80"/>
    <n v="2"/>
    <n v="11"/>
    <n v="3"/>
    <x v="3"/>
    <x v="3"/>
    <x v="2"/>
    <n v="0"/>
  </r>
  <r>
    <s v="RM1103"/>
    <n v="36"/>
    <x v="2"/>
    <s v="No"/>
    <n v="0"/>
    <s v="Travel_Rarely"/>
    <n v="1157"/>
    <x v="1"/>
    <x v="7"/>
    <x v="3"/>
    <x v="0"/>
    <n v="1"/>
    <n v="1556"/>
    <x v="0"/>
    <x v="0"/>
    <n v="70"/>
    <n v="3"/>
    <x v="0"/>
    <x v="1"/>
    <x v="2"/>
    <x v="0"/>
    <n v="2644"/>
    <x v="0"/>
    <n v="17001"/>
    <n v="3"/>
    <s v="Y"/>
    <x v="1"/>
    <n v="21"/>
    <n v="4"/>
    <n v="4"/>
    <n v="80"/>
    <n v="0"/>
    <n v="7"/>
    <n v="3"/>
    <x v="3"/>
    <x v="3"/>
    <x v="2"/>
    <n v="1"/>
  </r>
  <r>
    <s v="RM1122"/>
    <n v="36"/>
    <x v="2"/>
    <s v="No"/>
    <n v="0"/>
    <s v="Travel_Rarely"/>
    <n v="884"/>
    <x v="1"/>
    <x v="4"/>
    <x v="3"/>
    <x v="0"/>
    <n v="1"/>
    <n v="1585"/>
    <x v="2"/>
    <x v="1"/>
    <n v="73"/>
    <n v="3"/>
    <x v="1"/>
    <x v="5"/>
    <x v="0"/>
    <x v="0"/>
    <n v="6815"/>
    <x v="1"/>
    <n v="21447"/>
    <n v="6"/>
    <s v="Y"/>
    <x v="0"/>
    <n v="13"/>
    <n v="3"/>
    <n v="1"/>
    <n v="80"/>
    <n v="0"/>
    <n v="15"/>
    <n v="5"/>
    <x v="0"/>
    <x v="1"/>
    <x v="0"/>
    <n v="0"/>
  </r>
  <r>
    <s v="RM1129"/>
    <n v="36"/>
    <x v="2"/>
    <s v="No"/>
    <n v="0"/>
    <s v="Travel_Frequently"/>
    <n v="1302"/>
    <x v="0"/>
    <x v="11"/>
    <x v="3"/>
    <x v="0"/>
    <n v="1"/>
    <n v="1594"/>
    <x v="3"/>
    <x v="0"/>
    <n v="80"/>
    <n v="4"/>
    <x v="1"/>
    <x v="0"/>
    <x v="3"/>
    <x v="2"/>
    <n v="5562"/>
    <x v="1"/>
    <n v="19711"/>
    <n v="3"/>
    <s v="Y"/>
    <x v="1"/>
    <n v="13"/>
    <n v="3"/>
    <n v="4"/>
    <n v="80"/>
    <n v="1"/>
    <n v="9"/>
    <n v="3"/>
    <x v="0"/>
    <x v="3"/>
    <x v="2"/>
    <n v="0"/>
  </r>
  <r>
    <s v="RM1146"/>
    <n v="36"/>
    <x v="2"/>
    <s v="No"/>
    <n v="0"/>
    <s v="Travel_Rarely"/>
    <n v="559"/>
    <x v="0"/>
    <x v="15"/>
    <x v="3"/>
    <x v="0"/>
    <n v="1"/>
    <n v="1614"/>
    <x v="0"/>
    <x v="1"/>
    <n v="76"/>
    <n v="3"/>
    <x v="1"/>
    <x v="4"/>
    <x v="0"/>
    <x v="2"/>
    <n v="4663"/>
    <x v="0"/>
    <n v="12421"/>
    <n v="9"/>
    <s v="Y"/>
    <x v="1"/>
    <n v="12"/>
    <n v="3"/>
    <n v="2"/>
    <n v="80"/>
    <n v="2"/>
    <n v="7"/>
    <n v="2"/>
    <x v="0"/>
    <x v="3"/>
    <x v="2"/>
    <n v="1"/>
  </r>
  <r>
    <s v="RM1174"/>
    <n v="36"/>
    <x v="2"/>
    <s v="No"/>
    <n v="0"/>
    <s v="Travel_Rarely"/>
    <n v="711"/>
    <x v="0"/>
    <x v="2"/>
    <x v="3"/>
    <x v="0"/>
    <n v="1"/>
    <n v="1651"/>
    <x v="2"/>
    <x v="1"/>
    <n v="42"/>
    <n v="3"/>
    <x v="2"/>
    <x v="6"/>
    <x v="3"/>
    <x v="2"/>
    <n v="8008"/>
    <x v="1"/>
    <n v="22792"/>
    <n v="4"/>
    <s v="Y"/>
    <x v="0"/>
    <n v="12"/>
    <n v="3"/>
    <n v="3"/>
    <n v="80"/>
    <n v="2"/>
    <n v="9"/>
    <n v="6"/>
    <x v="0"/>
    <x v="3"/>
    <x v="2"/>
    <n v="0"/>
  </r>
  <r>
    <s v="RM1181"/>
    <n v="36"/>
    <x v="2"/>
    <s v="No"/>
    <n v="0"/>
    <s v="Travel_Rarely"/>
    <n v="311"/>
    <x v="0"/>
    <x v="17"/>
    <x v="0"/>
    <x v="0"/>
    <n v="1"/>
    <n v="1659"/>
    <x v="3"/>
    <x v="0"/>
    <n v="77"/>
    <n v="3"/>
    <x v="0"/>
    <x v="0"/>
    <x v="1"/>
    <x v="0"/>
    <n v="2013"/>
    <x v="0"/>
    <n v="10950"/>
    <n v="2"/>
    <s v="Y"/>
    <x v="0"/>
    <n v="11"/>
    <n v="3"/>
    <n v="3"/>
    <n v="80"/>
    <n v="0"/>
    <n v="15"/>
    <n v="4"/>
    <x v="0"/>
    <x v="4"/>
    <x v="3"/>
    <n v="1"/>
  </r>
  <r>
    <s v="RM1183"/>
    <n v="36"/>
    <x v="2"/>
    <s v="No"/>
    <n v="0"/>
    <s v="Non-Travel"/>
    <n v="894"/>
    <x v="0"/>
    <x v="4"/>
    <x v="3"/>
    <x v="1"/>
    <n v="1"/>
    <n v="1662"/>
    <x v="1"/>
    <x v="1"/>
    <n v="33"/>
    <n v="2"/>
    <x v="1"/>
    <x v="4"/>
    <x v="0"/>
    <x v="2"/>
    <n v="4374"/>
    <x v="0"/>
    <n v="15411"/>
    <n v="0"/>
    <s v="Y"/>
    <x v="0"/>
    <n v="15"/>
    <n v="3"/>
    <n v="3"/>
    <n v="80"/>
    <n v="0"/>
    <n v="4"/>
    <n v="6"/>
    <x v="0"/>
    <x v="3"/>
    <x v="2"/>
    <n v="1"/>
  </r>
  <r>
    <s v="RM1184"/>
    <n v="36"/>
    <x v="2"/>
    <s v="No"/>
    <n v="0"/>
    <s v="Travel_Rarely"/>
    <n v="1040"/>
    <x v="0"/>
    <x v="0"/>
    <x v="1"/>
    <x v="0"/>
    <n v="1"/>
    <n v="1664"/>
    <x v="1"/>
    <x v="0"/>
    <n v="79"/>
    <n v="4"/>
    <x v="1"/>
    <x v="6"/>
    <x v="3"/>
    <x v="1"/>
    <n v="6842"/>
    <x v="1"/>
    <n v="26308"/>
    <n v="6"/>
    <s v="Y"/>
    <x v="0"/>
    <n v="20"/>
    <n v="4"/>
    <n v="1"/>
    <n v="80"/>
    <n v="1"/>
    <n v="13"/>
    <n v="3"/>
    <x v="0"/>
    <x v="5"/>
    <x v="4"/>
    <n v="0"/>
  </r>
  <r>
    <s v="RM1200"/>
    <n v="36"/>
    <x v="2"/>
    <s v="No"/>
    <n v="0"/>
    <s v="Travel_Rarely"/>
    <n v="1351"/>
    <x v="0"/>
    <x v="20"/>
    <x v="3"/>
    <x v="0"/>
    <n v="1"/>
    <n v="1682"/>
    <x v="3"/>
    <x v="0"/>
    <n v="80"/>
    <n v="3"/>
    <x v="1"/>
    <x v="6"/>
    <x v="0"/>
    <x v="2"/>
    <n v="5347"/>
    <x v="1"/>
    <n v="7419"/>
    <n v="6"/>
    <s v="Y"/>
    <x v="0"/>
    <n v="14"/>
    <n v="3"/>
    <n v="2"/>
    <n v="80"/>
    <n v="2"/>
    <n v="10"/>
    <n v="2"/>
    <x v="3"/>
    <x v="3"/>
    <x v="2"/>
    <n v="0"/>
  </r>
  <r>
    <s v="RM1221"/>
    <n v="36"/>
    <x v="2"/>
    <s v="No"/>
    <n v="0"/>
    <s v="Travel_Rarely"/>
    <n v="530"/>
    <x v="1"/>
    <x v="7"/>
    <x v="3"/>
    <x v="0"/>
    <n v="1"/>
    <n v="1710"/>
    <x v="0"/>
    <x v="1"/>
    <n v="51"/>
    <n v="3"/>
    <x v="1"/>
    <x v="1"/>
    <x v="2"/>
    <x v="0"/>
    <n v="4502"/>
    <x v="0"/>
    <n v="7439"/>
    <n v="3"/>
    <s v="Y"/>
    <x v="0"/>
    <n v="15"/>
    <n v="3"/>
    <n v="3"/>
    <n v="80"/>
    <n v="0"/>
    <n v="17"/>
    <n v="2"/>
    <x v="3"/>
    <x v="13"/>
    <x v="6"/>
    <n v="6"/>
  </r>
  <r>
    <s v="RM1237"/>
    <n v="36"/>
    <x v="2"/>
    <s v="Yes"/>
    <n v="1"/>
    <s v="Travel_Rarely"/>
    <n v="1456"/>
    <x v="1"/>
    <x v="25"/>
    <x v="4"/>
    <x v="2"/>
    <n v="1"/>
    <n v="1733"/>
    <x v="2"/>
    <x v="0"/>
    <n v="96"/>
    <n v="2"/>
    <x v="1"/>
    <x v="5"/>
    <x v="3"/>
    <x v="1"/>
    <n v="6134"/>
    <x v="1"/>
    <n v="8658"/>
    <n v="5"/>
    <s v="Y"/>
    <x v="1"/>
    <n v="13"/>
    <n v="3"/>
    <n v="2"/>
    <n v="80"/>
    <n v="3"/>
    <n v="16"/>
    <n v="3"/>
    <x v="0"/>
    <x v="2"/>
    <x v="2"/>
    <n v="2"/>
  </r>
  <r>
    <s v="RM1279"/>
    <n v="36"/>
    <x v="2"/>
    <s v="No"/>
    <n v="0"/>
    <s v="Travel_Rarely"/>
    <n v="1383"/>
    <x v="0"/>
    <x v="1"/>
    <x v="0"/>
    <x v="0"/>
    <n v="1"/>
    <n v="1790"/>
    <x v="1"/>
    <x v="0"/>
    <n v="90"/>
    <n v="3"/>
    <x v="2"/>
    <x v="6"/>
    <x v="3"/>
    <x v="2"/>
    <n v="8321"/>
    <x v="1"/>
    <n v="25949"/>
    <n v="7"/>
    <s v="Y"/>
    <x v="1"/>
    <n v="13"/>
    <n v="3"/>
    <n v="4"/>
    <n v="80"/>
    <n v="1"/>
    <n v="15"/>
    <n v="1"/>
    <x v="0"/>
    <x v="12"/>
    <x v="7"/>
    <n v="5"/>
  </r>
  <r>
    <s v="RM1316"/>
    <n v="36"/>
    <x v="2"/>
    <s v="No"/>
    <n v="0"/>
    <s v="Travel_Rarely"/>
    <n v="430"/>
    <x v="0"/>
    <x v="7"/>
    <x v="3"/>
    <x v="4"/>
    <n v="1"/>
    <n v="1847"/>
    <x v="1"/>
    <x v="1"/>
    <n v="73"/>
    <n v="3"/>
    <x v="1"/>
    <x v="2"/>
    <x v="1"/>
    <x v="2"/>
    <n v="6962"/>
    <x v="1"/>
    <n v="19573"/>
    <n v="4"/>
    <s v="Y"/>
    <x v="1"/>
    <n v="22"/>
    <n v="4"/>
    <n v="4"/>
    <n v="80"/>
    <n v="1"/>
    <n v="15"/>
    <n v="2"/>
    <x v="0"/>
    <x v="1"/>
    <x v="0"/>
    <n v="0"/>
  </r>
  <r>
    <s v="RM1341"/>
    <n v="36"/>
    <x v="2"/>
    <s v="No"/>
    <n v="0"/>
    <s v="Travel_Rarely"/>
    <n v="1266"/>
    <x v="1"/>
    <x v="1"/>
    <x v="3"/>
    <x v="3"/>
    <n v="1"/>
    <n v="1880"/>
    <x v="2"/>
    <x v="1"/>
    <n v="63"/>
    <n v="2"/>
    <x v="1"/>
    <x v="5"/>
    <x v="0"/>
    <x v="2"/>
    <n v="5673"/>
    <x v="1"/>
    <n v="6060"/>
    <n v="1"/>
    <s v="Y"/>
    <x v="1"/>
    <n v="13"/>
    <n v="3"/>
    <n v="1"/>
    <n v="80"/>
    <n v="1"/>
    <n v="10"/>
    <n v="4"/>
    <x v="0"/>
    <x v="10"/>
    <x v="9"/>
    <n v="1"/>
  </r>
  <r>
    <s v="RM1348"/>
    <n v="36"/>
    <x v="2"/>
    <s v="No"/>
    <n v="0"/>
    <s v="Travel_Frequently"/>
    <n v="1213"/>
    <x v="2"/>
    <x v="7"/>
    <x v="2"/>
    <x v="5"/>
    <n v="1"/>
    <n v="1890"/>
    <x v="2"/>
    <x v="0"/>
    <n v="94"/>
    <n v="2"/>
    <x v="1"/>
    <x v="3"/>
    <x v="2"/>
    <x v="0"/>
    <n v="3886"/>
    <x v="0"/>
    <n v="4223"/>
    <n v="1"/>
    <s v="Y"/>
    <x v="0"/>
    <n v="21"/>
    <n v="4"/>
    <n v="4"/>
    <n v="80"/>
    <n v="0"/>
    <n v="10"/>
    <n v="2"/>
    <x v="3"/>
    <x v="10"/>
    <x v="1"/>
    <n v="0"/>
  </r>
  <r>
    <s v="RM1356"/>
    <n v="36"/>
    <x v="2"/>
    <s v="No"/>
    <n v="0"/>
    <s v="Travel_Rarely"/>
    <n v="335"/>
    <x v="1"/>
    <x v="24"/>
    <x v="1"/>
    <x v="2"/>
    <n v="1"/>
    <n v="1908"/>
    <x v="0"/>
    <x v="0"/>
    <n v="33"/>
    <n v="2"/>
    <x v="1"/>
    <x v="5"/>
    <x v="1"/>
    <x v="2"/>
    <n v="5507"/>
    <x v="1"/>
    <n v="16822"/>
    <n v="2"/>
    <s v="Y"/>
    <x v="0"/>
    <n v="16"/>
    <n v="3"/>
    <n v="3"/>
    <n v="80"/>
    <n v="2"/>
    <n v="12"/>
    <n v="1"/>
    <x v="2"/>
    <x v="4"/>
    <x v="2"/>
    <n v="1"/>
  </r>
  <r>
    <s v="RM1384"/>
    <n v="36"/>
    <x v="2"/>
    <s v="No"/>
    <n v="0"/>
    <s v="Non-Travel"/>
    <n v="1351"/>
    <x v="0"/>
    <x v="9"/>
    <x v="3"/>
    <x v="0"/>
    <n v="1"/>
    <n v="1949"/>
    <x v="3"/>
    <x v="0"/>
    <n v="66"/>
    <n v="4"/>
    <x v="0"/>
    <x v="0"/>
    <x v="1"/>
    <x v="2"/>
    <n v="2810"/>
    <x v="0"/>
    <n v="9238"/>
    <n v="1"/>
    <s v="Y"/>
    <x v="0"/>
    <n v="22"/>
    <n v="4"/>
    <n v="2"/>
    <n v="80"/>
    <n v="0"/>
    <n v="5"/>
    <n v="3"/>
    <x v="0"/>
    <x v="5"/>
    <x v="4"/>
    <n v="0"/>
  </r>
  <r>
    <s v="RM1440"/>
    <n v="36"/>
    <x v="2"/>
    <s v="No"/>
    <n v="0"/>
    <s v="Travel_Rarely"/>
    <n v="557"/>
    <x v="1"/>
    <x v="0"/>
    <x v="0"/>
    <x v="1"/>
    <n v="1"/>
    <n v="2024"/>
    <x v="3"/>
    <x v="1"/>
    <n v="94"/>
    <n v="2"/>
    <x v="2"/>
    <x v="5"/>
    <x v="2"/>
    <x v="2"/>
    <n v="7644"/>
    <x v="1"/>
    <n v="12695"/>
    <n v="0"/>
    <s v="Y"/>
    <x v="0"/>
    <n v="19"/>
    <n v="3"/>
    <n v="3"/>
    <n v="80"/>
    <n v="2"/>
    <n v="10"/>
    <n v="2"/>
    <x v="0"/>
    <x v="9"/>
    <x v="6"/>
    <n v="3"/>
  </r>
  <r>
    <s v="RM1441"/>
    <n v="36"/>
    <x v="2"/>
    <s v="No"/>
    <n v="0"/>
    <s v="Travel_Frequently"/>
    <n v="688"/>
    <x v="0"/>
    <x v="12"/>
    <x v="1"/>
    <x v="0"/>
    <n v="1"/>
    <n v="2025"/>
    <x v="1"/>
    <x v="1"/>
    <n v="97"/>
    <n v="3"/>
    <x v="1"/>
    <x v="4"/>
    <x v="1"/>
    <x v="1"/>
    <n v="5131"/>
    <x v="1"/>
    <n v="9192"/>
    <n v="7"/>
    <s v="Y"/>
    <x v="0"/>
    <n v="13"/>
    <n v="3"/>
    <n v="2"/>
    <n v="80"/>
    <n v="3"/>
    <n v="18"/>
    <n v="3"/>
    <x v="0"/>
    <x v="4"/>
    <x v="2"/>
    <n v="0"/>
  </r>
  <r>
    <s v="RM1448"/>
    <n v="36"/>
    <x v="2"/>
    <s v="No"/>
    <n v="0"/>
    <s v="Non-Travel"/>
    <n v="301"/>
    <x v="1"/>
    <x v="14"/>
    <x v="3"/>
    <x v="2"/>
    <n v="1"/>
    <n v="2036"/>
    <x v="1"/>
    <x v="0"/>
    <n v="88"/>
    <n v="1"/>
    <x v="1"/>
    <x v="5"/>
    <x v="2"/>
    <x v="1"/>
    <n v="5406"/>
    <x v="1"/>
    <n v="10436"/>
    <n v="1"/>
    <s v="Y"/>
    <x v="0"/>
    <n v="24"/>
    <n v="4"/>
    <n v="1"/>
    <n v="80"/>
    <n v="1"/>
    <n v="15"/>
    <n v="4"/>
    <x v="3"/>
    <x v="15"/>
    <x v="11"/>
    <n v="11"/>
  </r>
  <r>
    <s v="RM1454"/>
    <n v="36"/>
    <x v="2"/>
    <s v="No"/>
    <n v="0"/>
    <s v="Travel_Rarely"/>
    <n v="1120"/>
    <x v="1"/>
    <x v="13"/>
    <x v="3"/>
    <x v="2"/>
    <n v="1"/>
    <n v="2045"/>
    <x v="2"/>
    <x v="1"/>
    <n v="100"/>
    <n v="2"/>
    <x v="1"/>
    <x v="5"/>
    <x v="2"/>
    <x v="2"/>
    <n v="6652"/>
    <x v="1"/>
    <n v="14369"/>
    <n v="4"/>
    <s v="Y"/>
    <x v="0"/>
    <n v="13"/>
    <n v="3"/>
    <n v="1"/>
    <n v="80"/>
    <n v="1"/>
    <n v="8"/>
    <n v="2"/>
    <x v="3"/>
    <x v="6"/>
    <x v="3"/>
    <n v="0"/>
  </r>
  <r>
    <s v="RM1466"/>
    <n v="36"/>
    <x v="2"/>
    <s v="No"/>
    <n v="0"/>
    <s v="Travel_Frequently"/>
    <n v="884"/>
    <x v="0"/>
    <x v="23"/>
    <x v="1"/>
    <x v="1"/>
    <n v="1"/>
    <n v="2061"/>
    <x v="0"/>
    <x v="0"/>
    <n v="41"/>
    <n v="4"/>
    <x v="1"/>
    <x v="0"/>
    <x v="2"/>
    <x v="2"/>
    <n v="2571"/>
    <x v="0"/>
    <n v="12290"/>
    <n v="4"/>
    <s v="Y"/>
    <x v="0"/>
    <n v="17"/>
    <n v="3"/>
    <n v="3"/>
    <n v="80"/>
    <n v="1"/>
    <n v="17"/>
    <n v="3"/>
    <x v="0"/>
    <x v="5"/>
    <x v="2"/>
    <n v="0"/>
  </r>
  <r>
    <s v="RM003"/>
    <n v="37"/>
    <x v="2"/>
    <s v="Yes"/>
    <n v="1"/>
    <s v="Travel_Rarely"/>
    <n v="1373"/>
    <x v="0"/>
    <x v="7"/>
    <x v="1"/>
    <x v="4"/>
    <n v="1"/>
    <n v="4"/>
    <x v="1"/>
    <x v="0"/>
    <n v="92"/>
    <n v="2"/>
    <x v="0"/>
    <x v="0"/>
    <x v="0"/>
    <x v="0"/>
    <n v="2090"/>
    <x v="0"/>
    <n v="2396"/>
    <n v="6"/>
    <s v="Y"/>
    <x v="1"/>
    <n v="15"/>
    <n v="3"/>
    <n v="2"/>
    <n v="80"/>
    <n v="0"/>
    <n v="7"/>
    <n v="3"/>
    <x v="0"/>
    <x v="0"/>
    <x v="0"/>
    <n v="0"/>
  </r>
  <r>
    <s v="RM048"/>
    <n v="37"/>
    <x v="2"/>
    <s v="No"/>
    <n v="0"/>
    <s v="Travel_Rarely"/>
    <n v="408"/>
    <x v="0"/>
    <x v="19"/>
    <x v="1"/>
    <x v="0"/>
    <n v="1"/>
    <n v="61"/>
    <x v="2"/>
    <x v="0"/>
    <n v="73"/>
    <n v="3"/>
    <x v="0"/>
    <x v="2"/>
    <x v="1"/>
    <x v="2"/>
    <n v="3022"/>
    <x v="0"/>
    <n v="10227"/>
    <n v="4"/>
    <s v="Y"/>
    <x v="0"/>
    <n v="21"/>
    <n v="4"/>
    <n v="1"/>
    <n v="80"/>
    <n v="0"/>
    <n v="8"/>
    <n v="1"/>
    <x v="0"/>
    <x v="1"/>
    <x v="0"/>
    <n v="0"/>
  </r>
  <r>
    <s v="RM060"/>
    <n v="37"/>
    <x v="2"/>
    <s v="No"/>
    <n v="0"/>
    <s v="Travel_Rarely"/>
    <n v="1115"/>
    <x v="0"/>
    <x v="4"/>
    <x v="3"/>
    <x v="0"/>
    <n v="1"/>
    <n v="77"/>
    <x v="3"/>
    <x v="0"/>
    <n v="51"/>
    <n v="2"/>
    <x v="1"/>
    <x v="4"/>
    <x v="0"/>
    <x v="1"/>
    <n v="5993"/>
    <x v="1"/>
    <n v="2689"/>
    <n v="1"/>
    <s v="Y"/>
    <x v="0"/>
    <n v="18"/>
    <n v="3"/>
    <n v="3"/>
    <n v="80"/>
    <n v="1"/>
    <n v="7"/>
    <n v="2"/>
    <x v="1"/>
    <x v="7"/>
    <x v="5"/>
    <n v="0"/>
  </r>
  <r>
    <s v="RM079"/>
    <n v="37"/>
    <x v="2"/>
    <s v="No"/>
    <n v="0"/>
    <s v="Travel_Rarely"/>
    <n v="397"/>
    <x v="0"/>
    <x v="17"/>
    <x v="3"/>
    <x v="1"/>
    <n v="1"/>
    <n v="102"/>
    <x v="3"/>
    <x v="0"/>
    <n v="30"/>
    <n v="3"/>
    <x v="2"/>
    <x v="7"/>
    <x v="0"/>
    <x v="0"/>
    <n v="13664"/>
    <x v="2"/>
    <n v="25258"/>
    <n v="4"/>
    <s v="Y"/>
    <x v="0"/>
    <n v="13"/>
    <n v="3"/>
    <n v="1"/>
    <n v="80"/>
    <n v="0"/>
    <n v="16"/>
    <n v="3"/>
    <x v="1"/>
    <x v="5"/>
    <x v="2"/>
    <n v="0"/>
  </r>
  <r>
    <s v="RM101"/>
    <n v="37"/>
    <x v="2"/>
    <s v="Yes"/>
    <n v="1"/>
    <s v="Travel_Rarely"/>
    <n v="807"/>
    <x v="2"/>
    <x v="11"/>
    <x v="3"/>
    <x v="5"/>
    <n v="1"/>
    <n v="133"/>
    <x v="0"/>
    <x v="0"/>
    <n v="63"/>
    <n v="3"/>
    <x v="0"/>
    <x v="3"/>
    <x v="3"/>
    <x v="1"/>
    <n v="2073"/>
    <x v="0"/>
    <n v="23648"/>
    <n v="4"/>
    <s v="Y"/>
    <x v="1"/>
    <n v="22"/>
    <n v="4"/>
    <n v="4"/>
    <n v="80"/>
    <n v="0"/>
    <n v="7"/>
    <n v="3"/>
    <x v="0"/>
    <x v="3"/>
    <x v="2"/>
    <n v="0"/>
  </r>
  <r>
    <s v="RM105"/>
    <n v="37"/>
    <x v="2"/>
    <s v="No"/>
    <n v="0"/>
    <s v="Non-Travel"/>
    <n v="1040"/>
    <x v="0"/>
    <x v="7"/>
    <x v="1"/>
    <x v="0"/>
    <n v="1"/>
    <n v="139"/>
    <x v="0"/>
    <x v="0"/>
    <n v="100"/>
    <n v="2"/>
    <x v="1"/>
    <x v="6"/>
    <x v="2"/>
    <x v="1"/>
    <n v="5163"/>
    <x v="1"/>
    <n v="15850"/>
    <n v="5"/>
    <s v="Y"/>
    <x v="0"/>
    <n v="14"/>
    <n v="3"/>
    <n v="4"/>
    <n v="80"/>
    <n v="1"/>
    <n v="17"/>
    <n v="2"/>
    <x v="1"/>
    <x v="1"/>
    <x v="0"/>
    <n v="0"/>
  </r>
  <r>
    <s v="RM116"/>
    <n v="37"/>
    <x v="2"/>
    <s v="No"/>
    <n v="0"/>
    <s v="Travel_Rarely"/>
    <n v="1189"/>
    <x v="1"/>
    <x v="0"/>
    <x v="0"/>
    <x v="0"/>
    <n v="1"/>
    <n v="152"/>
    <x v="0"/>
    <x v="0"/>
    <n v="87"/>
    <n v="3"/>
    <x v="2"/>
    <x v="5"/>
    <x v="2"/>
    <x v="0"/>
    <n v="7428"/>
    <x v="1"/>
    <n v="14506"/>
    <n v="2"/>
    <s v="Y"/>
    <x v="0"/>
    <n v="12"/>
    <n v="3"/>
    <n v="1"/>
    <n v="80"/>
    <n v="0"/>
    <n v="12"/>
    <n v="3"/>
    <x v="0"/>
    <x v="5"/>
    <x v="3"/>
    <n v="1"/>
  </r>
  <r>
    <s v="RM196"/>
    <n v="37"/>
    <x v="2"/>
    <s v="No"/>
    <n v="0"/>
    <s v="Travel_Rarely"/>
    <n v="290"/>
    <x v="0"/>
    <x v="8"/>
    <x v="0"/>
    <x v="0"/>
    <n v="1"/>
    <n v="267"/>
    <x v="2"/>
    <x v="0"/>
    <n v="65"/>
    <n v="4"/>
    <x v="0"/>
    <x v="2"/>
    <x v="3"/>
    <x v="2"/>
    <n v="3564"/>
    <x v="0"/>
    <n v="22977"/>
    <n v="1"/>
    <s v="Y"/>
    <x v="1"/>
    <n v="12"/>
    <n v="3"/>
    <n v="1"/>
    <n v="80"/>
    <n v="1"/>
    <n v="8"/>
    <n v="3"/>
    <x v="3"/>
    <x v="8"/>
    <x v="6"/>
    <n v="1"/>
  </r>
  <r>
    <s v="RM223"/>
    <n v="37"/>
    <x v="2"/>
    <s v="No"/>
    <n v="0"/>
    <s v="Travel_Frequently"/>
    <n v="663"/>
    <x v="0"/>
    <x v="13"/>
    <x v="0"/>
    <x v="4"/>
    <n v="1"/>
    <n v="306"/>
    <x v="2"/>
    <x v="0"/>
    <n v="47"/>
    <n v="3"/>
    <x v="2"/>
    <x v="7"/>
    <x v="2"/>
    <x v="1"/>
    <n v="12185"/>
    <x v="2"/>
    <n v="10056"/>
    <n v="1"/>
    <s v="Y"/>
    <x v="1"/>
    <n v="14"/>
    <n v="3"/>
    <n v="3"/>
    <n v="80"/>
    <n v="3"/>
    <n v="10"/>
    <n v="1"/>
    <x v="0"/>
    <x v="10"/>
    <x v="7"/>
    <n v="0"/>
  </r>
  <r>
    <s v="RM227"/>
    <n v="37"/>
    <x v="2"/>
    <s v="No"/>
    <n v="0"/>
    <s v="Travel_Frequently"/>
    <n v="319"/>
    <x v="1"/>
    <x v="12"/>
    <x v="3"/>
    <x v="2"/>
    <n v="1"/>
    <n v="311"/>
    <x v="3"/>
    <x v="0"/>
    <n v="41"/>
    <n v="3"/>
    <x v="0"/>
    <x v="1"/>
    <x v="2"/>
    <x v="1"/>
    <n v="2793"/>
    <x v="0"/>
    <n v="2539"/>
    <n v="4"/>
    <s v="Y"/>
    <x v="0"/>
    <n v="17"/>
    <n v="3"/>
    <n v="3"/>
    <n v="80"/>
    <n v="1"/>
    <n v="13"/>
    <n v="2"/>
    <x v="0"/>
    <x v="9"/>
    <x v="7"/>
    <n v="5"/>
  </r>
  <r>
    <s v="RM249"/>
    <n v="37"/>
    <x v="2"/>
    <s v="No"/>
    <n v="0"/>
    <s v="Travel_Rarely"/>
    <n v="1017"/>
    <x v="0"/>
    <x v="4"/>
    <x v="1"/>
    <x v="1"/>
    <n v="1"/>
    <n v="340"/>
    <x v="0"/>
    <x v="1"/>
    <n v="83"/>
    <n v="2"/>
    <x v="0"/>
    <x v="2"/>
    <x v="3"/>
    <x v="2"/>
    <n v="3920"/>
    <x v="0"/>
    <n v="18697"/>
    <n v="2"/>
    <s v="Y"/>
    <x v="0"/>
    <n v="14"/>
    <n v="3"/>
    <n v="1"/>
    <n v="80"/>
    <n v="1"/>
    <n v="17"/>
    <n v="2"/>
    <x v="3"/>
    <x v="3"/>
    <x v="1"/>
    <n v="0"/>
  </r>
  <r>
    <s v="RM251"/>
    <n v="37"/>
    <x v="2"/>
    <s v="Yes"/>
    <n v="1"/>
    <s v="Travel_Frequently"/>
    <n v="504"/>
    <x v="0"/>
    <x v="1"/>
    <x v="0"/>
    <x v="1"/>
    <n v="1"/>
    <n v="342"/>
    <x v="3"/>
    <x v="0"/>
    <n v="61"/>
    <n v="3"/>
    <x v="2"/>
    <x v="4"/>
    <x v="0"/>
    <x v="1"/>
    <n v="10048"/>
    <x v="2"/>
    <n v="22573"/>
    <n v="6"/>
    <s v="Y"/>
    <x v="0"/>
    <n v="11"/>
    <n v="3"/>
    <n v="2"/>
    <n v="80"/>
    <n v="2"/>
    <n v="17"/>
    <n v="5"/>
    <x v="0"/>
    <x v="1"/>
    <x v="0"/>
    <n v="0"/>
  </r>
  <r>
    <s v="RM274"/>
    <n v="37"/>
    <x v="2"/>
    <s v="No"/>
    <n v="0"/>
    <s v="Travel_Rarely"/>
    <n v="228"/>
    <x v="1"/>
    <x v="11"/>
    <x v="3"/>
    <x v="1"/>
    <n v="1"/>
    <n v="378"/>
    <x v="0"/>
    <x v="0"/>
    <n v="98"/>
    <n v="3"/>
    <x v="1"/>
    <x v="5"/>
    <x v="2"/>
    <x v="2"/>
    <n v="6502"/>
    <x v="1"/>
    <n v="22825"/>
    <n v="4"/>
    <s v="Y"/>
    <x v="0"/>
    <n v="14"/>
    <n v="3"/>
    <n v="2"/>
    <n v="80"/>
    <n v="1"/>
    <n v="7"/>
    <n v="5"/>
    <x v="1"/>
    <x v="5"/>
    <x v="4"/>
    <n v="0"/>
  </r>
  <r>
    <s v="RM276"/>
    <n v="37"/>
    <x v="2"/>
    <s v="No"/>
    <n v="0"/>
    <s v="Non-Travel"/>
    <n v="728"/>
    <x v="0"/>
    <x v="4"/>
    <x v="3"/>
    <x v="1"/>
    <n v="1"/>
    <n v="380"/>
    <x v="3"/>
    <x v="1"/>
    <n v="80"/>
    <n v="3"/>
    <x v="2"/>
    <x v="7"/>
    <x v="2"/>
    <x v="1"/>
    <n v="13603"/>
    <x v="2"/>
    <n v="11677"/>
    <n v="2"/>
    <s v="Y"/>
    <x v="1"/>
    <n v="18"/>
    <n v="3"/>
    <n v="1"/>
    <n v="80"/>
    <n v="2"/>
    <n v="15"/>
    <n v="2"/>
    <x v="0"/>
    <x v="5"/>
    <x v="2"/>
    <n v="0"/>
  </r>
  <r>
    <s v="RM286"/>
    <n v="37"/>
    <x v="2"/>
    <s v="No"/>
    <n v="0"/>
    <s v="Travel_Rarely"/>
    <n v="1372"/>
    <x v="0"/>
    <x v="4"/>
    <x v="0"/>
    <x v="0"/>
    <n v="1"/>
    <n v="391"/>
    <x v="1"/>
    <x v="1"/>
    <n v="42"/>
    <n v="3"/>
    <x v="0"/>
    <x v="2"/>
    <x v="2"/>
    <x v="0"/>
    <n v="2115"/>
    <x v="0"/>
    <n v="15881"/>
    <n v="1"/>
    <s v="Y"/>
    <x v="0"/>
    <n v="12"/>
    <n v="3"/>
    <n v="2"/>
    <n v="80"/>
    <n v="0"/>
    <n v="17"/>
    <n v="3"/>
    <x v="0"/>
    <x v="17"/>
    <x v="11"/>
    <n v="5"/>
  </r>
  <r>
    <s v="RM295"/>
    <n v="37"/>
    <x v="2"/>
    <s v="No"/>
    <n v="0"/>
    <s v="Travel_Frequently"/>
    <n v="889"/>
    <x v="0"/>
    <x v="9"/>
    <x v="0"/>
    <x v="1"/>
    <n v="1"/>
    <n v="403"/>
    <x v="2"/>
    <x v="0"/>
    <n v="53"/>
    <n v="3"/>
    <x v="0"/>
    <x v="2"/>
    <x v="2"/>
    <x v="2"/>
    <n v="2326"/>
    <x v="0"/>
    <n v="11411"/>
    <n v="1"/>
    <s v="Y"/>
    <x v="1"/>
    <n v="12"/>
    <n v="3"/>
    <n v="3"/>
    <n v="80"/>
    <n v="3"/>
    <n v="4"/>
    <n v="3"/>
    <x v="3"/>
    <x v="4"/>
    <x v="2"/>
    <n v="1"/>
  </r>
  <r>
    <s v="RM341"/>
    <n v="37"/>
    <x v="2"/>
    <s v="No"/>
    <n v="0"/>
    <s v="Travel_Rarely"/>
    <n v="1192"/>
    <x v="0"/>
    <x v="2"/>
    <x v="1"/>
    <x v="1"/>
    <n v="1"/>
    <n v="460"/>
    <x v="1"/>
    <x v="0"/>
    <n v="61"/>
    <n v="3"/>
    <x v="1"/>
    <x v="4"/>
    <x v="2"/>
    <x v="1"/>
    <n v="6347"/>
    <x v="1"/>
    <n v="23177"/>
    <n v="7"/>
    <s v="Y"/>
    <x v="0"/>
    <n v="16"/>
    <n v="3"/>
    <n v="3"/>
    <n v="80"/>
    <n v="2"/>
    <n v="8"/>
    <n v="2"/>
    <x v="3"/>
    <x v="6"/>
    <x v="2"/>
    <n v="0"/>
  </r>
  <r>
    <s v="RM354"/>
    <n v="37"/>
    <x v="2"/>
    <s v="No"/>
    <n v="0"/>
    <s v="Travel_Rarely"/>
    <n v="1319"/>
    <x v="0"/>
    <x v="11"/>
    <x v="0"/>
    <x v="1"/>
    <n v="1"/>
    <n v="474"/>
    <x v="0"/>
    <x v="0"/>
    <n v="51"/>
    <n v="4"/>
    <x v="1"/>
    <x v="2"/>
    <x v="3"/>
    <x v="1"/>
    <n v="5974"/>
    <x v="1"/>
    <n v="17001"/>
    <n v="4"/>
    <s v="Y"/>
    <x v="1"/>
    <n v="13"/>
    <n v="3"/>
    <n v="1"/>
    <n v="80"/>
    <n v="2"/>
    <n v="13"/>
    <n v="2"/>
    <x v="0"/>
    <x v="7"/>
    <x v="6"/>
    <n v="6"/>
  </r>
  <r>
    <s v="RM365"/>
    <n v="37"/>
    <x v="2"/>
    <s v="No"/>
    <n v="0"/>
    <s v="Travel_Rarely"/>
    <n v="921"/>
    <x v="0"/>
    <x v="1"/>
    <x v="0"/>
    <x v="1"/>
    <n v="1"/>
    <n v="486"/>
    <x v="0"/>
    <x v="1"/>
    <n v="98"/>
    <n v="3"/>
    <x v="0"/>
    <x v="0"/>
    <x v="3"/>
    <x v="2"/>
    <n v="3452"/>
    <x v="0"/>
    <n v="17663"/>
    <n v="6"/>
    <s v="Y"/>
    <x v="0"/>
    <n v="20"/>
    <n v="4"/>
    <n v="2"/>
    <n v="80"/>
    <n v="1"/>
    <n v="17"/>
    <n v="3"/>
    <x v="0"/>
    <x v="5"/>
    <x v="4"/>
    <n v="0"/>
  </r>
  <r>
    <s v="RM387"/>
    <n v="37"/>
    <x v="2"/>
    <s v="No"/>
    <n v="0"/>
    <s v="Travel_Rarely"/>
    <n v="1107"/>
    <x v="0"/>
    <x v="5"/>
    <x v="0"/>
    <x v="0"/>
    <n v="1"/>
    <n v="515"/>
    <x v="1"/>
    <x v="1"/>
    <n v="95"/>
    <n v="3"/>
    <x v="0"/>
    <x v="0"/>
    <x v="3"/>
    <x v="1"/>
    <n v="3034"/>
    <x v="0"/>
    <n v="26914"/>
    <n v="1"/>
    <s v="Y"/>
    <x v="0"/>
    <n v="12"/>
    <n v="3"/>
    <n v="3"/>
    <n v="80"/>
    <n v="1"/>
    <n v="18"/>
    <n v="2"/>
    <x v="3"/>
    <x v="18"/>
    <x v="6"/>
    <n v="12"/>
  </r>
  <r>
    <s v="RM390"/>
    <n v="37"/>
    <x v="2"/>
    <s v="No"/>
    <n v="0"/>
    <s v="Travel_Rarely"/>
    <n v="1305"/>
    <x v="0"/>
    <x v="1"/>
    <x v="3"/>
    <x v="0"/>
    <n v="1"/>
    <n v="518"/>
    <x v="0"/>
    <x v="0"/>
    <n v="49"/>
    <n v="3"/>
    <x v="1"/>
    <x v="4"/>
    <x v="1"/>
    <x v="0"/>
    <n v="4197"/>
    <x v="0"/>
    <n v="21123"/>
    <n v="2"/>
    <s v="Y"/>
    <x v="1"/>
    <n v="12"/>
    <n v="3"/>
    <n v="4"/>
    <n v="80"/>
    <n v="0"/>
    <n v="18"/>
    <n v="2"/>
    <x v="3"/>
    <x v="1"/>
    <x v="0"/>
    <n v="0"/>
  </r>
  <r>
    <s v="RM399"/>
    <n v="37"/>
    <x v="2"/>
    <s v="No"/>
    <n v="0"/>
    <s v="Non-Travel"/>
    <n v="1063"/>
    <x v="0"/>
    <x v="10"/>
    <x v="4"/>
    <x v="1"/>
    <n v="1"/>
    <n v="529"/>
    <x v="2"/>
    <x v="1"/>
    <n v="72"/>
    <n v="3"/>
    <x v="1"/>
    <x v="2"/>
    <x v="0"/>
    <x v="2"/>
    <n v="4449"/>
    <x v="0"/>
    <n v="23866"/>
    <n v="3"/>
    <s v="Y"/>
    <x v="1"/>
    <n v="15"/>
    <n v="3"/>
    <n v="1"/>
    <n v="80"/>
    <n v="2"/>
    <n v="15"/>
    <n v="2"/>
    <x v="0"/>
    <x v="13"/>
    <x v="14"/>
    <n v="10"/>
  </r>
  <r>
    <s v="RM465"/>
    <n v="37"/>
    <x v="2"/>
    <s v="No"/>
    <n v="0"/>
    <s v="Travel_Rarely"/>
    <n v="799"/>
    <x v="0"/>
    <x v="4"/>
    <x v="0"/>
    <x v="3"/>
    <n v="1"/>
    <n v="623"/>
    <x v="2"/>
    <x v="1"/>
    <n v="59"/>
    <n v="3"/>
    <x v="2"/>
    <x v="4"/>
    <x v="2"/>
    <x v="0"/>
    <n v="7491"/>
    <x v="1"/>
    <n v="23848"/>
    <n v="4"/>
    <s v="Y"/>
    <x v="0"/>
    <n v="17"/>
    <n v="3"/>
    <n v="4"/>
    <n v="80"/>
    <n v="0"/>
    <n v="12"/>
    <n v="3"/>
    <x v="1"/>
    <x v="6"/>
    <x v="5"/>
    <n v="1"/>
  </r>
  <r>
    <s v="RM468"/>
    <n v="37"/>
    <x v="2"/>
    <s v="No"/>
    <n v="0"/>
    <s v="Non-Travel"/>
    <n v="142"/>
    <x v="1"/>
    <x v="9"/>
    <x v="3"/>
    <x v="1"/>
    <n v="1"/>
    <n v="626"/>
    <x v="3"/>
    <x v="0"/>
    <n v="69"/>
    <n v="3"/>
    <x v="2"/>
    <x v="5"/>
    <x v="1"/>
    <x v="1"/>
    <n v="8834"/>
    <x v="1"/>
    <n v="24666"/>
    <n v="1"/>
    <s v="Y"/>
    <x v="0"/>
    <n v="13"/>
    <n v="3"/>
    <n v="4"/>
    <n v="80"/>
    <n v="1"/>
    <n v="9"/>
    <n v="6"/>
    <x v="0"/>
    <x v="9"/>
    <x v="5"/>
    <n v="7"/>
  </r>
  <r>
    <s v="RM473"/>
    <n v="37"/>
    <x v="2"/>
    <s v="No"/>
    <n v="0"/>
    <s v="Travel_Rarely"/>
    <n v="446"/>
    <x v="0"/>
    <x v="4"/>
    <x v="3"/>
    <x v="0"/>
    <n v="1"/>
    <n v="635"/>
    <x v="2"/>
    <x v="1"/>
    <n v="65"/>
    <n v="3"/>
    <x v="1"/>
    <x v="4"/>
    <x v="1"/>
    <x v="2"/>
    <n v="6447"/>
    <x v="1"/>
    <n v="15701"/>
    <n v="6"/>
    <s v="Y"/>
    <x v="0"/>
    <n v="12"/>
    <n v="3"/>
    <n v="2"/>
    <n v="80"/>
    <n v="1"/>
    <n v="8"/>
    <n v="2"/>
    <x v="3"/>
    <x v="6"/>
    <x v="5"/>
    <n v="4"/>
  </r>
  <r>
    <s v="RM487"/>
    <n v="37"/>
    <x v="2"/>
    <s v="No"/>
    <n v="0"/>
    <s v="Travel_Rarely"/>
    <n v="558"/>
    <x v="1"/>
    <x v="7"/>
    <x v="0"/>
    <x v="2"/>
    <n v="1"/>
    <n v="656"/>
    <x v="1"/>
    <x v="0"/>
    <n v="75"/>
    <n v="3"/>
    <x v="1"/>
    <x v="5"/>
    <x v="0"/>
    <x v="2"/>
    <n v="9602"/>
    <x v="1"/>
    <n v="3010"/>
    <n v="4"/>
    <s v="Y"/>
    <x v="1"/>
    <n v="11"/>
    <n v="3"/>
    <n v="3"/>
    <n v="80"/>
    <n v="1"/>
    <n v="17"/>
    <n v="3"/>
    <x v="3"/>
    <x v="3"/>
    <x v="0"/>
    <n v="1"/>
  </r>
  <r>
    <s v="RM507"/>
    <n v="37"/>
    <x v="2"/>
    <s v="No"/>
    <n v="0"/>
    <s v="Travel_Rarely"/>
    <n v="482"/>
    <x v="0"/>
    <x v="0"/>
    <x v="0"/>
    <x v="4"/>
    <n v="1"/>
    <n v="689"/>
    <x v="0"/>
    <x v="0"/>
    <n v="36"/>
    <n v="3"/>
    <x v="2"/>
    <x v="4"/>
    <x v="0"/>
    <x v="2"/>
    <n v="9434"/>
    <x v="1"/>
    <n v="9606"/>
    <n v="1"/>
    <s v="Y"/>
    <x v="0"/>
    <n v="15"/>
    <n v="3"/>
    <n v="3"/>
    <n v="80"/>
    <n v="1"/>
    <n v="10"/>
    <n v="2"/>
    <x v="0"/>
    <x v="10"/>
    <x v="6"/>
    <n v="7"/>
  </r>
  <r>
    <s v="RM523"/>
    <n v="37"/>
    <x v="2"/>
    <s v="No"/>
    <n v="0"/>
    <s v="Travel_Rarely"/>
    <n v="1225"/>
    <x v="0"/>
    <x v="1"/>
    <x v="1"/>
    <x v="0"/>
    <n v="1"/>
    <n v="715"/>
    <x v="1"/>
    <x v="0"/>
    <n v="80"/>
    <n v="4"/>
    <x v="0"/>
    <x v="2"/>
    <x v="2"/>
    <x v="0"/>
    <n v="4680"/>
    <x v="0"/>
    <n v="15232"/>
    <n v="3"/>
    <s v="Y"/>
    <x v="0"/>
    <n v="17"/>
    <n v="3"/>
    <n v="1"/>
    <n v="80"/>
    <n v="0"/>
    <n v="4"/>
    <n v="2"/>
    <x v="0"/>
    <x v="1"/>
    <x v="0"/>
    <n v="0"/>
  </r>
  <r>
    <s v="RM578"/>
    <n v="37"/>
    <x v="2"/>
    <s v="No"/>
    <n v="0"/>
    <s v="Travel_Rarely"/>
    <n v="571"/>
    <x v="0"/>
    <x v="1"/>
    <x v="2"/>
    <x v="0"/>
    <n v="1"/>
    <n v="802"/>
    <x v="1"/>
    <x v="1"/>
    <n v="82"/>
    <n v="3"/>
    <x v="0"/>
    <x v="2"/>
    <x v="3"/>
    <x v="1"/>
    <n v="2782"/>
    <x v="0"/>
    <n v="19905"/>
    <n v="0"/>
    <s v="Y"/>
    <x v="1"/>
    <n v="13"/>
    <n v="3"/>
    <n v="2"/>
    <n v="80"/>
    <n v="2"/>
    <n v="6"/>
    <n v="3"/>
    <x v="3"/>
    <x v="5"/>
    <x v="3"/>
    <n v="4"/>
  </r>
  <r>
    <s v="RM629"/>
    <n v="37"/>
    <x v="2"/>
    <s v="No"/>
    <n v="0"/>
    <s v="Travel_Rarely"/>
    <n v="342"/>
    <x v="1"/>
    <x v="18"/>
    <x v="3"/>
    <x v="2"/>
    <n v="1"/>
    <n v="868"/>
    <x v="1"/>
    <x v="0"/>
    <n v="66"/>
    <n v="2"/>
    <x v="1"/>
    <x v="5"/>
    <x v="0"/>
    <x v="1"/>
    <n v="6334"/>
    <x v="1"/>
    <n v="24558"/>
    <n v="4"/>
    <s v="Y"/>
    <x v="0"/>
    <n v="19"/>
    <n v="3"/>
    <n v="4"/>
    <n v="80"/>
    <n v="2"/>
    <n v="9"/>
    <n v="2"/>
    <x v="0"/>
    <x v="1"/>
    <x v="0"/>
    <n v="0"/>
  </r>
  <r>
    <s v="RM649"/>
    <n v="37"/>
    <x v="2"/>
    <s v="No"/>
    <n v="0"/>
    <s v="Travel_Frequently"/>
    <n v="1231"/>
    <x v="1"/>
    <x v="8"/>
    <x v="1"/>
    <x v="1"/>
    <n v="1"/>
    <n v="900"/>
    <x v="0"/>
    <x v="1"/>
    <n v="54"/>
    <n v="3"/>
    <x v="0"/>
    <x v="1"/>
    <x v="2"/>
    <x v="2"/>
    <n v="2973"/>
    <x v="0"/>
    <n v="21222"/>
    <n v="5"/>
    <s v="Y"/>
    <x v="0"/>
    <n v="15"/>
    <n v="3"/>
    <n v="2"/>
    <n v="80"/>
    <n v="1"/>
    <n v="10"/>
    <n v="3"/>
    <x v="0"/>
    <x v="5"/>
    <x v="4"/>
    <n v="0"/>
  </r>
  <r>
    <s v="RM653"/>
    <n v="37"/>
    <x v="2"/>
    <s v="No"/>
    <n v="0"/>
    <s v="Non-Travel"/>
    <n v="1252"/>
    <x v="1"/>
    <x v="19"/>
    <x v="1"/>
    <x v="1"/>
    <n v="1"/>
    <n v="904"/>
    <x v="3"/>
    <x v="0"/>
    <n v="32"/>
    <n v="3"/>
    <x v="2"/>
    <x v="5"/>
    <x v="1"/>
    <x v="0"/>
    <n v="7642"/>
    <x v="1"/>
    <n v="4814"/>
    <n v="1"/>
    <s v="Y"/>
    <x v="1"/>
    <n v="13"/>
    <n v="3"/>
    <n v="4"/>
    <n v="80"/>
    <n v="0"/>
    <n v="10"/>
    <n v="2"/>
    <x v="0"/>
    <x v="10"/>
    <x v="0"/>
    <n v="0"/>
  </r>
  <r>
    <s v="RM696"/>
    <n v="37"/>
    <x v="2"/>
    <s v="Yes"/>
    <n v="1"/>
    <s v="Travel_Rarely"/>
    <n v="625"/>
    <x v="1"/>
    <x v="4"/>
    <x v="3"/>
    <x v="0"/>
    <n v="1"/>
    <n v="970"/>
    <x v="3"/>
    <x v="0"/>
    <n v="46"/>
    <n v="2"/>
    <x v="2"/>
    <x v="5"/>
    <x v="0"/>
    <x v="2"/>
    <n v="10609"/>
    <x v="2"/>
    <n v="14922"/>
    <n v="5"/>
    <s v="Y"/>
    <x v="0"/>
    <n v="11"/>
    <n v="3"/>
    <n v="3"/>
    <n v="80"/>
    <n v="0"/>
    <n v="17"/>
    <n v="2"/>
    <x v="2"/>
    <x v="14"/>
    <x v="1"/>
    <n v="11"/>
  </r>
  <r>
    <s v="RM745"/>
    <n v="37"/>
    <x v="2"/>
    <s v="Yes"/>
    <n v="1"/>
    <s v="Travel_Rarely"/>
    <n v="1141"/>
    <x v="0"/>
    <x v="13"/>
    <x v="1"/>
    <x v="1"/>
    <n v="1"/>
    <n v="1033"/>
    <x v="3"/>
    <x v="1"/>
    <n v="61"/>
    <n v="1"/>
    <x v="1"/>
    <x v="6"/>
    <x v="1"/>
    <x v="2"/>
    <n v="4777"/>
    <x v="0"/>
    <n v="14382"/>
    <n v="5"/>
    <s v="Y"/>
    <x v="0"/>
    <n v="15"/>
    <n v="3"/>
    <n v="1"/>
    <n v="80"/>
    <n v="0"/>
    <n v="15"/>
    <n v="2"/>
    <x v="2"/>
    <x v="1"/>
    <x v="0"/>
    <n v="0"/>
  </r>
  <r>
    <s v="RM768"/>
    <n v="37"/>
    <x v="2"/>
    <s v="No"/>
    <n v="0"/>
    <s v="Travel_Rarely"/>
    <n v="124"/>
    <x v="0"/>
    <x v="0"/>
    <x v="0"/>
    <x v="4"/>
    <n v="1"/>
    <n v="1062"/>
    <x v="1"/>
    <x v="1"/>
    <n v="35"/>
    <n v="3"/>
    <x v="1"/>
    <x v="6"/>
    <x v="1"/>
    <x v="0"/>
    <n v="4107"/>
    <x v="0"/>
    <n v="13848"/>
    <n v="3"/>
    <s v="Y"/>
    <x v="0"/>
    <n v="15"/>
    <n v="3"/>
    <n v="1"/>
    <n v="80"/>
    <n v="0"/>
    <n v="8"/>
    <n v="3"/>
    <x v="3"/>
    <x v="4"/>
    <x v="3"/>
    <n v="0"/>
  </r>
  <r>
    <s v="RM796"/>
    <n v="37"/>
    <x v="2"/>
    <s v="No"/>
    <n v="0"/>
    <s v="Travel_Rarely"/>
    <n v="309"/>
    <x v="1"/>
    <x v="1"/>
    <x v="3"/>
    <x v="0"/>
    <n v="1"/>
    <n v="1105"/>
    <x v="1"/>
    <x v="1"/>
    <n v="88"/>
    <n v="2"/>
    <x v="1"/>
    <x v="5"/>
    <x v="2"/>
    <x v="1"/>
    <n v="6694"/>
    <x v="1"/>
    <n v="24223"/>
    <n v="2"/>
    <s v="Y"/>
    <x v="1"/>
    <n v="14"/>
    <n v="3"/>
    <n v="3"/>
    <n v="80"/>
    <n v="3"/>
    <n v="8"/>
    <n v="5"/>
    <x v="0"/>
    <x v="1"/>
    <x v="0"/>
    <n v="0"/>
  </r>
  <r>
    <s v="RM833"/>
    <n v="37"/>
    <x v="2"/>
    <s v="No"/>
    <n v="0"/>
    <s v="Travel_Rarely"/>
    <n v="367"/>
    <x v="0"/>
    <x v="10"/>
    <x v="1"/>
    <x v="1"/>
    <n v="1"/>
    <n v="1161"/>
    <x v="0"/>
    <x v="1"/>
    <n v="52"/>
    <n v="2"/>
    <x v="1"/>
    <x v="6"/>
    <x v="2"/>
    <x v="1"/>
    <n v="5731"/>
    <x v="1"/>
    <n v="17171"/>
    <n v="7"/>
    <s v="Y"/>
    <x v="0"/>
    <n v="13"/>
    <n v="3"/>
    <n v="3"/>
    <n v="80"/>
    <n v="2"/>
    <n v="9"/>
    <n v="2"/>
    <x v="0"/>
    <x v="6"/>
    <x v="2"/>
    <n v="1"/>
  </r>
  <r>
    <s v="RM856"/>
    <n v="37"/>
    <x v="2"/>
    <s v="No"/>
    <n v="0"/>
    <s v="Travel_Rarely"/>
    <n v="977"/>
    <x v="0"/>
    <x v="4"/>
    <x v="0"/>
    <x v="0"/>
    <n v="1"/>
    <n v="1196"/>
    <x v="1"/>
    <x v="1"/>
    <n v="56"/>
    <n v="2"/>
    <x v="1"/>
    <x v="4"/>
    <x v="2"/>
    <x v="2"/>
    <n v="6474"/>
    <x v="1"/>
    <n v="9961"/>
    <n v="1"/>
    <s v="Y"/>
    <x v="0"/>
    <n v="13"/>
    <n v="3"/>
    <n v="2"/>
    <n v="80"/>
    <n v="1"/>
    <n v="14"/>
    <n v="2"/>
    <x v="3"/>
    <x v="14"/>
    <x v="7"/>
    <n v="3"/>
  </r>
  <r>
    <s v="RM990"/>
    <n v="37"/>
    <x v="2"/>
    <s v="No"/>
    <n v="0"/>
    <s v="Travel_Rarely"/>
    <n v="1439"/>
    <x v="0"/>
    <x v="12"/>
    <x v="2"/>
    <x v="0"/>
    <n v="1"/>
    <n v="1394"/>
    <x v="0"/>
    <x v="0"/>
    <n v="54"/>
    <n v="3"/>
    <x v="0"/>
    <x v="2"/>
    <x v="0"/>
    <x v="2"/>
    <n v="2996"/>
    <x v="0"/>
    <n v="5182"/>
    <n v="7"/>
    <s v="Y"/>
    <x v="1"/>
    <n v="15"/>
    <n v="3"/>
    <n v="4"/>
    <n v="80"/>
    <n v="0"/>
    <n v="8"/>
    <n v="2"/>
    <x v="0"/>
    <x v="6"/>
    <x v="4"/>
    <n v="1"/>
  </r>
  <r>
    <s v="RM1002"/>
    <n v="37"/>
    <x v="2"/>
    <s v="No"/>
    <n v="0"/>
    <s v="Travel_Rarely"/>
    <n v="1462"/>
    <x v="0"/>
    <x v="13"/>
    <x v="0"/>
    <x v="1"/>
    <n v="1"/>
    <n v="1411"/>
    <x v="3"/>
    <x v="1"/>
    <n v="94"/>
    <n v="3"/>
    <x v="0"/>
    <x v="0"/>
    <x v="0"/>
    <x v="0"/>
    <n v="3629"/>
    <x v="0"/>
    <n v="19106"/>
    <n v="4"/>
    <s v="Y"/>
    <x v="0"/>
    <n v="18"/>
    <n v="3"/>
    <n v="1"/>
    <n v="80"/>
    <n v="0"/>
    <n v="8"/>
    <n v="6"/>
    <x v="0"/>
    <x v="3"/>
    <x v="2"/>
    <n v="0"/>
  </r>
  <r>
    <s v="RM1023"/>
    <n v="37"/>
    <x v="2"/>
    <s v="No"/>
    <n v="0"/>
    <s v="Non-Travel"/>
    <n v="1413"/>
    <x v="0"/>
    <x v="2"/>
    <x v="1"/>
    <x v="3"/>
    <n v="1"/>
    <n v="1440"/>
    <x v="0"/>
    <x v="0"/>
    <n v="84"/>
    <n v="4"/>
    <x v="0"/>
    <x v="0"/>
    <x v="0"/>
    <x v="0"/>
    <n v="3500"/>
    <x v="0"/>
    <n v="25470"/>
    <n v="0"/>
    <s v="Y"/>
    <x v="0"/>
    <n v="14"/>
    <n v="3"/>
    <n v="1"/>
    <n v="80"/>
    <n v="0"/>
    <n v="7"/>
    <n v="2"/>
    <x v="2"/>
    <x v="6"/>
    <x v="5"/>
    <n v="1"/>
  </r>
  <r>
    <s v="RM1090"/>
    <n v="37"/>
    <x v="2"/>
    <s v="No"/>
    <n v="0"/>
    <s v="Travel_Rarely"/>
    <n v="674"/>
    <x v="0"/>
    <x v="25"/>
    <x v="0"/>
    <x v="1"/>
    <n v="1"/>
    <n v="1543"/>
    <x v="3"/>
    <x v="0"/>
    <n v="47"/>
    <n v="3"/>
    <x v="1"/>
    <x v="2"/>
    <x v="2"/>
    <x v="2"/>
    <n v="4285"/>
    <x v="0"/>
    <n v="3031"/>
    <n v="1"/>
    <s v="Y"/>
    <x v="0"/>
    <n v="17"/>
    <n v="3"/>
    <n v="1"/>
    <n v="80"/>
    <n v="0"/>
    <n v="10"/>
    <n v="2"/>
    <x v="0"/>
    <x v="10"/>
    <x v="7"/>
    <n v="3"/>
  </r>
  <r>
    <s v="RM1159"/>
    <n v="37"/>
    <x v="2"/>
    <s v="No"/>
    <n v="0"/>
    <s v="Travel_Rarely"/>
    <n v="671"/>
    <x v="0"/>
    <x v="19"/>
    <x v="0"/>
    <x v="0"/>
    <n v="1"/>
    <n v="1631"/>
    <x v="0"/>
    <x v="0"/>
    <n v="85"/>
    <n v="3"/>
    <x v="1"/>
    <x v="4"/>
    <x v="0"/>
    <x v="2"/>
    <n v="5768"/>
    <x v="1"/>
    <n v="26493"/>
    <n v="3"/>
    <s v="Y"/>
    <x v="0"/>
    <n v="17"/>
    <n v="3"/>
    <n v="1"/>
    <n v="80"/>
    <n v="3"/>
    <n v="9"/>
    <n v="2"/>
    <x v="3"/>
    <x v="4"/>
    <x v="3"/>
    <n v="0"/>
  </r>
  <r>
    <s v="RM1164"/>
    <n v="37"/>
    <x v="2"/>
    <s v="No"/>
    <n v="0"/>
    <s v="Travel_Rarely"/>
    <n v="1470"/>
    <x v="0"/>
    <x v="1"/>
    <x v="0"/>
    <x v="1"/>
    <n v="1"/>
    <n v="1640"/>
    <x v="2"/>
    <x v="1"/>
    <n v="71"/>
    <n v="3"/>
    <x v="0"/>
    <x v="2"/>
    <x v="1"/>
    <x v="2"/>
    <n v="3936"/>
    <x v="0"/>
    <n v="9953"/>
    <n v="1"/>
    <s v="Y"/>
    <x v="0"/>
    <n v="11"/>
    <n v="3"/>
    <n v="1"/>
    <n v="80"/>
    <n v="1"/>
    <n v="8"/>
    <n v="2"/>
    <x v="2"/>
    <x v="8"/>
    <x v="4"/>
    <n v="7"/>
  </r>
  <r>
    <s v="RM1212"/>
    <n v="37"/>
    <x v="2"/>
    <s v="No"/>
    <n v="0"/>
    <s v="Travel_Frequently"/>
    <n v="1278"/>
    <x v="1"/>
    <x v="4"/>
    <x v="3"/>
    <x v="1"/>
    <n v="1"/>
    <n v="1700"/>
    <x v="0"/>
    <x v="0"/>
    <n v="31"/>
    <n v="1"/>
    <x v="1"/>
    <x v="5"/>
    <x v="2"/>
    <x v="1"/>
    <n v="9525"/>
    <x v="1"/>
    <n v="7677"/>
    <n v="1"/>
    <s v="Y"/>
    <x v="0"/>
    <n v="14"/>
    <n v="3"/>
    <n v="3"/>
    <n v="80"/>
    <n v="2"/>
    <n v="6"/>
    <n v="2"/>
    <x v="3"/>
    <x v="6"/>
    <x v="3"/>
    <n v="1"/>
  </r>
  <r>
    <s v="RM1277"/>
    <n v="37"/>
    <x v="2"/>
    <s v="No"/>
    <n v="0"/>
    <s v="Travel_Rarely"/>
    <n v="589"/>
    <x v="1"/>
    <x v="9"/>
    <x v="1"/>
    <x v="2"/>
    <n v="1"/>
    <n v="1787"/>
    <x v="2"/>
    <x v="0"/>
    <n v="46"/>
    <n v="2"/>
    <x v="1"/>
    <x v="5"/>
    <x v="1"/>
    <x v="2"/>
    <n v="4189"/>
    <x v="0"/>
    <n v="8800"/>
    <n v="1"/>
    <s v="Y"/>
    <x v="0"/>
    <n v="14"/>
    <n v="3"/>
    <n v="1"/>
    <n v="80"/>
    <n v="2"/>
    <n v="5"/>
    <n v="2"/>
    <x v="0"/>
    <x v="5"/>
    <x v="2"/>
    <n v="0"/>
  </r>
  <r>
    <s v="RM1281"/>
    <n v="37"/>
    <x v="2"/>
    <s v="No"/>
    <n v="0"/>
    <s v="Travel_Rarely"/>
    <n v="1239"/>
    <x v="2"/>
    <x v="3"/>
    <x v="1"/>
    <x v="4"/>
    <n v="1"/>
    <n v="1794"/>
    <x v="0"/>
    <x v="0"/>
    <n v="89"/>
    <n v="3"/>
    <x v="1"/>
    <x v="3"/>
    <x v="1"/>
    <x v="1"/>
    <n v="4071"/>
    <x v="0"/>
    <n v="12832"/>
    <n v="2"/>
    <s v="Y"/>
    <x v="0"/>
    <n v="13"/>
    <n v="3"/>
    <n v="3"/>
    <n v="80"/>
    <n v="0"/>
    <n v="19"/>
    <n v="4"/>
    <x v="3"/>
    <x v="10"/>
    <x v="0"/>
    <n v="4"/>
  </r>
  <r>
    <s v="RM1292"/>
    <n v="37"/>
    <x v="2"/>
    <s v="Yes"/>
    <n v="1"/>
    <s v="Travel_Rarely"/>
    <n v="370"/>
    <x v="0"/>
    <x v="1"/>
    <x v="3"/>
    <x v="1"/>
    <n v="1"/>
    <n v="1809"/>
    <x v="1"/>
    <x v="0"/>
    <n v="58"/>
    <n v="3"/>
    <x v="1"/>
    <x v="4"/>
    <x v="3"/>
    <x v="0"/>
    <n v="4213"/>
    <x v="0"/>
    <n v="4992"/>
    <n v="1"/>
    <s v="Y"/>
    <x v="0"/>
    <n v="15"/>
    <n v="3"/>
    <n v="2"/>
    <n v="80"/>
    <n v="0"/>
    <n v="10"/>
    <n v="4"/>
    <x v="2"/>
    <x v="10"/>
    <x v="3"/>
    <n v="0"/>
  </r>
  <r>
    <s v="RM1345"/>
    <n v="37"/>
    <x v="2"/>
    <s v="No"/>
    <n v="0"/>
    <s v="Travel_Rarely"/>
    <n v="783"/>
    <x v="0"/>
    <x v="17"/>
    <x v="3"/>
    <x v="1"/>
    <n v="1"/>
    <n v="1885"/>
    <x v="1"/>
    <x v="0"/>
    <n v="78"/>
    <n v="3"/>
    <x v="1"/>
    <x v="2"/>
    <x v="3"/>
    <x v="2"/>
    <n v="4284"/>
    <x v="0"/>
    <n v="13588"/>
    <n v="5"/>
    <s v="Y"/>
    <x v="1"/>
    <n v="22"/>
    <n v="4"/>
    <n v="3"/>
    <n v="80"/>
    <n v="1"/>
    <n v="16"/>
    <n v="2"/>
    <x v="0"/>
    <x v="5"/>
    <x v="3"/>
    <n v="0"/>
  </r>
  <r>
    <s v="RM1433"/>
    <n v="37"/>
    <x v="2"/>
    <s v="No"/>
    <n v="0"/>
    <s v="Travel_Rarely"/>
    <n v="161"/>
    <x v="0"/>
    <x v="1"/>
    <x v="0"/>
    <x v="0"/>
    <n v="1"/>
    <n v="2017"/>
    <x v="0"/>
    <x v="1"/>
    <n v="42"/>
    <n v="4"/>
    <x v="2"/>
    <x v="7"/>
    <x v="2"/>
    <x v="2"/>
    <n v="13744"/>
    <x v="2"/>
    <n v="15471"/>
    <n v="1"/>
    <s v="Y"/>
    <x v="1"/>
    <n v="25"/>
    <n v="4"/>
    <n v="1"/>
    <n v="80"/>
    <n v="1"/>
    <n v="16"/>
    <n v="2"/>
    <x v="0"/>
    <x v="16"/>
    <x v="14"/>
    <n v="6"/>
  </r>
  <r>
    <s v="RM009"/>
    <n v="38"/>
    <x v="2"/>
    <s v="No"/>
    <n v="0"/>
    <s v="Travel_Frequently"/>
    <n v="216"/>
    <x v="0"/>
    <x v="23"/>
    <x v="0"/>
    <x v="0"/>
    <n v="1"/>
    <n v="12"/>
    <x v="1"/>
    <x v="0"/>
    <n v="44"/>
    <n v="2"/>
    <x v="2"/>
    <x v="4"/>
    <x v="0"/>
    <x v="0"/>
    <n v="9526"/>
    <x v="1"/>
    <n v="8787"/>
    <n v="0"/>
    <s v="Y"/>
    <x v="0"/>
    <n v="21"/>
    <n v="4"/>
    <n v="2"/>
    <n v="80"/>
    <n v="0"/>
    <n v="10"/>
    <n v="2"/>
    <x v="0"/>
    <x v="9"/>
    <x v="6"/>
    <n v="1"/>
  </r>
  <r>
    <s v="RM020"/>
    <n v="38"/>
    <x v="2"/>
    <s v="No"/>
    <n v="0"/>
    <s v="Travel_Rarely"/>
    <n v="371"/>
    <x v="0"/>
    <x v="7"/>
    <x v="0"/>
    <x v="0"/>
    <n v="1"/>
    <n v="24"/>
    <x v="1"/>
    <x v="0"/>
    <n v="45"/>
    <n v="3"/>
    <x v="0"/>
    <x v="2"/>
    <x v="2"/>
    <x v="0"/>
    <n v="3944"/>
    <x v="0"/>
    <n v="4306"/>
    <n v="5"/>
    <s v="Y"/>
    <x v="1"/>
    <n v="11"/>
    <n v="3"/>
    <n v="3"/>
    <n v="80"/>
    <n v="0"/>
    <n v="6"/>
    <n v="3"/>
    <x v="0"/>
    <x v="3"/>
    <x v="2"/>
    <n v="1"/>
  </r>
  <r>
    <s v="RM062"/>
    <n v="38"/>
    <x v="2"/>
    <s v="No"/>
    <n v="0"/>
    <s v="Travel_Frequently"/>
    <n v="653"/>
    <x v="0"/>
    <x v="26"/>
    <x v="4"/>
    <x v="0"/>
    <n v="1"/>
    <n v="79"/>
    <x v="1"/>
    <x v="1"/>
    <n v="50"/>
    <n v="3"/>
    <x v="1"/>
    <x v="0"/>
    <x v="2"/>
    <x v="0"/>
    <n v="2406"/>
    <x v="0"/>
    <n v="5456"/>
    <n v="1"/>
    <s v="Y"/>
    <x v="0"/>
    <n v="11"/>
    <n v="3"/>
    <n v="4"/>
    <n v="80"/>
    <n v="0"/>
    <n v="10"/>
    <n v="2"/>
    <x v="0"/>
    <x v="10"/>
    <x v="3"/>
    <n v="9"/>
  </r>
  <r>
    <s v="RM084"/>
    <n v="38"/>
    <x v="2"/>
    <s v="No"/>
    <n v="0"/>
    <s v="Non-Travel"/>
    <n v="573"/>
    <x v="0"/>
    <x v="11"/>
    <x v="0"/>
    <x v="1"/>
    <n v="1"/>
    <n v="107"/>
    <x v="2"/>
    <x v="1"/>
    <n v="79"/>
    <n v="1"/>
    <x v="1"/>
    <x v="2"/>
    <x v="2"/>
    <x v="1"/>
    <n v="5329"/>
    <x v="1"/>
    <n v="15717"/>
    <n v="7"/>
    <s v="Y"/>
    <x v="1"/>
    <n v="12"/>
    <n v="3"/>
    <n v="4"/>
    <n v="80"/>
    <n v="3"/>
    <n v="17"/>
    <n v="3"/>
    <x v="0"/>
    <x v="13"/>
    <x v="14"/>
    <n v="1"/>
  </r>
  <r>
    <s v="RM143"/>
    <n v="38"/>
    <x v="2"/>
    <s v="No"/>
    <n v="0"/>
    <s v="Travel_Rarely"/>
    <n v="364"/>
    <x v="0"/>
    <x v="0"/>
    <x v="4"/>
    <x v="3"/>
    <n v="1"/>
    <n v="193"/>
    <x v="1"/>
    <x v="1"/>
    <n v="32"/>
    <n v="3"/>
    <x v="1"/>
    <x v="2"/>
    <x v="0"/>
    <x v="0"/>
    <n v="4317"/>
    <x v="0"/>
    <n v="2302"/>
    <n v="3"/>
    <s v="Y"/>
    <x v="1"/>
    <n v="20"/>
    <n v="4"/>
    <n v="2"/>
    <n v="80"/>
    <n v="0"/>
    <n v="19"/>
    <n v="2"/>
    <x v="0"/>
    <x v="3"/>
    <x v="2"/>
    <n v="2"/>
  </r>
  <r>
    <s v="RM169"/>
    <n v="38"/>
    <x v="2"/>
    <s v="No"/>
    <n v="0"/>
    <s v="Travel_Rarely"/>
    <n v="702"/>
    <x v="1"/>
    <x v="4"/>
    <x v="3"/>
    <x v="0"/>
    <n v="1"/>
    <n v="230"/>
    <x v="3"/>
    <x v="1"/>
    <n v="59"/>
    <n v="2"/>
    <x v="1"/>
    <x v="5"/>
    <x v="2"/>
    <x v="0"/>
    <n v="8686"/>
    <x v="1"/>
    <n v="12930"/>
    <n v="4"/>
    <s v="Y"/>
    <x v="0"/>
    <n v="22"/>
    <n v="4"/>
    <n v="3"/>
    <n v="80"/>
    <n v="0"/>
    <n v="12"/>
    <n v="2"/>
    <x v="1"/>
    <x v="8"/>
    <x v="3"/>
    <n v="0"/>
  </r>
  <r>
    <s v="RM180"/>
    <n v="38"/>
    <x v="2"/>
    <s v="No"/>
    <n v="0"/>
    <s v="Travel_Rarely"/>
    <n v="1380"/>
    <x v="0"/>
    <x v="9"/>
    <x v="1"/>
    <x v="0"/>
    <n v="1"/>
    <n v="245"/>
    <x v="0"/>
    <x v="1"/>
    <n v="75"/>
    <n v="3"/>
    <x v="0"/>
    <x v="0"/>
    <x v="2"/>
    <x v="0"/>
    <n v="2288"/>
    <x v="0"/>
    <n v="6319"/>
    <n v="1"/>
    <s v="Y"/>
    <x v="0"/>
    <n v="12"/>
    <n v="3"/>
    <n v="3"/>
    <n v="80"/>
    <n v="0"/>
    <n v="2"/>
    <n v="3"/>
    <x v="0"/>
    <x v="2"/>
    <x v="2"/>
    <n v="2"/>
  </r>
  <r>
    <s v="RM199"/>
    <n v="38"/>
    <x v="2"/>
    <s v="No"/>
    <n v="0"/>
    <s v="Travel_Rarely"/>
    <n v="1261"/>
    <x v="0"/>
    <x v="7"/>
    <x v="3"/>
    <x v="0"/>
    <n v="1"/>
    <n v="271"/>
    <x v="1"/>
    <x v="0"/>
    <n v="88"/>
    <n v="3"/>
    <x v="1"/>
    <x v="4"/>
    <x v="0"/>
    <x v="2"/>
    <n v="6553"/>
    <x v="1"/>
    <n v="7259"/>
    <n v="9"/>
    <s v="Y"/>
    <x v="0"/>
    <n v="14"/>
    <n v="3"/>
    <n v="2"/>
    <n v="80"/>
    <n v="0"/>
    <n v="14"/>
    <n v="3"/>
    <x v="0"/>
    <x v="1"/>
    <x v="0"/>
    <n v="0"/>
  </r>
  <r>
    <s v="RM200"/>
    <n v="38"/>
    <x v="2"/>
    <s v="No"/>
    <n v="0"/>
    <s v="Travel_Rarely"/>
    <n v="1084"/>
    <x v="0"/>
    <x v="26"/>
    <x v="0"/>
    <x v="3"/>
    <n v="1"/>
    <n v="273"/>
    <x v="1"/>
    <x v="0"/>
    <n v="54"/>
    <n v="3"/>
    <x v="1"/>
    <x v="4"/>
    <x v="2"/>
    <x v="2"/>
    <n v="6261"/>
    <x v="1"/>
    <n v="4185"/>
    <n v="3"/>
    <s v="Y"/>
    <x v="0"/>
    <n v="18"/>
    <n v="3"/>
    <n v="1"/>
    <n v="80"/>
    <n v="1"/>
    <n v="9"/>
    <n v="3"/>
    <x v="2"/>
    <x v="7"/>
    <x v="6"/>
    <n v="1"/>
  </r>
  <r>
    <s v="RM205"/>
    <n v="38"/>
    <x v="2"/>
    <s v="Yes"/>
    <n v="1"/>
    <s v="Travel_Rarely"/>
    <n v="1180"/>
    <x v="0"/>
    <x v="26"/>
    <x v="2"/>
    <x v="1"/>
    <n v="1"/>
    <n v="282"/>
    <x v="2"/>
    <x v="0"/>
    <n v="70"/>
    <n v="3"/>
    <x v="1"/>
    <x v="6"/>
    <x v="3"/>
    <x v="2"/>
    <n v="6673"/>
    <x v="1"/>
    <n v="11354"/>
    <n v="7"/>
    <s v="Y"/>
    <x v="1"/>
    <n v="19"/>
    <n v="3"/>
    <n v="2"/>
    <n v="80"/>
    <n v="0"/>
    <n v="17"/>
    <n v="2"/>
    <x v="0"/>
    <x v="1"/>
    <x v="0"/>
    <n v="0"/>
  </r>
  <r>
    <s v="RM224"/>
    <n v="38"/>
    <x v="2"/>
    <s v="No"/>
    <n v="0"/>
    <s v="Travel_Rarely"/>
    <n v="119"/>
    <x v="1"/>
    <x v="0"/>
    <x v="0"/>
    <x v="0"/>
    <n v="1"/>
    <n v="307"/>
    <x v="3"/>
    <x v="0"/>
    <n v="76"/>
    <n v="3"/>
    <x v="2"/>
    <x v="5"/>
    <x v="0"/>
    <x v="1"/>
    <n v="10609"/>
    <x v="2"/>
    <n v="9647"/>
    <n v="0"/>
    <s v="Y"/>
    <x v="0"/>
    <n v="12"/>
    <n v="3"/>
    <n v="3"/>
    <n v="80"/>
    <n v="2"/>
    <n v="17"/>
    <n v="6"/>
    <x v="3"/>
    <x v="16"/>
    <x v="10"/>
    <n v="5"/>
  </r>
  <r>
    <s v="RM262"/>
    <n v="38"/>
    <x v="2"/>
    <s v="No"/>
    <n v="0"/>
    <s v="Non-Travel"/>
    <n v="1327"/>
    <x v="1"/>
    <x v="7"/>
    <x v="1"/>
    <x v="0"/>
    <n v="1"/>
    <n v="361"/>
    <x v="1"/>
    <x v="0"/>
    <n v="39"/>
    <n v="2"/>
    <x v="1"/>
    <x v="5"/>
    <x v="2"/>
    <x v="2"/>
    <n v="5249"/>
    <x v="1"/>
    <n v="19682"/>
    <n v="3"/>
    <s v="Y"/>
    <x v="0"/>
    <n v="18"/>
    <n v="3"/>
    <n v="4"/>
    <n v="80"/>
    <n v="1"/>
    <n v="13"/>
    <n v="0"/>
    <x v="0"/>
    <x v="8"/>
    <x v="6"/>
    <n v="7"/>
  </r>
  <r>
    <s v="RM278"/>
    <n v="38"/>
    <x v="2"/>
    <s v="No"/>
    <n v="0"/>
    <s v="Travel_Rarely"/>
    <n v="322"/>
    <x v="1"/>
    <x v="17"/>
    <x v="1"/>
    <x v="1"/>
    <n v="1"/>
    <n v="382"/>
    <x v="3"/>
    <x v="1"/>
    <n v="44"/>
    <n v="4"/>
    <x v="1"/>
    <x v="5"/>
    <x v="3"/>
    <x v="1"/>
    <n v="5605"/>
    <x v="1"/>
    <n v="19191"/>
    <n v="1"/>
    <s v="Y"/>
    <x v="1"/>
    <n v="24"/>
    <n v="4"/>
    <n v="3"/>
    <n v="80"/>
    <n v="1"/>
    <n v="8"/>
    <n v="3"/>
    <x v="0"/>
    <x v="8"/>
    <x v="0"/>
    <n v="7"/>
  </r>
  <r>
    <s v="RM288"/>
    <n v="38"/>
    <x v="2"/>
    <s v="No"/>
    <n v="0"/>
    <s v="Travel_Rarely"/>
    <n v="688"/>
    <x v="0"/>
    <x v="23"/>
    <x v="3"/>
    <x v="0"/>
    <n v="1"/>
    <n v="393"/>
    <x v="1"/>
    <x v="0"/>
    <n v="82"/>
    <n v="3"/>
    <x v="1"/>
    <x v="6"/>
    <x v="2"/>
    <x v="1"/>
    <n v="5745"/>
    <x v="1"/>
    <n v="18899"/>
    <n v="9"/>
    <s v="Y"/>
    <x v="0"/>
    <n v="14"/>
    <n v="3"/>
    <n v="2"/>
    <n v="80"/>
    <n v="1"/>
    <n v="10"/>
    <n v="2"/>
    <x v="0"/>
    <x v="2"/>
    <x v="2"/>
    <n v="1"/>
  </r>
  <r>
    <s v="RM308"/>
    <n v="38"/>
    <x v="2"/>
    <s v="No"/>
    <n v="0"/>
    <s v="Travel_Rarely"/>
    <n v="849"/>
    <x v="0"/>
    <x v="10"/>
    <x v="1"/>
    <x v="0"/>
    <n v="1"/>
    <n v="421"/>
    <x v="3"/>
    <x v="1"/>
    <n v="81"/>
    <n v="2"/>
    <x v="2"/>
    <x v="7"/>
    <x v="1"/>
    <x v="2"/>
    <n v="12061"/>
    <x v="2"/>
    <n v="26707"/>
    <n v="3"/>
    <s v="Y"/>
    <x v="0"/>
    <n v="17"/>
    <n v="3"/>
    <n v="3"/>
    <n v="80"/>
    <n v="1"/>
    <n v="19"/>
    <n v="2"/>
    <x v="0"/>
    <x v="10"/>
    <x v="7"/>
    <n v="0"/>
  </r>
  <r>
    <s v="RM342"/>
    <n v="38"/>
    <x v="2"/>
    <s v="No"/>
    <n v="0"/>
    <s v="Travel_Rarely"/>
    <n v="343"/>
    <x v="0"/>
    <x v="14"/>
    <x v="1"/>
    <x v="0"/>
    <n v="1"/>
    <n v="461"/>
    <x v="0"/>
    <x v="0"/>
    <n v="92"/>
    <n v="2"/>
    <x v="2"/>
    <x v="7"/>
    <x v="2"/>
    <x v="1"/>
    <n v="11510"/>
    <x v="2"/>
    <n v="15682"/>
    <n v="0"/>
    <s v="Y"/>
    <x v="1"/>
    <n v="14"/>
    <n v="3"/>
    <n v="2"/>
    <n v="80"/>
    <n v="1"/>
    <n v="12"/>
    <n v="3"/>
    <x v="0"/>
    <x v="11"/>
    <x v="10"/>
    <n v="2"/>
  </r>
  <r>
    <s v="RM417"/>
    <n v="38"/>
    <x v="2"/>
    <s v="No"/>
    <n v="0"/>
    <s v="Travel_Frequently"/>
    <n v="1490"/>
    <x v="0"/>
    <x v="7"/>
    <x v="1"/>
    <x v="0"/>
    <n v="1"/>
    <n v="556"/>
    <x v="1"/>
    <x v="0"/>
    <n v="42"/>
    <n v="3"/>
    <x v="0"/>
    <x v="0"/>
    <x v="2"/>
    <x v="2"/>
    <n v="1702"/>
    <x v="0"/>
    <n v="12106"/>
    <n v="1"/>
    <s v="Y"/>
    <x v="1"/>
    <n v="23"/>
    <n v="4"/>
    <n v="3"/>
    <n v="80"/>
    <n v="1"/>
    <n v="1"/>
    <n v="3"/>
    <x v="0"/>
    <x v="1"/>
    <x v="0"/>
    <n v="0"/>
  </r>
  <r>
    <s v="RM472"/>
    <n v="38"/>
    <x v="2"/>
    <s v="No"/>
    <n v="0"/>
    <s v="Travel_Rarely"/>
    <n v="1495"/>
    <x v="0"/>
    <x v="1"/>
    <x v="0"/>
    <x v="1"/>
    <n v="1"/>
    <n v="634"/>
    <x v="0"/>
    <x v="1"/>
    <n v="76"/>
    <n v="3"/>
    <x v="1"/>
    <x v="6"/>
    <x v="0"/>
    <x v="2"/>
    <n v="9824"/>
    <x v="1"/>
    <n v="22174"/>
    <n v="3"/>
    <s v="Y"/>
    <x v="0"/>
    <n v="19"/>
    <n v="3"/>
    <n v="3"/>
    <n v="80"/>
    <n v="1"/>
    <n v="18"/>
    <n v="4"/>
    <x v="0"/>
    <x v="1"/>
    <x v="0"/>
    <n v="0"/>
  </r>
  <r>
    <s v="RM491"/>
    <n v="38"/>
    <x v="2"/>
    <s v="No"/>
    <n v="0"/>
    <s v="Travel_Rarely"/>
    <n v="362"/>
    <x v="0"/>
    <x v="4"/>
    <x v="2"/>
    <x v="0"/>
    <n v="1"/>
    <n v="662"/>
    <x v="0"/>
    <x v="1"/>
    <n v="43"/>
    <n v="3"/>
    <x v="0"/>
    <x v="2"/>
    <x v="3"/>
    <x v="0"/>
    <n v="2619"/>
    <x v="0"/>
    <n v="14561"/>
    <n v="3"/>
    <s v="Y"/>
    <x v="0"/>
    <n v="17"/>
    <n v="3"/>
    <n v="4"/>
    <n v="80"/>
    <n v="0"/>
    <n v="8"/>
    <n v="3"/>
    <x v="3"/>
    <x v="0"/>
    <x v="0"/>
    <n v="0"/>
  </r>
  <r>
    <s v="RM519"/>
    <n v="38"/>
    <x v="2"/>
    <s v="No"/>
    <n v="0"/>
    <s v="Travel_Rarely"/>
    <n v="243"/>
    <x v="1"/>
    <x v="17"/>
    <x v="3"/>
    <x v="2"/>
    <n v="1"/>
    <n v="709"/>
    <x v="1"/>
    <x v="1"/>
    <n v="46"/>
    <n v="2"/>
    <x v="1"/>
    <x v="5"/>
    <x v="2"/>
    <x v="0"/>
    <n v="4028"/>
    <x v="0"/>
    <n v="7791"/>
    <n v="0"/>
    <s v="Y"/>
    <x v="0"/>
    <n v="20"/>
    <n v="4"/>
    <n v="1"/>
    <n v="80"/>
    <n v="0"/>
    <n v="8"/>
    <n v="2"/>
    <x v="0"/>
    <x v="7"/>
    <x v="6"/>
    <n v="0"/>
  </r>
  <r>
    <s v="RM530"/>
    <n v="38"/>
    <x v="2"/>
    <s v="No"/>
    <n v="0"/>
    <s v="Travel_Rarely"/>
    <n v="827"/>
    <x v="0"/>
    <x v="4"/>
    <x v="3"/>
    <x v="0"/>
    <n v="1"/>
    <n v="724"/>
    <x v="2"/>
    <x v="1"/>
    <n v="33"/>
    <n v="4"/>
    <x v="1"/>
    <x v="6"/>
    <x v="2"/>
    <x v="0"/>
    <n v="7625"/>
    <x v="1"/>
    <n v="19383"/>
    <n v="0"/>
    <s v="Y"/>
    <x v="0"/>
    <n v="13"/>
    <n v="3"/>
    <n v="3"/>
    <n v="80"/>
    <n v="0"/>
    <n v="10"/>
    <n v="4"/>
    <x v="3"/>
    <x v="9"/>
    <x v="6"/>
    <n v="1"/>
  </r>
  <r>
    <s v="RM543"/>
    <n v="38"/>
    <x v="2"/>
    <s v="No"/>
    <n v="0"/>
    <s v="Travel_Rarely"/>
    <n v="168"/>
    <x v="0"/>
    <x v="4"/>
    <x v="0"/>
    <x v="0"/>
    <n v="1"/>
    <n v="743"/>
    <x v="0"/>
    <x v="1"/>
    <n v="81"/>
    <n v="3"/>
    <x v="2"/>
    <x v="4"/>
    <x v="0"/>
    <x v="0"/>
    <n v="7861"/>
    <x v="1"/>
    <n v="15397"/>
    <n v="4"/>
    <s v="Y"/>
    <x v="1"/>
    <n v="14"/>
    <n v="3"/>
    <n v="4"/>
    <n v="80"/>
    <n v="0"/>
    <n v="10"/>
    <n v="4"/>
    <x v="1"/>
    <x v="1"/>
    <x v="0"/>
    <n v="0"/>
  </r>
  <r>
    <s v="RM560"/>
    <n v="38"/>
    <x v="2"/>
    <s v="No"/>
    <n v="0"/>
    <s v="Travel_Rarely"/>
    <n v="268"/>
    <x v="0"/>
    <x v="7"/>
    <x v="4"/>
    <x v="1"/>
    <n v="1"/>
    <n v="773"/>
    <x v="1"/>
    <x v="0"/>
    <n v="92"/>
    <n v="3"/>
    <x v="0"/>
    <x v="2"/>
    <x v="0"/>
    <x v="2"/>
    <n v="3057"/>
    <x v="0"/>
    <n v="20471"/>
    <n v="6"/>
    <s v="Y"/>
    <x v="1"/>
    <n v="13"/>
    <n v="3"/>
    <n v="2"/>
    <n v="80"/>
    <n v="1"/>
    <n v="6"/>
    <n v="0"/>
    <x v="2"/>
    <x v="1"/>
    <x v="0"/>
    <n v="0"/>
  </r>
  <r>
    <s v="RM579"/>
    <n v="38"/>
    <x v="2"/>
    <s v="No"/>
    <n v="0"/>
    <s v="Travel_Frequently"/>
    <n v="240"/>
    <x v="0"/>
    <x v="7"/>
    <x v="3"/>
    <x v="0"/>
    <n v="1"/>
    <n v="803"/>
    <x v="3"/>
    <x v="1"/>
    <n v="75"/>
    <n v="4"/>
    <x v="1"/>
    <x v="4"/>
    <x v="3"/>
    <x v="0"/>
    <n v="5980"/>
    <x v="1"/>
    <n v="26085"/>
    <n v="6"/>
    <s v="Y"/>
    <x v="1"/>
    <n v="12"/>
    <n v="3"/>
    <n v="4"/>
    <n v="80"/>
    <n v="0"/>
    <n v="17"/>
    <n v="2"/>
    <x v="0"/>
    <x v="15"/>
    <x v="6"/>
    <n v="4"/>
  </r>
  <r>
    <s v="RM606"/>
    <n v="38"/>
    <x v="2"/>
    <s v="No"/>
    <n v="0"/>
    <s v="Travel_Frequently"/>
    <n v="471"/>
    <x v="0"/>
    <x v="15"/>
    <x v="0"/>
    <x v="0"/>
    <n v="1"/>
    <n v="837"/>
    <x v="3"/>
    <x v="0"/>
    <n v="45"/>
    <n v="2"/>
    <x v="1"/>
    <x v="6"/>
    <x v="3"/>
    <x v="1"/>
    <n v="6288"/>
    <x v="1"/>
    <n v="4284"/>
    <n v="2"/>
    <s v="Y"/>
    <x v="0"/>
    <n v="15"/>
    <n v="3"/>
    <n v="3"/>
    <n v="80"/>
    <n v="1"/>
    <n v="13"/>
    <n v="3"/>
    <x v="3"/>
    <x v="4"/>
    <x v="3"/>
    <n v="1"/>
  </r>
  <r>
    <s v="RM643"/>
    <n v="38"/>
    <x v="2"/>
    <s v="No"/>
    <n v="0"/>
    <s v="Travel_Rarely"/>
    <n v="395"/>
    <x v="1"/>
    <x v="9"/>
    <x v="0"/>
    <x v="2"/>
    <n v="1"/>
    <n v="893"/>
    <x v="2"/>
    <x v="0"/>
    <n v="98"/>
    <n v="2"/>
    <x v="0"/>
    <x v="1"/>
    <x v="1"/>
    <x v="2"/>
    <n v="2899"/>
    <x v="0"/>
    <n v="12102"/>
    <n v="0"/>
    <s v="Y"/>
    <x v="0"/>
    <n v="19"/>
    <n v="3"/>
    <n v="4"/>
    <n v="80"/>
    <n v="1"/>
    <n v="3"/>
    <n v="3"/>
    <x v="0"/>
    <x v="2"/>
    <x v="2"/>
    <n v="1"/>
  </r>
  <r>
    <s v="RM682"/>
    <n v="38"/>
    <x v="2"/>
    <s v="No"/>
    <n v="0"/>
    <s v="Travel_Rarely"/>
    <n v="1333"/>
    <x v="0"/>
    <x v="4"/>
    <x v="0"/>
    <x v="3"/>
    <n v="1"/>
    <n v="950"/>
    <x v="1"/>
    <x v="1"/>
    <n v="80"/>
    <n v="3"/>
    <x v="2"/>
    <x v="7"/>
    <x v="3"/>
    <x v="2"/>
    <n v="13582"/>
    <x v="2"/>
    <n v="16292"/>
    <n v="1"/>
    <s v="Y"/>
    <x v="0"/>
    <n v="13"/>
    <n v="3"/>
    <n v="2"/>
    <n v="80"/>
    <n v="1"/>
    <n v="15"/>
    <n v="3"/>
    <x v="0"/>
    <x v="15"/>
    <x v="11"/>
    <n v="5"/>
  </r>
  <r>
    <s v="RM704"/>
    <n v="38"/>
    <x v="2"/>
    <s v="No"/>
    <n v="0"/>
    <s v="Non-Travel"/>
    <n v="152"/>
    <x v="1"/>
    <x v="1"/>
    <x v="0"/>
    <x v="3"/>
    <n v="1"/>
    <n v="983"/>
    <x v="0"/>
    <x v="1"/>
    <n v="85"/>
    <n v="3"/>
    <x v="1"/>
    <x v="5"/>
    <x v="2"/>
    <x v="0"/>
    <n v="5666"/>
    <x v="1"/>
    <n v="19899"/>
    <n v="1"/>
    <s v="Y"/>
    <x v="1"/>
    <n v="13"/>
    <n v="3"/>
    <n v="2"/>
    <n v="80"/>
    <n v="0"/>
    <n v="6"/>
    <n v="1"/>
    <x v="0"/>
    <x v="5"/>
    <x v="3"/>
    <n v="1"/>
  </r>
  <r>
    <s v="RM723"/>
    <n v="38"/>
    <x v="2"/>
    <s v="No"/>
    <n v="0"/>
    <s v="Travel_Frequently"/>
    <n v="1391"/>
    <x v="0"/>
    <x v="1"/>
    <x v="2"/>
    <x v="1"/>
    <n v="1"/>
    <n v="1006"/>
    <x v="0"/>
    <x v="0"/>
    <n v="66"/>
    <n v="3"/>
    <x v="0"/>
    <x v="2"/>
    <x v="0"/>
    <x v="2"/>
    <n v="2684"/>
    <x v="0"/>
    <n v="12127"/>
    <n v="0"/>
    <s v="Y"/>
    <x v="0"/>
    <n v="17"/>
    <n v="3"/>
    <n v="2"/>
    <n v="80"/>
    <n v="1"/>
    <n v="3"/>
    <n v="0"/>
    <x v="3"/>
    <x v="2"/>
    <x v="1"/>
    <n v="0"/>
  </r>
  <r>
    <s v="RM748"/>
    <n v="38"/>
    <x v="2"/>
    <s v="No"/>
    <n v="0"/>
    <s v="Travel_Rarely"/>
    <n v="1035"/>
    <x v="1"/>
    <x v="0"/>
    <x v="3"/>
    <x v="0"/>
    <n v="1"/>
    <n v="1036"/>
    <x v="2"/>
    <x v="0"/>
    <n v="42"/>
    <n v="3"/>
    <x v="1"/>
    <x v="5"/>
    <x v="2"/>
    <x v="0"/>
    <n v="6861"/>
    <x v="1"/>
    <n v="4981"/>
    <n v="8"/>
    <s v="Y"/>
    <x v="1"/>
    <n v="12"/>
    <n v="3"/>
    <n v="3"/>
    <n v="80"/>
    <n v="0"/>
    <n v="19"/>
    <n v="1"/>
    <x v="0"/>
    <x v="1"/>
    <x v="0"/>
    <n v="0"/>
  </r>
  <r>
    <s v="RM766"/>
    <n v="38"/>
    <x v="2"/>
    <s v="No"/>
    <n v="0"/>
    <s v="Travel_Frequently"/>
    <n v="1186"/>
    <x v="0"/>
    <x v="0"/>
    <x v="3"/>
    <x v="4"/>
    <n v="1"/>
    <n v="1060"/>
    <x v="0"/>
    <x v="0"/>
    <n v="44"/>
    <n v="3"/>
    <x v="0"/>
    <x v="2"/>
    <x v="0"/>
    <x v="2"/>
    <n v="2821"/>
    <x v="0"/>
    <n v="2997"/>
    <n v="3"/>
    <s v="Y"/>
    <x v="0"/>
    <n v="16"/>
    <n v="3"/>
    <n v="1"/>
    <n v="80"/>
    <n v="1"/>
    <n v="8"/>
    <n v="2"/>
    <x v="0"/>
    <x v="2"/>
    <x v="2"/>
    <n v="2"/>
  </r>
  <r>
    <s v="RM785"/>
    <n v="38"/>
    <x v="2"/>
    <s v="No"/>
    <n v="0"/>
    <s v="Travel_Rarely"/>
    <n v="330"/>
    <x v="0"/>
    <x v="24"/>
    <x v="2"/>
    <x v="0"/>
    <n v="1"/>
    <n v="1088"/>
    <x v="0"/>
    <x v="1"/>
    <n v="65"/>
    <n v="2"/>
    <x v="2"/>
    <x v="6"/>
    <x v="0"/>
    <x v="2"/>
    <n v="8823"/>
    <x v="1"/>
    <n v="24608"/>
    <n v="0"/>
    <s v="Y"/>
    <x v="0"/>
    <n v="18"/>
    <n v="3"/>
    <n v="1"/>
    <n v="80"/>
    <n v="1"/>
    <n v="20"/>
    <n v="4"/>
    <x v="3"/>
    <x v="19"/>
    <x v="9"/>
    <n v="1"/>
  </r>
  <r>
    <s v="RM808"/>
    <n v="38"/>
    <x v="2"/>
    <s v="No"/>
    <n v="0"/>
    <s v="Travel_Rarely"/>
    <n v="770"/>
    <x v="1"/>
    <x v="1"/>
    <x v="3"/>
    <x v="2"/>
    <n v="1"/>
    <n v="1119"/>
    <x v="0"/>
    <x v="0"/>
    <n v="73"/>
    <n v="2"/>
    <x v="2"/>
    <x v="5"/>
    <x v="0"/>
    <x v="1"/>
    <n v="8740"/>
    <x v="1"/>
    <n v="5569"/>
    <n v="0"/>
    <s v="Y"/>
    <x v="1"/>
    <n v="14"/>
    <n v="3"/>
    <n v="2"/>
    <n v="80"/>
    <n v="2"/>
    <n v="9"/>
    <n v="2"/>
    <x v="0"/>
    <x v="8"/>
    <x v="6"/>
    <n v="2"/>
  </r>
  <r>
    <s v="RM812"/>
    <n v="38"/>
    <x v="2"/>
    <s v="No"/>
    <n v="0"/>
    <s v="Travel_Rarely"/>
    <n v="130"/>
    <x v="1"/>
    <x v="7"/>
    <x v="1"/>
    <x v="2"/>
    <n v="1"/>
    <n v="1125"/>
    <x v="1"/>
    <x v="0"/>
    <n v="32"/>
    <n v="3"/>
    <x v="2"/>
    <x v="5"/>
    <x v="1"/>
    <x v="0"/>
    <n v="7351"/>
    <x v="1"/>
    <n v="20619"/>
    <n v="7"/>
    <s v="Y"/>
    <x v="0"/>
    <n v="16"/>
    <n v="3"/>
    <n v="3"/>
    <n v="80"/>
    <n v="0"/>
    <n v="10"/>
    <n v="2"/>
    <x v="0"/>
    <x v="1"/>
    <x v="0"/>
    <n v="0"/>
  </r>
  <r>
    <s v="RM827"/>
    <n v="38"/>
    <x v="2"/>
    <s v="No"/>
    <n v="0"/>
    <s v="Travel_Rarely"/>
    <n v="433"/>
    <x v="2"/>
    <x v="4"/>
    <x v="0"/>
    <x v="5"/>
    <n v="1"/>
    <n v="1152"/>
    <x v="0"/>
    <x v="0"/>
    <n v="37"/>
    <n v="4"/>
    <x v="0"/>
    <x v="3"/>
    <x v="0"/>
    <x v="2"/>
    <n v="2844"/>
    <x v="0"/>
    <n v="6004"/>
    <n v="1"/>
    <s v="Y"/>
    <x v="0"/>
    <n v="13"/>
    <n v="3"/>
    <n v="4"/>
    <n v="80"/>
    <n v="1"/>
    <n v="7"/>
    <n v="2"/>
    <x v="1"/>
    <x v="7"/>
    <x v="8"/>
    <n v="5"/>
  </r>
  <r>
    <s v="RM964"/>
    <n v="38"/>
    <x v="2"/>
    <s v="No"/>
    <n v="0"/>
    <s v="Travel_Rarely"/>
    <n v="1009"/>
    <x v="1"/>
    <x v="7"/>
    <x v="1"/>
    <x v="0"/>
    <n v="1"/>
    <n v="1355"/>
    <x v="2"/>
    <x v="1"/>
    <n v="31"/>
    <n v="3"/>
    <x v="1"/>
    <x v="5"/>
    <x v="3"/>
    <x v="1"/>
    <n v="6893"/>
    <x v="1"/>
    <n v="19461"/>
    <n v="3"/>
    <s v="Y"/>
    <x v="0"/>
    <n v="15"/>
    <n v="3"/>
    <n v="4"/>
    <n v="80"/>
    <n v="1"/>
    <n v="11"/>
    <n v="3"/>
    <x v="0"/>
    <x v="7"/>
    <x v="6"/>
    <n v="1"/>
  </r>
  <r>
    <s v="RM983"/>
    <n v="38"/>
    <x v="2"/>
    <s v="No"/>
    <n v="0"/>
    <s v="Travel_Frequently"/>
    <n v="693"/>
    <x v="0"/>
    <x v="17"/>
    <x v="0"/>
    <x v="0"/>
    <n v="1"/>
    <n v="1382"/>
    <x v="1"/>
    <x v="0"/>
    <n v="57"/>
    <n v="4"/>
    <x v="0"/>
    <x v="2"/>
    <x v="0"/>
    <x v="1"/>
    <n v="2610"/>
    <x v="0"/>
    <n v="15748"/>
    <n v="1"/>
    <s v="Y"/>
    <x v="0"/>
    <n v="11"/>
    <n v="3"/>
    <n v="4"/>
    <n v="80"/>
    <n v="3"/>
    <n v="4"/>
    <n v="2"/>
    <x v="0"/>
    <x v="4"/>
    <x v="2"/>
    <n v="0"/>
  </r>
  <r>
    <s v="RM1108"/>
    <n v="38"/>
    <x v="2"/>
    <s v="No"/>
    <n v="0"/>
    <s v="Travel_Frequently"/>
    <n v="888"/>
    <x v="2"/>
    <x v="1"/>
    <x v="3"/>
    <x v="5"/>
    <n v="1"/>
    <n v="1563"/>
    <x v="0"/>
    <x v="0"/>
    <n v="71"/>
    <n v="3"/>
    <x v="1"/>
    <x v="3"/>
    <x v="0"/>
    <x v="2"/>
    <n v="6077"/>
    <x v="1"/>
    <n v="14814"/>
    <n v="3"/>
    <s v="Y"/>
    <x v="0"/>
    <n v="11"/>
    <n v="3"/>
    <n v="3"/>
    <n v="80"/>
    <n v="0"/>
    <n v="10"/>
    <n v="2"/>
    <x v="0"/>
    <x v="6"/>
    <x v="3"/>
    <n v="1"/>
  </r>
  <r>
    <s v="RM1113"/>
    <n v="38"/>
    <x v="2"/>
    <s v="Yes"/>
    <n v="1"/>
    <s v="Travel_Rarely"/>
    <n v="903"/>
    <x v="0"/>
    <x v="7"/>
    <x v="0"/>
    <x v="1"/>
    <n v="1"/>
    <n v="1573"/>
    <x v="0"/>
    <x v="0"/>
    <n v="81"/>
    <n v="3"/>
    <x v="1"/>
    <x v="4"/>
    <x v="1"/>
    <x v="2"/>
    <n v="4855"/>
    <x v="0"/>
    <n v="7653"/>
    <n v="4"/>
    <s v="Y"/>
    <x v="0"/>
    <n v="11"/>
    <n v="3"/>
    <n v="1"/>
    <n v="80"/>
    <n v="2"/>
    <n v="7"/>
    <n v="2"/>
    <x v="0"/>
    <x v="5"/>
    <x v="2"/>
    <n v="1"/>
  </r>
  <r>
    <s v="RM1120"/>
    <n v="38"/>
    <x v="2"/>
    <s v="No"/>
    <n v="0"/>
    <s v="Travel_Rarely"/>
    <n v="1245"/>
    <x v="1"/>
    <x v="5"/>
    <x v="0"/>
    <x v="0"/>
    <n v="1"/>
    <n v="1582"/>
    <x v="0"/>
    <x v="0"/>
    <n v="80"/>
    <n v="3"/>
    <x v="1"/>
    <x v="5"/>
    <x v="1"/>
    <x v="2"/>
    <n v="9924"/>
    <x v="1"/>
    <n v="12355"/>
    <n v="0"/>
    <s v="Y"/>
    <x v="0"/>
    <n v="11"/>
    <n v="3"/>
    <n v="4"/>
    <n v="80"/>
    <n v="1"/>
    <n v="10"/>
    <n v="3"/>
    <x v="0"/>
    <x v="9"/>
    <x v="7"/>
    <n v="7"/>
  </r>
  <r>
    <s v="RM1121"/>
    <n v="38"/>
    <x v="2"/>
    <s v="No"/>
    <n v="0"/>
    <s v="Travel_Rarely"/>
    <n v="437"/>
    <x v="1"/>
    <x v="18"/>
    <x v="0"/>
    <x v="0"/>
    <n v="1"/>
    <n v="1583"/>
    <x v="2"/>
    <x v="1"/>
    <n v="90"/>
    <n v="3"/>
    <x v="1"/>
    <x v="5"/>
    <x v="1"/>
    <x v="0"/>
    <n v="4198"/>
    <x v="0"/>
    <n v="16379"/>
    <n v="2"/>
    <s v="Y"/>
    <x v="0"/>
    <n v="12"/>
    <n v="3"/>
    <n v="2"/>
    <n v="80"/>
    <n v="0"/>
    <n v="8"/>
    <n v="5"/>
    <x v="1"/>
    <x v="3"/>
    <x v="2"/>
    <n v="1"/>
  </r>
  <r>
    <s v="RM1162"/>
    <n v="38"/>
    <x v="2"/>
    <s v="No"/>
    <n v="0"/>
    <s v="Travel_Rarely"/>
    <n v="397"/>
    <x v="0"/>
    <x v="7"/>
    <x v="1"/>
    <x v="1"/>
    <n v="1"/>
    <n v="1638"/>
    <x v="1"/>
    <x v="1"/>
    <n v="54"/>
    <n v="2"/>
    <x v="2"/>
    <x v="4"/>
    <x v="0"/>
    <x v="2"/>
    <n v="7756"/>
    <x v="1"/>
    <n v="14199"/>
    <n v="3"/>
    <s v="Y"/>
    <x v="1"/>
    <n v="19"/>
    <n v="3"/>
    <n v="4"/>
    <n v="80"/>
    <n v="1"/>
    <n v="10"/>
    <n v="6"/>
    <x v="1"/>
    <x v="5"/>
    <x v="4"/>
    <n v="0"/>
  </r>
  <r>
    <s v="RM1188"/>
    <n v="38"/>
    <x v="2"/>
    <s v="No"/>
    <n v="0"/>
    <s v="Travel_Frequently"/>
    <n v="1189"/>
    <x v="0"/>
    <x v="4"/>
    <x v="0"/>
    <x v="0"/>
    <n v="1"/>
    <n v="1668"/>
    <x v="1"/>
    <x v="0"/>
    <n v="90"/>
    <n v="3"/>
    <x v="1"/>
    <x v="2"/>
    <x v="2"/>
    <x v="2"/>
    <n v="4735"/>
    <x v="0"/>
    <n v="9867"/>
    <n v="7"/>
    <s v="Y"/>
    <x v="0"/>
    <n v="15"/>
    <n v="3"/>
    <n v="4"/>
    <n v="80"/>
    <n v="2"/>
    <n v="19"/>
    <n v="4"/>
    <x v="1"/>
    <x v="13"/>
    <x v="14"/>
    <n v="2"/>
  </r>
  <r>
    <s v="RM1194"/>
    <n v="38"/>
    <x v="2"/>
    <s v="No"/>
    <n v="0"/>
    <s v="Travel_Frequently"/>
    <n v="148"/>
    <x v="0"/>
    <x v="7"/>
    <x v="0"/>
    <x v="1"/>
    <n v="1"/>
    <n v="1675"/>
    <x v="1"/>
    <x v="1"/>
    <n v="42"/>
    <n v="2"/>
    <x v="0"/>
    <x v="0"/>
    <x v="1"/>
    <x v="0"/>
    <n v="2440"/>
    <x v="0"/>
    <n v="23826"/>
    <n v="1"/>
    <s v="Y"/>
    <x v="0"/>
    <n v="22"/>
    <n v="4"/>
    <n v="2"/>
    <n v="80"/>
    <n v="0"/>
    <n v="4"/>
    <n v="3"/>
    <x v="0"/>
    <x v="4"/>
    <x v="3"/>
    <n v="3"/>
  </r>
  <r>
    <s v="RM1203"/>
    <n v="38"/>
    <x v="2"/>
    <s v="No"/>
    <n v="0"/>
    <s v="Travel_Rarely"/>
    <n v="1495"/>
    <x v="0"/>
    <x v="12"/>
    <x v="1"/>
    <x v="1"/>
    <n v="1"/>
    <n v="1687"/>
    <x v="1"/>
    <x v="1"/>
    <n v="87"/>
    <n v="3"/>
    <x v="0"/>
    <x v="0"/>
    <x v="0"/>
    <x v="2"/>
    <n v="3306"/>
    <x v="0"/>
    <n v="26176"/>
    <n v="7"/>
    <s v="Y"/>
    <x v="0"/>
    <n v="19"/>
    <n v="3"/>
    <n v="4"/>
    <n v="80"/>
    <n v="1"/>
    <n v="7"/>
    <n v="5"/>
    <x v="3"/>
    <x v="0"/>
    <x v="0"/>
    <n v="0"/>
  </r>
  <r>
    <s v="RM1257"/>
    <n v="38"/>
    <x v="2"/>
    <s v="No"/>
    <n v="0"/>
    <s v="Travel_Frequently"/>
    <n v="594"/>
    <x v="0"/>
    <x v="7"/>
    <x v="1"/>
    <x v="1"/>
    <n v="1"/>
    <n v="1760"/>
    <x v="0"/>
    <x v="1"/>
    <n v="75"/>
    <n v="2"/>
    <x v="0"/>
    <x v="0"/>
    <x v="1"/>
    <x v="2"/>
    <n v="2468"/>
    <x v="0"/>
    <n v="15963"/>
    <n v="4"/>
    <s v="Y"/>
    <x v="0"/>
    <n v="14"/>
    <n v="3"/>
    <n v="2"/>
    <n v="80"/>
    <n v="1"/>
    <n v="9"/>
    <n v="4"/>
    <x v="3"/>
    <x v="6"/>
    <x v="1"/>
    <n v="0"/>
  </r>
  <r>
    <s v="RM1262"/>
    <n v="38"/>
    <x v="2"/>
    <s v="No"/>
    <n v="0"/>
    <s v="Travel_Rarely"/>
    <n v="833"/>
    <x v="0"/>
    <x v="16"/>
    <x v="0"/>
    <x v="1"/>
    <n v="1"/>
    <n v="1766"/>
    <x v="2"/>
    <x v="0"/>
    <n v="60"/>
    <n v="1"/>
    <x v="1"/>
    <x v="6"/>
    <x v="2"/>
    <x v="2"/>
    <n v="5811"/>
    <x v="1"/>
    <n v="24539"/>
    <n v="3"/>
    <s v="Y"/>
    <x v="1"/>
    <n v="16"/>
    <n v="3"/>
    <n v="3"/>
    <n v="80"/>
    <n v="1"/>
    <n v="15"/>
    <n v="2"/>
    <x v="0"/>
    <x v="1"/>
    <x v="0"/>
    <n v="1"/>
  </r>
  <r>
    <s v="RM1273"/>
    <n v="38"/>
    <x v="2"/>
    <s v="No"/>
    <n v="0"/>
    <s v="Travel_Rarely"/>
    <n v="1153"/>
    <x v="0"/>
    <x v="11"/>
    <x v="1"/>
    <x v="4"/>
    <n v="1"/>
    <n v="1782"/>
    <x v="1"/>
    <x v="1"/>
    <n v="40"/>
    <n v="2"/>
    <x v="0"/>
    <x v="0"/>
    <x v="0"/>
    <x v="2"/>
    <n v="3702"/>
    <x v="0"/>
    <n v="16376"/>
    <n v="1"/>
    <s v="Y"/>
    <x v="0"/>
    <n v="11"/>
    <n v="3"/>
    <n v="2"/>
    <n v="80"/>
    <n v="1"/>
    <n v="5"/>
    <n v="3"/>
    <x v="0"/>
    <x v="5"/>
    <x v="4"/>
    <n v="0"/>
  </r>
  <r>
    <s v="RM1290"/>
    <n v="38"/>
    <x v="2"/>
    <s v="No"/>
    <n v="0"/>
    <s v="Non-Travel"/>
    <n v="1336"/>
    <x v="2"/>
    <x v="7"/>
    <x v="0"/>
    <x v="5"/>
    <n v="1"/>
    <n v="1805"/>
    <x v="3"/>
    <x v="0"/>
    <n v="100"/>
    <n v="3"/>
    <x v="0"/>
    <x v="3"/>
    <x v="1"/>
    <x v="1"/>
    <n v="2592"/>
    <x v="0"/>
    <n v="7129"/>
    <n v="5"/>
    <s v="Y"/>
    <x v="0"/>
    <n v="13"/>
    <n v="3"/>
    <n v="4"/>
    <n v="80"/>
    <n v="3"/>
    <n v="13"/>
    <n v="3"/>
    <x v="0"/>
    <x v="11"/>
    <x v="10"/>
    <n v="3"/>
  </r>
  <r>
    <s v="RM1309"/>
    <n v="38"/>
    <x v="2"/>
    <s v="No"/>
    <n v="0"/>
    <s v="Travel_Rarely"/>
    <n v="723"/>
    <x v="1"/>
    <x v="7"/>
    <x v="3"/>
    <x v="2"/>
    <n v="1"/>
    <n v="1835"/>
    <x v="2"/>
    <x v="1"/>
    <n v="77"/>
    <n v="1"/>
    <x v="1"/>
    <x v="1"/>
    <x v="2"/>
    <x v="2"/>
    <n v="5405"/>
    <x v="1"/>
    <n v="4244"/>
    <n v="2"/>
    <s v="Y"/>
    <x v="1"/>
    <n v="20"/>
    <n v="4"/>
    <n v="1"/>
    <n v="80"/>
    <n v="2"/>
    <n v="20"/>
    <n v="4"/>
    <x v="3"/>
    <x v="4"/>
    <x v="2"/>
    <n v="0"/>
  </r>
  <r>
    <s v="RM1374"/>
    <n v="38"/>
    <x v="2"/>
    <s v="No"/>
    <n v="0"/>
    <s v="Travel_Frequently"/>
    <n v="1394"/>
    <x v="0"/>
    <x v="3"/>
    <x v="0"/>
    <x v="1"/>
    <n v="1"/>
    <n v="1937"/>
    <x v="1"/>
    <x v="1"/>
    <n v="58"/>
    <n v="2"/>
    <x v="1"/>
    <x v="2"/>
    <x v="1"/>
    <x v="1"/>
    <n v="2133"/>
    <x v="0"/>
    <n v="18115"/>
    <n v="1"/>
    <s v="Y"/>
    <x v="1"/>
    <n v="16"/>
    <n v="3"/>
    <n v="3"/>
    <n v="80"/>
    <n v="1"/>
    <n v="20"/>
    <n v="3"/>
    <x v="0"/>
    <x v="20"/>
    <x v="14"/>
    <n v="0"/>
  </r>
  <r>
    <s v="RM1377"/>
    <n v="38"/>
    <x v="2"/>
    <s v="No"/>
    <n v="0"/>
    <s v="Travel_Rarely"/>
    <n v="1206"/>
    <x v="0"/>
    <x v="9"/>
    <x v="1"/>
    <x v="0"/>
    <n v="1"/>
    <n v="1940"/>
    <x v="2"/>
    <x v="0"/>
    <n v="71"/>
    <n v="3"/>
    <x v="0"/>
    <x v="2"/>
    <x v="2"/>
    <x v="1"/>
    <n v="4771"/>
    <x v="0"/>
    <n v="14293"/>
    <n v="2"/>
    <s v="Y"/>
    <x v="0"/>
    <n v="19"/>
    <n v="3"/>
    <n v="4"/>
    <n v="80"/>
    <n v="2"/>
    <n v="10"/>
    <n v="0"/>
    <x v="1"/>
    <x v="5"/>
    <x v="2"/>
    <n v="0"/>
  </r>
  <r>
    <s v="RM1392"/>
    <n v="38"/>
    <x v="2"/>
    <s v="No"/>
    <n v="0"/>
    <s v="Travel_Rarely"/>
    <n v="1404"/>
    <x v="1"/>
    <x v="4"/>
    <x v="0"/>
    <x v="0"/>
    <n v="1"/>
    <n v="1961"/>
    <x v="3"/>
    <x v="0"/>
    <n v="59"/>
    <n v="2"/>
    <x v="0"/>
    <x v="1"/>
    <x v="3"/>
    <x v="0"/>
    <n v="2858"/>
    <x v="0"/>
    <n v="11473"/>
    <n v="4"/>
    <s v="Y"/>
    <x v="0"/>
    <n v="14"/>
    <n v="3"/>
    <n v="1"/>
    <n v="80"/>
    <n v="0"/>
    <n v="20"/>
    <n v="3"/>
    <x v="3"/>
    <x v="1"/>
    <x v="0"/>
    <n v="0"/>
  </r>
  <r>
    <s v="RM1401"/>
    <n v="38"/>
    <x v="2"/>
    <s v="No"/>
    <n v="0"/>
    <s v="Travel_Frequently"/>
    <n v="1444"/>
    <x v="2"/>
    <x v="4"/>
    <x v="3"/>
    <x v="4"/>
    <n v="1"/>
    <n v="1972"/>
    <x v="1"/>
    <x v="0"/>
    <n v="88"/>
    <n v="3"/>
    <x v="0"/>
    <x v="3"/>
    <x v="1"/>
    <x v="2"/>
    <n v="2991"/>
    <x v="0"/>
    <n v="5224"/>
    <n v="0"/>
    <s v="Y"/>
    <x v="1"/>
    <n v="11"/>
    <n v="3"/>
    <n v="2"/>
    <n v="80"/>
    <n v="1"/>
    <n v="7"/>
    <n v="2"/>
    <x v="0"/>
    <x v="6"/>
    <x v="2"/>
    <n v="1"/>
  </r>
  <r>
    <s v="RM1417"/>
    <n v="38"/>
    <x v="2"/>
    <s v="No"/>
    <n v="0"/>
    <s v="Travel_Rarely"/>
    <n v="1321"/>
    <x v="1"/>
    <x v="4"/>
    <x v="3"/>
    <x v="0"/>
    <n v="1"/>
    <n v="1995"/>
    <x v="1"/>
    <x v="0"/>
    <n v="86"/>
    <n v="3"/>
    <x v="1"/>
    <x v="5"/>
    <x v="1"/>
    <x v="2"/>
    <n v="4440"/>
    <x v="0"/>
    <n v="7636"/>
    <n v="0"/>
    <s v="Y"/>
    <x v="0"/>
    <n v="15"/>
    <n v="3"/>
    <n v="1"/>
    <n v="80"/>
    <n v="2"/>
    <n v="16"/>
    <n v="3"/>
    <x v="0"/>
    <x v="15"/>
    <x v="12"/>
    <n v="5"/>
  </r>
  <r>
    <s v="RM1419"/>
    <n v="38"/>
    <x v="2"/>
    <s v="No"/>
    <n v="0"/>
    <s v="Travel_Frequently"/>
    <n v="508"/>
    <x v="0"/>
    <x v="11"/>
    <x v="3"/>
    <x v="0"/>
    <n v="1"/>
    <n v="1997"/>
    <x v="3"/>
    <x v="0"/>
    <n v="72"/>
    <n v="2"/>
    <x v="1"/>
    <x v="4"/>
    <x v="0"/>
    <x v="2"/>
    <n v="5321"/>
    <x v="1"/>
    <n v="14284"/>
    <n v="2"/>
    <s v="Y"/>
    <x v="0"/>
    <n v="11"/>
    <n v="3"/>
    <n v="4"/>
    <n v="80"/>
    <n v="1"/>
    <n v="10"/>
    <n v="1"/>
    <x v="0"/>
    <x v="8"/>
    <x v="3"/>
    <n v="7"/>
  </r>
  <r>
    <s v="RM1431"/>
    <n v="38"/>
    <x v="2"/>
    <s v="No"/>
    <n v="0"/>
    <s v="Travel_Rarely"/>
    <n v="201"/>
    <x v="0"/>
    <x v="1"/>
    <x v="0"/>
    <x v="1"/>
    <n v="1"/>
    <n v="2015"/>
    <x v="2"/>
    <x v="1"/>
    <n v="99"/>
    <n v="1"/>
    <x v="2"/>
    <x v="7"/>
    <x v="0"/>
    <x v="2"/>
    <n v="13206"/>
    <x v="2"/>
    <n v="3376"/>
    <n v="3"/>
    <s v="Y"/>
    <x v="0"/>
    <n v="12"/>
    <n v="3"/>
    <n v="1"/>
    <n v="80"/>
    <n v="1"/>
    <n v="20"/>
    <n v="3"/>
    <x v="0"/>
    <x v="18"/>
    <x v="16"/>
    <n v="1"/>
  </r>
  <r>
    <s v="RM1452"/>
    <n v="38"/>
    <x v="2"/>
    <s v="No"/>
    <n v="0"/>
    <s v="Travel_Rarely"/>
    <n v="345"/>
    <x v="1"/>
    <x v="1"/>
    <x v="1"/>
    <x v="0"/>
    <n v="1"/>
    <n v="2041"/>
    <x v="3"/>
    <x v="1"/>
    <n v="100"/>
    <n v="3"/>
    <x v="1"/>
    <x v="5"/>
    <x v="2"/>
    <x v="2"/>
    <n v="5343"/>
    <x v="1"/>
    <n v="5982"/>
    <n v="1"/>
    <s v="Y"/>
    <x v="0"/>
    <n v="11"/>
    <n v="3"/>
    <n v="3"/>
    <n v="80"/>
    <n v="1"/>
    <n v="10"/>
    <n v="1"/>
    <x v="0"/>
    <x v="10"/>
    <x v="6"/>
    <n v="1"/>
  </r>
  <r>
    <s v="RM034"/>
    <n v="39"/>
    <x v="2"/>
    <s v="Yes"/>
    <n v="1"/>
    <s v="Travel_Rarely"/>
    <n v="895"/>
    <x v="1"/>
    <x v="2"/>
    <x v="0"/>
    <x v="3"/>
    <n v="1"/>
    <n v="42"/>
    <x v="1"/>
    <x v="0"/>
    <n v="56"/>
    <n v="3"/>
    <x v="1"/>
    <x v="1"/>
    <x v="2"/>
    <x v="2"/>
    <n v="2086"/>
    <x v="0"/>
    <n v="3335"/>
    <n v="3"/>
    <s v="Y"/>
    <x v="0"/>
    <n v="14"/>
    <n v="3"/>
    <n v="3"/>
    <n v="80"/>
    <n v="1"/>
    <n v="19"/>
    <n v="6"/>
    <x v="1"/>
    <x v="1"/>
    <x v="0"/>
    <n v="0"/>
  </r>
  <r>
    <s v="RM138"/>
    <n v="39"/>
    <x v="2"/>
    <s v="No"/>
    <n v="0"/>
    <s v="Travel_Rarely"/>
    <n v="1329"/>
    <x v="1"/>
    <x v="12"/>
    <x v="3"/>
    <x v="0"/>
    <n v="1"/>
    <n v="182"/>
    <x v="1"/>
    <x v="1"/>
    <n v="47"/>
    <n v="2"/>
    <x v="1"/>
    <x v="5"/>
    <x v="0"/>
    <x v="2"/>
    <n v="5902"/>
    <x v="1"/>
    <n v="14590"/>
    <n v="4"/>
    <s v="Y"/>
    <x v="0"/>
    <n v="14"/>
    <n v="3"/>
    <n v="3"/>
    <n v="80"/>
    <n v="1"/>
    <n v="17"/>
    <n v="1"/>
    <x v="1"/>
    <x v="15"/>
    <x v="14"/>
    <n v="5"/>
  </r>
  <r>
    <s v="RM241"/>
    <n v="39"/>
    <x v="2"/>
    <s v="No"/>
    <n v="0"/>
    <s v="Travel_Rarely"/>
    <n v="1431"/>
    <x v="0"/>
    <x v="4"/>
    <x v="3"/>
    <x v="1"/>
    <n v="1"/>
    <n v="332"/>
    <x v="0"/>
    <x v="1"/>
    <n v="96"/>
    <n v="3"/>
    <x v="0"/>
    <x v="0"/>
    <x v="0"/>
    <x v="1"/>
    <n v="2232"/>
    <x v="0"/>
    <n v="15417"/>
    <n v="7"/>
    <s v="Y"/>
    <x v="0"/>
    <n v="14"/>
    <n v="3"/>
    <n v="3"/>
    <n v="80"/>
    <n v="3"/>
    <n v="7"/>
    <n v="1"/>
    <x v="0"/>
    <x v="3"/>
    <x v="2"/>
    <n v="1"/>
  </r>
  <r>
    <s v="RM252"/>
    <n v="39"/>
    <x v="2"/>
    <s v="No"/>
    <n v="0"/>
    <s v="Travel_Frequently"/>
    <n v="505"/>
    <x v="0"/>
    <x v="7"/>
    <x v="3"/>
    <x v="3"/>
    <n v="1"/>
    <n v="343"/>
    <x v="0"/>
    <x v="1"/>
    <n v="64"/>
    <n v="3"/>
    <x v="2"/>
    <x v="6"/>
    <x v="0"/>
    <x v="0"/>
    <n v="10938"/>
    <x v="2"/>
    <n v="6420"/>
    <n v="0"/>
    <s v="Y"/>
    <x v="0"/>
    <n v="25"/>
    <n v="4"/>
    <n v="4"/>
    <n v="80"/>
    <n v="0"/>
    <n v="20"/>
    <n v="1"/>
    <x v="0"/>
    <x v="19"/>
    <x v="8"/>
    <n v="11"/>
  </r>
  <r>
    <s v="RM305"/>
    <n v="39"/>
    <x v="2"/>
    <s v="No"/>
    <n v="0"/>
    <s v="Travel_Rarely"/>
    <n v="1132"/>
    <x v="0"/>
    <x v="4"/>
    <x v="0"/>
    <x v="1"/>
    <n v="1"/>
    <n v="417"/>
    <x v="0"/>
    <x v="0"/>
    <n v="48"/>
    <n v="4"/>
    <x v="2"/>
    <x v="6"/>
    <x v="2"/>
    <x v="1"/>
    <n v="9613"/>
    <x v="1"/>
    <n v="10942"/>
    <n v="0"/>
    <s v="Y"/>
    <x v="0"/>
    <n v="17"/>
    <n v="3"/>
    <n v="1"/>
    <n v="80"/>
    <n v="3"/>
    <n v="19"/>
    <n v="5"/>
    <x v="3"/>
    <x v="18"/>
    <x v="10"/>
    <n v="3"/>
  </r>
  <r>
    <s v="RM315"/>
    <n v="39"/>
    <x v="2"/>
    <s v="No"/>
    <n v="0"/>
    <s v="Travel_Rarely"/>
    <n v="117"/>
    <x v="0"/>
    <x v="1"/>
    <x v="2"/>
    <x v="1"/>
    <n v="1"/>
    <n v="429"/>
    <x v="0"/>
    <x v="0"/>
    <n v="99"/>
    <n v="3"/>
    <x v="3"/>
    <x v="8"/>
    <x v="3"/>
    <x v="2"/>
    <n v="17068"/>
    <x v="3"/>
    <n v="5355"/>
    <n v="1"/>
    <s v="Y"/>
    <x v="1"/>
    <n v="14"/>
    <n v="3"/>
    <n v="4"/>
    <n v="80"/>
    <n v="0"/>
    <n v="21"/>
    <n v="3"/>
    <x v="0"/>
    <x v="21"/>
    <x v="9"/>
    <n v="11"/>
  </r>
  <r>
    <s v="RM327"/>
    <n v="39"/>
    <x v="2"/>
    <s v="No"/>
    <n v="0"/>
    <s v="Travel_Frequently"/>
    <n v="672"/>
    <x v="0"/>
    <x v="17"/>
    <x v="1"/>
    <x v="1"/>
    <n v="1"/>
    <n v="444"/>
    <x v="0"/>
    <x v="0"/>
    <n v="54"/>
    <n v="2"/>
    <x v="4"/>
    <x v="8"/>
    <x v="2"/>
    <x v="2"/>
    <n v="19272"/>
    <x v="3"/>
    <n v="21141"/>
    <n v="1"/>
    <s v="Y"/>
    <x v="0"/>
    <n v="15"/>
    <n v="3"/>
    <n v="1"/>
    <n v="80"/>
    <n v="1"/>
    <n v="21"/>
    <n v="2"/>
    <x v="0"/>
    <x v="21"/>
    <x v="9"/>
    <n v="13"/>
  </r>
  <r>
    <s v="RM328"/>
    <n v="39"/>
    <x v="2"/>
    <s v="Yes"/>
    <n v="1"/>
    <s v="Travel_Rarely"/>
    <n v="1162"/>
    <x v="1"/>
    <x v="0"/>
    <x v="1"/>
    <x v="1"/>
    <n v="1"/>
    <n v="445"/>
    <x v="1"/>
    <x v="1"/>
    <n v="41"/>
    <n v="3"/>
    <x v="1"/>
    <x v="5"/>
    <x v="0"/>
    <x v="2"/>
    <n v="5238"/>
    <x v="1"/>
    <n v="17778"/>
    <n v="4"/>
    <s v="Y"/>
    <x v="1"/>
    <n v="18"/>
    <n v="3"/>
    <n v="1"/>
    <n v="80"/>
    <n v="0"/>
    <n v="12"/>
    <n v="3"/>
    <x v="3"/>
    <x v="1"/>
    <x v="0"/>
    <n v="0"/>
  </r>
  <r>
    <s v="RM401"/>
    <n v="39"/>
    <x v="2"/>
    <s v="No"/>
    <n v="0"/>
    <s v="Travel_Frequently"/>
    <n v="1218"/>
    <x v="0"/>
    <x v="4"/>
    <x v="2"/>
    <x v="0"/>
    <n v="1"/>
    <n v="531"/>
    <x v="2"/>
    <x v="0"/>
    <n v="52"/>
    <n v="3"/>
    <x v="4"/>
    <x v="8"/>
    <x v="0"/>
    <x v="1"/>
    <n v="19197"/>
    <x v="3"/>
    <n v="8213"/>
    <n v="1"/>
    <s v="Y"/>
    <x v="1"/>
    <n v="14"/>
    <n v="3"/>
    <n v="3"/>
    <n v="80"/>
    <n v="1"/>
    <n v="21"/>
    <n v="3"/>
    <x v="0"/>
    <x v="21"/>
    <x v="7"/>
    <n v="1"/>
  </r>
  <r>
    <s v="RM450"/>
    <n v="39"/>
    <x v="2"/>
    <s v="No"/>
    <n v="0"/>
    <s v="Travel_Frequently"/>
    <n v="443"/>
    <x v="0"/>
    <x v="3"/>
    <x v="2"/>
    <x v="0"/>
    <n v="1"/>
    <n v="602"/>
    <x v="0"/>
    <x v="1"/>
    <n v="48"/>
    <n v="3"/>
    <x v="0"/>
    <x v="0"/>
    <x v="0"/>
    <x v="2"/>
    <n v="3755"/>
    <x v="0"/>
    <n v="17872"/>
    <n v="1"/>
    <s v="Y"/>
    <x v="0"/>
    <n v="11"/>
    <n v="3"/>
    <n v="1"/>
    <n v="80"/>
    <n v="1"/>
    <n v="8"/>
    <n v="3"/>
    <x v="0"/>
    <x v="8"/>
    <x v="3"/>
    <n v="0"/>
  </r>
  <r>
    <s v="RM527"/>
    <n v="39"/>
    <x v="2"/>
    <s v="No"/>
    <n v="0"/>
    <s v="Travel_Rarely"/>
    <n v="408"/>
    <x v="0"/>
    <x v="7"/>
    <x v="3"/>
    <x v="3"/>
    <n v="1"/>
    <n v="721"/>
    <x v="1"/>
    <x v="1"/>
    <n v="80"/>
    <n v="2"/>
    <x v="1"/>
    <x v="6"/>
    <x v="0"/>
    <x v="0"/>
    <n v="4553"/>
    <x v="0"/>
    <n v="20978"/>
    <n v="1"/>
    <s v="Y"/>
    <x v="0"/>
    <n v="11"/>
    <n v="3"/>
    <n v="1"/>
    <n v="80"/>
    <n v="0"/>
    <n v="20"/>
    <n v="4"/>
    <x v="0"/>
    <x v="20"/>
    <x v="6"/>
    <n v="11"/>
  </r>
  <r>
    <s v="RM552"/>
    <n v="39"/>
    <x v="2"/>
    <s v="No"/>
    <n v="0"/>
    <s v="Travel_Rarely"/>
    <n v="141"/>
    <x v="2"/>
    <x v="0"/>
    <x v="0"/>
    <x v="5"/>
    <n v="1"/>
    <n v="760"/>
    <x v="0"/>
    <x v="1"/>
    <n v="44"/>
    <n v="4"/>
    <x v="1"/>
    <x v="3"/>
    <x v="1"/>
    <x v="2"/>
    <n v="6389"/>
    <x v="1"/>
    <n v="18767"/>
    <n v="9"/>
    <s v="Y"/>
    <x v="0"/>
    <n v="15"/>
    <n v="3"/>
    <n v="3"/>
    <n v="80"/>
    <n v="1"/>
    <n v="12"/>
    <n v="3"/>
    <x v="2"/>
    <x v="8"/>
    <x v="3"/>
    <n v="3"/>
  </r>
  <r>
    <s v="RM655"/>
    <n v="39"/>
    <x v="2"/>
    <s v="No"/>
    <n v="0"/>
    <s v="Travel_Rarely"/>
    <n v="1383"/>
    <x v="2"/>
    <x v="7"/>
    <x v="0"/>
    <x v="0"/>
    <n v="1"/>
    <n v="909"/>
    <x v="1"/>
    <x v="1"/>
    <n v="42"/>
    <n v="2"/>
    <x v="1"/>
    <x v="3"/>
    <x v="2"/>
    <x v="2"/>
    <n v="5204"/>
    <x v="1"/>
    <n v="7790"/>
    <n v="8"/>
    <s v="Y"/>
    <x v="0"/>
    <n v="11"/>
    <n v="3"/>
    <n v="3"/>
    <n v="80"/>
    <n v="2"/>
    <n v="13"/>
    <n v="2"/>
    <x v="0"/>
    <x v="5"/>
    <x v="4"/>
    <n v="0"/>
  </r>
  <r>
    <s v="RM670"/>
    <n v="39"/>
    <x v="2"/>
    <s v="Yes"/>
    <n v="1"/>
    <s v="Travel_Rarely"/>
    <n v="1122"/>
    <x v="0"/>
    <x v="11"/>
    <x v="0"/>
    <x v="1"/>
    <n v="1"/>
    <n v="932"/>
    <x v="1"/>
    <x v="0"/>
    <n v="70"/>
    <n v="3"/>
    <x v="0"/>
    <x v="0"/>
    <x v="3"/>
    <x v="2"/>
    <n v="2404"/>
    <x v="0"/>
    <n v="4303"/>
    <n v="7"/>
    <s v="Y"/>
    <x v="1"/>
    <n v="21"/>
    <n v="4"/>
    <n v="4"/>
    <n v="80"/>
    <n v="0"/>
    <n v="8"/>
    <n v="2"/>
    <x v="2"/>
    <x v="2"/>
    <x v="2"/>
    <n v="2"/>
  </r>
  <r>
    <s v="RM706"/>
    <n v="39"/>
    <x v="2"/>
    <s v="No"/>
    <n v="0"/>
    <s v="Travel_Rarely"/>
    <n v="903"/>
    <x v="1"/>
    <x v="7"/>
    <x v="4"/>
    <x v="0"/>
    <n v="1"/>
    <n v="985"/>
    <x v="3"/>
    <x v="0"/>
    <n v="41"/>
    <n v="4"/>
    <x v="2"/>
    <x v="5"/>
    <x v="0"/>
    <x v="0"/>
    <n v="7880"/>
    <x v="1"/>
    <n v="2560"/>
    <n v="0"/>
    <s v="Y"/>
    <x v="0"/>
    <n v="18"/>
    <n v="3"/>
    <n v="4"/>
    <n v="80"/>
    <n v="0"/>
    <n v="9"/>
    <n v="3"/>
    <x v="0"/>
    <x v="8"/>
    <x v="6"/>
    <n v="0"/>
  </r>
  <r>
    <s v="RM739"/>
    <n v="39"/>
    <x v="2"/>
    <s v="No"/>
    <n v="0"/>
    <s v="Travel_Rarely"/>
    <n v="466"/>
    <x v="0"/>
    <x v="4"/>
    <x v="2"/>
    <x v="0"/>
    <n v="1"/>
    <n v="1026"/>
    <x v="1"/>
    <x v="1"/>
    <n v="65"/>
    <n v="2"/>
    <x v="3"/>
    <x v="4"/>
    <x v="2"/>
    <x v="2"/>
    <n v="12742"/>
    <x v="2"/>
    <n v="7060"/>
    <n v="1"/>
    <s v="Y"/>
    <x v="0"/>
    <n v="16"/>
    <n v="3"/>
    <n v="3"/>
    <n v="80"/>
    <n v="1"/>
    <n v="21"/>
    <n v="3"/>
    <x v="0"/>
    <x v="21"/>
    <x v="8"/>
    <n v="11"/>
  </r>
  <r>
    <s v="RM754"/>
    <n v="39"/>
    <x v="2"/>
    <s v="No"/>
    <n v="0"/>
    <s v="Travel_Frequently"/>
    <n v="945"/>
    <x v="0"/>
    <x v="6"/>
    <x v="0"/>
    <x v="1"/>
    <n v="1"/>
    <n v="1043"/>
    <x v="1"/>
    <x v="1"/>
    <n v="82"/>
    <n v="3"/>
    <x v="2"/>
    <x v="4"/>
    <x v="3"/>
    <x v="0"/>
    <n v="10880"/>
    <x v="2"/>
    <n v="5083"/>
    <n v="1"/>
    <s v="Y"/>
    <x v="1"/>
    <n v="13"/>
    <n v="3"/>
    <n v="3"/>
    <n v="80"/>
    <n v="0"/>
    <n v="21"/>
    <n v="2"/>
    <x v="0"/>
    <x v="21"/>
    <x v="8"/>
    <n v="2"/>
  </r>
  <r>
    <s v="RM814"/>
    <n v="39"/>
    <x v="2"/>
    <s v="Yes"/>
    <n v="1"/>
    <s v="Travel_Frequently"/>
    <n v="203"/>
    <x v="0"/>
    <x v="7"/>
    <x v="0"/>
    <x v="0"/>
    <n v="1"/>
    <n v="1127"/>
    <x v="3"/>
    <x v="0"/>
    <n v="84"/>
    <n v="3"/>
    <x v="3"/>
    <x v="6"/>
    <x v="2"/>
    <x v="1"/>
    <n v="12169"/>
    <x v="2"/>
    <n v="13547"/>
    <n v="7"/>
    <s v="Y"/>
    <x v="0"/>
    <n v="11"/>
    <n v="3"/>
    <n v="4"/>
    <n v="80"/>
    <n v="3"/>
    <n v="21"/>
    <n v="4"/>
    <x v="0"/>
    <x v="18"/>
    <x v="6"/>
    <n v="11"/>
  </r>
  <r>
    <s v="RM817"/>
    <n v="39"/>
    <x v="2"/>
    <s v="No"/>
    <n v="0"/>
    <s v="Non-Travel"/>
    <n v="439"/>
    <x v="0"/>
    <x v="9"/>
    <x v="0"/>
    <x v="0"/>
    <n v="1"/>
    <n v="1132"/>
    <x v="0"/>
    <x v="0"/>
    <n v="70"/>
    <n v="3"/>
    <x v="1"/>
    <x v="0"/>
    <x v="1"/>
    <x v="0"/>
    <n v="6782"/>
    <x v="1"/>
    <n v="8770"/>
    <n v="9"/>
    <s v="Y"/>
    <x v="0"/>
    <n v="15"/>
    <n v="3"/>
    <n v="3"/>
    <n v="80"/>
    <n v="0"/>
    <n v="9"/>
    <n v="2"/>
    <x v="3"/>
    <x v="5"/>
    <x v="4"/>
    <n v="0"/>
  </r>
  <r>
    <s v="RM938"/>
    <n v="39"/>
    <x v="2"/>
    <s v="No"/>
    <n v="0"/>
    <s v="Travel_Rarely"/>
    <n v="412"/>
    <x v="0"/>
    <x v="25"/>
    <x v="3"/>
    <x v="1"/>
    <n v="1"/>
    <n v="1307"/>
    <x v="0"/>
    <x v="1"/>
    <n v="94"/>
    <n v="2"/>
    <x v="3"/>
    <x v="8"/>
    <x v="1"/>
    <x v="1"/>
    <n v="17123"/>
    <x v="3"/>
    <n v="17334"/>
    <n v="6"/>
    <s v="Y"/>
    <x v="1"/>
    <n v="13"/>
    <n v="3"/>
    <n v="4"/>
    <n v="80"/>
    <n v="2"/>
    <n v="21"/>
    <n v="4"/>
    <x v="0"/>
    <x v="19"/>
    <x v="9"/>
    <n v="15"/>
  </r>
  <r>
    <s v="RM941"/>
    <n v="39"/>
    <x v="2"/>
    <s v="Yes"/>
    <n v="1"/>
    <s v="Travel_Rarely"/>
    <n v="360"/>
    <x v="0"/>
    <x v="23"/>
    <x v="0"/>
    <x v="1"/>
    <n v="1"/>
    <n v="1310"/>
    <x v="0"/>
    <x v="0"/>
    <n v="93"/>
    <n v="3"/>
    <x v="0"/>
    <x v="2"/>
    <x v="3"/>
    <x v="0"/>
    <n v="3904"/>
    <x v="0"/>
    <n v="22154"/>
    <n v="0"/>
    <s v="Y"/>
    <x v="0"/>
    <n v="13"/>
    <n v="3"/>
    <n v="1"/>
    <n v="80"/>
    <n v="0"/>
    <n v="6"/>
    <n v="2"/>
    <x v="0"/>
    <x v="5"/>
    <x v="2"/>
    <n v="0"/>
  </r>
  <r>
    <s v="RM950"/>
    <n v="39"/>
    <x v="2"/>
    <s v="No"/>
    <n v="0"/>
    <s v="Travel_Rarely"/>
    <n v="524"/>
    <x v="0"/>
    <x v="16"/>
    <x v="1"/>
    <x v="0"/>
    <n v="1"/>
    <n v="1322"/>
    <x v="3"/>
    <x v="0"/>
    <n v="32"/>
    <n v="3"/>
    <x v="1"/>
    <x v="4"/>
    <x v="0"/>
    <x v="0"/>
    <n v="4534"/>
    <x v="0"/>
    <n v="13352"/>
    <n v="0"/>
    <s v="Y"/>
    <x v="0"/>
    <n v="11"/>
    <n v="3"/>
    <n v="1"/>
    <n v="80"/>
    <n v="0"/>
    <n v="9"/>
    <n v="6"/>
    <x v="0"/>
    <x v="8"/>
    <x v="6"/>
    <n v="1"/>
  </r>
  <r>
    <s v="RM987"/>
    <n v="39"/>
    <x v="2"/>
    <s v="No"/>
    <n v="0"/>
    <s v="Travel_Rarely"/>
    <n v="1498"/>
    <x v="1"/>
    <x v="8"/>
    <x v="3"/>
    <x v="0"/>
    <n v="1"/>
    <n v="1390"/>
    <x v="3"/>
    <x v="0"/>
    <n v="44"/>
    <n v="2"/>
    <x v="1"/>
    <x v="5"/>
    <x v="2"/>
    <x v="2"/>
    <n v="6120"/>
    <x v="1"/>
    <n v="3567"/>
    <n v="3"/>
    <s v="Y"/>
    <x v="1"/>
    <n v="12"/>
    <n v="3"/>
    <n v="4"/>
    <n v="80"/>
    <n v="2"/>
    <n v="8"/>
    <n v="2"/>
    <x v="1"/>
    <x v="5"/>
    <x v="4"/>
    <n v="1"/>
  </r>
  <r>
    <s v="RM993"/>
    <n v="39"/>
    <x v="2"/>
    <s v="No"/>
    <n v="0"/>
    <s v="Non-Travel"/>
    <n v="1485"/>
    <x v="0"/>
    <x v="10"/>
    <x v="1"/>
    <x v="0"/>
    <n v="1"/>
    <n v="1397"/>
    <x v="0"/>
    <x v="0"/>
    <n v="71"/>
    <n v="3"/>
    <x v="2"/>
    <x v="6"/>
    <x v="0"/>
    <x v="2"/>
    <n v="10920"/>
    <x v="2"/>
    <n v="3449"/>
    <n v="3"/>
    <s v="Y"/>
    <x v="0"/>
    <n v="21"/>
    <n v="4"/>
    <n v="2"/>
    <n v="80"/>
    <n v="1"/>
    <n v="13"/>
    <n v="2"/>
    <x v="0"/>
    <x v="6"/>
    <x v="4"/>
    <n v="0"/>
  </r>
  <r>
    <s v="RM1033"/>
    <n v="39"/>
    <x v="2"/>
    <s v="Yes"/>
    <n v="1"/>
    <s v="Non-Travel"/>
    <n v="592"/>
    <x v="0"/>
    <x v="7"/>
    <x v="0"/>
    <x v="0"/>
    <n v="1"/>
    <n v="1458"/>
    <x v="3"/>
    <x v="1"/>
    <n v="54"/>
    <n v="2"/>
    <x v="0"/>
    <x v="0"/>
    <x v="3"/>
    <x v="0"/>
    <n v="3646"/>
    <x v="0"/>
    <n v="17181"/>
    <n v="2"/>
    <s v="Y"/>
    <x v="1"/>
    <n v="23"/>
    <n v="4"/>
    <n v="2"/>
    <n v="80"/>
    <n v="0"/>
    <n v="11"/>
    <n v="2"/>
    <x v="1"/>
    <x v="1"/>
    <x v="0"/>
    <n v="0"/>
  </r>
  <r>
    <s v="RM1080"/>
    <n v="39"/>
    <x v="2"/>
    <s v="No"/>
    <n v="0"/>
    <s v="Travel_Rarely"/>
    <n v="1089"/>
    <x v="0"/>
    <x v="11"/>
    <x v="0"/>
    <x v="0"/>
    <n v="1"/>
    <n v="1525"/>
    <x v="2"/>
    <x v="1"/>
    <n v="32"/>
    <n v="3"/>
    <x v="2"/>
    <x v="4"/>
    <x v="1"/>
    <x v="0"/>
    <n v="8376"/>
    <x v="1"/>
    <n v="9150"/>
    <n v="4"/>
    <s v="Y"/>
    <x v="0"/>
    <n v="18"/>
    <n v="3"/>
    <n v="4"/>
    <n v="80"/>
    <n v="0"/>
    <n v="9"/>
    <n v="3"/>
    <x v="0"/>
    <x v="2"/>
    <x v="0"/>
    <n v="2"/>
  </r>
  <r>
    <s v="RM1125"/>
    <n v="39"/>
    <x v="2"/>
    <s v="No"/>
    <n v="0"/>
    <s v="Travel_Rarely"/>
    <n v="1462"/>
    <x v="1"/>
    <x v="11"/>
    <x v="0"/>
    <x v="1"/>
    <n v="1"/>
    <n v="1588"/>
    <x v="1"/>
    <x v="0"/>
    <n v="38"/>
    <n v="4"/>
    <x v="2"/>
    <x v="5"/>
    <x v="0"/>
    <x v="2"/>
    <n v="8237"/>
    <x v="1"/>
    <n v="4658"/>
    <n v="2"/>
    <s v="Y"/>
    <x v="0"/>
    <n v="11"/>
    <n v="3"/>
    <n v="1"/>
    <n v="80"/>
    <n v="1"/>
    <n v="11"/>
    <n v="3"/>
    <x v="0"/>
    <x v="7"/>
    <x v="8"/>
    <n v="7"/>
  </r>
  <r>
    <s v="RM1149"/>
    <n v="39"/>
    <x v="2"/>
    <s v="No"/>
    <n v="0"/>
    <s v="Travel_Rarely"/>
    <n v="1387"/>
    <x v="0"/>
    <x v="1"/>
    <x v="4"/>
    <x v="1"/>
    <n v="1"/>
    <n v="1618"/>
    <x v="2"/>
    <x v="0"/>
    <n v="76"/>
    <n v="3"/>
    <x v="1"/>
    <x v="4"/>
    <x v="3"/>
    <x v="2"/>
    <n v="5377"/>
    <x v="1"/>
    <n v="3835"/>
    <n v="2"/>
    <s v="Y"/>
    <x v="0"/>
    <n v="13"/>
    <n v="3"/>
    <n v="4"/>
    <n v="80"/>
    <n v="3"/>
    <n v="10"/>
    <n v="3"/>
    <x v="0"/>
    <x v="7"/>
    <x v="6"/>
    <n v="7"/>
  </r>
  <r>
    <s v="RM1156"/>
    <n v="39"/>
    <x v="2"/>
    <s v="No"/>
    <n v="0"/>
    <s v="Travel_Rarely"/>
    <n v="170"/>
    <x v="0"/>
    <x v="0"/>
    <x v="1"/>
    <x v="1"/>
    <n v="1"/>
    <n v="1627"/>
    <x v="0"/>
    <x v="0"/>
    <n v="76"/>
    <n v="2"/>
    <x v="1"/>
    <x v="0"/>
    <x v="0"/>
    <x v="1"/>
    <n v="3069"/>
    <x v="0"/>
    <n v="10302"/>
    <n v="0"/>
    <s v="Y"/>
    <x v="0"/>
    <n v="15"/>
    <n v="3"/>
    <n v="4"/>
    <n v="80"/>
    <n v="1"/>
    <n v="11"/>
    <n v="3"/>
    <x v="0"/>
    <x v="10"/>
    <x v="7"/>
    <n v="0"/>
  </r>
  <r>
    <s v="RM1160"/>
    <n v="39"/>
    <x v="2"/>
    <s v="No"/>
    <n v="0"/>
    <s v="Travel_Frequently"/>
    <n v="711"/>
    <x v="0"/>
    <x v="12"/>
    <x v="0"/>
    <x v="1"/>
    <n v="1"/>
    <n v="1633"/>
    <x v="3"/>
    <x v="1"/>
    <n v="81"/>
    <n v="3"/>
    <x v="1"/>
    <x v="4"/>
    <x v="0"/>
    <x v="0"/>
    <n v="5042"/>
    <x v="1"/>
    <n v="3140"/>
    <n v="0"/>
    <s v="Y"/>
    <x v="0"/>
    <n v="13"/>
    <n v="3"/>
    <n v="4"/>
    <n v="80"/>
    <n v="0"/>
    <n v="10"/>
    <n v="2"/>
    <x v="2"/>
    <x v="9"/>
    <x v="2"/>
    <n v="3"/>
  </r>
  <r>
    <s v="RM1176"/>
    <n v="39"/>
    <x v="2"/>
    <s v="No"/>
    <n v="0"/>
    <s v="Travel_Rarely"/>
    <n v="492"/>
    <x v="0"/>
    <x v="15"/>
    <x v="0"/>
    <x v="1"/>
    <n v="1"/>
    <n v="1654"/>
    <x v="1"/>
    <x v="0"/>
    <n v="66"/>
    <n v="3"/>
    <x v="1"/>
    <x v="4"/>
    <x v="1"/>
    <x v="2"/>
    <n v="5295"/>
    <x v="1"/>
    <n v="7693"/>
    <n v="4"/>
    <s v="Y"/>
    <x v="0"/>
    <n v="21"/>
    <n v="4"/>
    <n v="3"/>
    <n v="80"/>
    <n v="0"/>
    <n v="7"/>
    <n v="3"/>
    <x v="0"/>
    <x v="5"/>
    <x v="4"/>
    <n v="1"/>
  </r>
  <r>
    <s v="RM1241"/>
    <n v="39"/>
    <x v="2"/>
    <s v="No"/>
    <n v="0"/>
    <s v="Non-Travel"/>
    <n v="792"/>
    <x v="0"/>
    <x v="4"/>
    <x v="0"/>
    <x v="0"/>
    <n v="1"/>
    <n v="1737"/>
    <x v="1"/>
    <x v="0"/>
    <n v="77"/>
    <n v="3"/>
    <x v="1"/>
    <x v="0"/>
    <x v="2"/>
    <x v="2"/>
    <n v="6472"/>
    <x v="1"/>
    <n v="8989"/>
    <n v="1"/>
    <s v="Y"/>
    <x v="1"/>
    <n v="15"/>
    <n v="3"/>
    <n v="4"/>
    <n v="80"/>
    <n v="1"/>
    <n v="9"/>
    <n v="2"/>
    <x v="0"/>
    <x v="9"/>
    <x v="7"/>
    <n v="5"/>
  </r>
  <r>
    <s v="RM1285"/>
    <n v="39"/>
    <x v="2"/>
    <s v="No"/>
    <n v="0"/>
    <s v="Travel_Rarely"/>
    <n v="1253"/>
    <x v="0"/>
    <x v="1"/>
    <x v="2"/>
    <x v="1"/>
    <n v="1"/>
    <n v="1800"/>
    <x v="0"/>
    <x v="0"/>
    <n v="65"/>
    <n v="3"/>
    <x v="2"/>
    <x v="7"/>
    <x v="0"/>
    <x v="0"/>
    <n v="13464"/>
    <x v="2"/>
    <n v="7914"/>
    <n v="7"/>
    <s v="Y"/>
    <x v="0"/>
    <n v="21"/>
    <n v="4"/>
    <n v="3"/>
    <n v="80"/>
    <n v="0"/>
    <n v="9"/>
    <n v="3"/>
    <x v="0"/>
    <x v="4"/>
    <x v="3"/>
    <n v="2"/>
  </r>
  <r>
    <s v="RM1293"/>
    <n v="39"/>
    <x v="2"/>
    <s v="No"/>
    <n v="0"/>
    <s v="Travel_Frequently"/>
    <n v="766"/>
    <x v="1"/>
    <x v="21"/>
    <x v="0"/>
    <x v="0"/>
    <n v="1"/>
    <n v="1812"/>
    <x v="0"/>
    <x v="0"/>
    <n v="83"/>
    <n v="3"/>
    <x v="1"/>
    <x v="5"/>
    <x v="2"/>
    <x v="1"/>
    <n v="4127"/>
    <x v="0"/>
    <n v="19188"/>
    <n v="2"/>
    <s v="Y"/>
    <x v="0"/>
    <n v="18"/>
    <n v="3"/>
    <n v="4"/>
    <n v="80"/>
    <n v="1"/>
    <n v="7"/>
    <n v="6"/>
    <x v="0"/>
    <x v="2"/>
    <x v="1"/>
    <n v="2"/>
  </r>
  <r>
    <s v="RM1336"/>
    <n v="39"/>
    <x v="2"/>
    <s v="No"/>
    <n v="0"/>
    <s v="Travel_Rarely"/>
    <n v="835"/>
    <x v="0"/>
    <x v="19"/>
    <x v="3"/>
    <x v="4"/>
    <n v="1"/>
    <n v="1871"/>
    <x v="1"/>
    <x v="0"/>
    <n v="41"/>
    <n v="3"/>
    <x v="1"/>
    <x v="2"/>
    <x v="2"/>
    <x v="1"/>
    <n v="3902"/>
    <x v="0"/>
    <n v="5141"/>
    <n v="8"/>
    <s v="Y"/>
    <x v="0"/>
    <n v="14"/>
    <n v="3"/>
    <n v="2"/>
    <n v="80"/>
    <n v="3"/>
    <n v="7"/>
    <n v="2"/>
    <x v="0"/>
    <x v="2"/>
    <x v="2"/>
    <n v="2"/>
  </r>
  <r>
    <s v="RM1367"/>
    <n v="39"/>
    <x v="2"/>
    <s v="No"/>
    <n v="0"/>
    <s v="Non-Travel"/>
    <n v="1251"/>
    <x v="1"/>
    <x v="8"/>
    <x v="3"/>
    <x v="0"/>
    <n v="1"/>
    <n v="1929"/>
    <x v="3"/>
    <x v="1"/>
    <n v="32"/>
    <n v="1"/>
    <x v="1"/>
    <x v="5"/>
    <x v="0"/>
    <x v="2"/>
    <n v="5736"/>
    <x v="1"/>
    <n v="3987"/>
    <n v="6"/>
    <s v="Y"/>
    <x v="0"/>
    <n v="19"/>
    <n v="3"/>
    <n v="3"/>
    <n v="80"/>
    <n v="1"/>
    <n v="10"/>
    <n v="1"/>
    <x v="0"/>
    <x v="3"/>
    <x v="2"/>
    <n v="1"/>
  </r>
  <r>
    <s v="RM1373"/>
    <n v="39"/>
    <x v="2"/>
    <s v="No"/>
    <n v="0"/>
    <s v="Travel_Rarely"/>
    <n v="867"/>
    <x v="0"/>
    <x v="9"/>
    <x v="1"/>
    <x v="1"/>
    <n v="1"/>
    <n v="1936"/>
    <x v="3"/>
    <x v="0"/>
    <n v="87"/>
    <n v="3"/>
    <x v="1"/>
    <x v="4"/>
    <x v="3"/>
    <x v="2"/>
    <n v="5151"/>
    <x v="1"/>
    <n v="12315"/>
    <n v="1"/>
    <s v="Y"/>
    <x v="0"/>
    <n v="25"/>
    <n v="4"/>
    <n v="4"/>
    <n v="80"/>
    <n v="1"/>
    <n v="10"/>
    <n v="3"/>
    <x v="0"/>
    <x v="10"/>
    <x v="0"/>
    <n v="7"/>
  </r>
  <r>
    <s v="RM1404"/>
    <n v="39"/>
    <x v="2"/>
    <s v="No"/>
    <n v="0"/>
    <s v="Travel_Rarely"/>
    <n v="119"/>
    <x v="1"/>
    <x v="14"/>
    <x v="3"/>
    <x v="2"/>
    <n v="1"/>
    <n v="1975"/>
    <x v="2"/>
    <x v="0"/>
    <n v="77"/>
    <n v="3"/>
    <x v="3"/>
    <x v="5"/>
    <x v="3"/>
    <x v="0"/>
    <n v="13341"/>
    <x v="2"/>
    <n v="25098"/>
    <n v="0"/>
    <s v="Y"/>
    <x v="0"/>
    <n v="12"/>
    <n v="3"/>
    <n v="1"/>
    <n v="80"/>
    <n v="0"/>
    <n v="21"/>
    <n v="3"/>
    <x v="0"/>
    <x v="20"/>
    <x v="7"/>
    <n v="11"/>
  </r>
  <r>
    <s v="RM1430"/>
    <n v="39"/>
    <x v="2"/>
    <s v="No"/>
    <n v="0"/>
    <s v="Travel_Rarely"/>
    <n v="116"/>
    <x v="0"/>
    <x v="22"/>
    <x v="2"/>
    <x v="0"/>
    <n v="1"/>
    <n v="2014"/>
    <x v="3"/>
    <x v="0"/>
    <n v="52"/>
    <n v="3"/>
    <x v="1"/>
    <x v="2"/>
    <x v="2"/>
    <x v="0"/>
    <n v="4108"/>
    <x v="0"/>
    <n v="5340"/>
    <n v="7"/>
    <s v="Y"/>
    <x v="0"/>
    <n v="13"/>
    <n v="3"/>
    <n v="1"/>
    <n v="80"/>
    <n v="0"/>
    <n v="18"/>
    <n v="2"/>
    <x v="0"/>
    <x v="7"/>
    <x v="6"/>
    <n v="1"/>
  </r>
  <r>
    <s v="RM1438"/>
    <n v="39"/>
    <x v="2"/>
    <s v="No"/>
    <n v="0"/>
    <s v="Non-Travel"/>
    <n v="105"/>
    <x v="0"/>
    <x v="9"/>
    <x v="0"/>
    <x v="0"/>
    <n v="1"/>
    <n v="2022"/>
    <x v="1"/>
    <x v="0"/>
    <n v="87"/>
    <n v="3"/>
    <x v="4"/>
    <x v="8"/>
    <x v="2"/>
    <x v="0"/>
    <n v="19431"/>
    <x v="3"/>
    <n v="15302"/>
    <n v="2"/>
    <s v="Y"/>
    <x v="0"/>
    <n v="13"/>
    <n v="3"/>
    <n v="3"/>
    <n v="80"/>
    <n v="0"/>
    <n v="21"/>
    <n v="3"/>
    <x v="3"/>
    <x v="6"/>
    <x v="0"/>
    <n v="1"/>
  </r>
  <r>
    <s v="RM1463"/>
    <n v="39"/>
    <x v="2"/>
    <s v="No"/>
    <n v="0"/>
    <s v="Travel_Rarely"/>
    <n v="722"/>
    <x v="1"/>
    <x v="22"/>
    <x v="2"/>
    <x v="2"/>
    <n v="1"/>
    <n v="2056"/>
    <x v="2"/>
    <x v="1"/>
    <n v="60"/>
    <n v="2"/>
    <x v="3"/>
    <x v="5"/>
    <x v="2"/>
    <x v="2"/>
    <n v="12031"/>
    <x v="2"/>
    <n v="8828"/>
    <n v="0"/>
    <s v="Y"/>
    <x v="0"/>
    <n v="11"/>
    <n v="3"/>
    <n v="1"/>
    <n v="80"/>
    <n v="1"/>
    <n v="21"/>
    <n v="2"/>
    <x v="3"/>
    <x v="20"/>
    <x v="9"/>
    <n v="9"/>
  </r>
  <r>
    <s v="RM1467"/>
    <n v="39"/>
    <x v="2"/>
    <s v="No"/>
    <n v="0"/>
    <s v="Travel_Rarely"/>
    <n v="613"/>
    <x v="0"/>
    <x v="11"/>
    <x v="2"/>
    <x v="1"/>
    <n v="1"/>
    <n v="2062"/>
    <x v="1"/>
    <x v="0"/>
    <n v="42"/>
    <n v="2"/>
    <x v="2"/>
    <x v="6"/>
    <x v="3"/>
    <x v="2"/>
    <n v="9991"/>
    <x v="1"/>
    <n v="21457"/>
    <n v="4"/>
    <s v="Y"/>
    <x v="0"/>
    <n v="15"/>
    <n v="3"/>
    <n v="1"/>
    <n v="80"/>
    <n v="1"/>
    <n v="9"/>
    <n v="5"/>
    <x v="0"/>
    <x v="7"/>
    <x v="6"/>
    <n v="1"/>
  </r>
  <r>
    <s v="RM091"/>
    <n v="40"/>
    <x v="2"/>
    <s v="No"/>
    <n v="0"/>
    <s v="Travel_Frequently"/>
    <n v="530"/>
    <x v="0"/>
    <x v="4"/>
    <x v="3"/>
    <x v="0"/>
    <n v="1"/>
    <n v="119"/>
    <x v="0"/>
    <x v="0"/>
    <n v="78"/>
    <n v="2"/>
    <x v="3"/>
    <x v="6"/>
    <x v="1"/>
    <x v="2"/>
    <n v="13503"/>
    <x v="2"/>
    <n v="14115"/>
    <n v="1"/>
    <s v="Y"/>
    <x v="0"/>
    <n v="22"/>
    <n v="4"/>
    <n v="4"/>
    <n v="80"/>
    <n v="1"/>
    <n v="22"/>
    <n v="3"/>
    <x v="3"/>
    <x v="22"/>
    <x v="3"/>
    <n v="11"/>
  </r>
  <r>
    <s v="RM151"/>
    <n v="40"/>
    <x v="2"/>
    <s v="No"/>
    <n v="0"/>
    <s v="Travel_Frequently"/>
    <n v="1395"/>
    <x v="0"/>
    <x v="20"/>
    <x v="0"/>
    <x v="1"/>
    <n v="1"/>
    <n v="202"/>
    <x v="2"/>
    <x v="1"/>
    <n v="54"/>
    <n v="3"/>
    <x v="1"/>
    <x v="2"/>
    <x v="1"/>
    <x v="1"/>
    <n v="5605"/>
    <x v="1"/>
    <n v="8504"/>
    <n v="1"/>
    <s v="Y"/>
    <x v="0"/>
    <n v="11"/>
    <n v="3"/>
    <n v="1"/>
    <n v="80"/>
    <n v="1"/>
    <n v="20"/>
    <n v="2"/>
    <x v="0"/>
    <x v="20"/>
    <x v="6"/>
    <n v="2"/>
  </r>
  <r>
    <s v="RM159"/>
    <n v="40"/>
    <x v="2"/>
    <s v="No"/>
    <n v="0"/>
    <s v="Travel_Rarely"/>
    <n v="630"/>
    <x v="1"/>
    <x v="12"/>
    <x v="3"/>
    <x v="2"/>
    <n v="1"/>
    <n v="215"/>
    <x v="0"/>
    <x v="0"/>
    <n v="67"/>
    <n v="2"/>
    <x v="2"/>
    <x v="5"/>
    <x v="2"/>
    <x v="2"/>
    <n v="10855"/>
    <x v="2"/>
    <n v="8552"/>
    <n v="7"/>
    <s v="Y"/>
    <x v="0"/>
    <n v="11"/>
    <n v="3"/>
    <n v="1"/>
    <n v="80"/>
    <n v="1"/>
    <n v="15"/>
    <n v="2"/>
    <x v="3"/>
    <x v="12"/>
    <x v="14"/>
    <n v="2"/>
  </r>
  <r>
    <s v="RM187"/>
    <n v="40"/>
    <x v="2"/>
    <s v="No"/>
    <n v="0"/>
    <s v="Travel_Rarely"/>
    <n v="989"/>
    <x v="0"/>
    <x v="12"/>
    <x v="2"/>
    <x v="1"/>
    <n v="1"/>
    <n v="253"/>
    <x v="1"/>
    <x v="1"/>
    <n v="46"/>
    <n v="3"/>
    <x v="4"/>
    <x v="8"/>
    <x v="0"/>
    <x v="2"/>
    <n v="19033"/>
    <x v="3"/>
    <n v="6499"/>
    <n v="1"/>
    <s v="Y"/>
    <x v="0"/>
    <n v="14"/>
    <n v="3"/>
    <n v="2"/>
    <n v="80"/>
    <n v="1"/>
    <n v="21"/>
    <n v="2"/>
    <x v="0"/>
    <x v="20"/>
    <x v="7"/>
    <n v="9"/>
  </r>
  <r>
    <s v="RM204"/>
    <n v="40"/>
    <x v="2"/>
    <s v="No"/>
    <n v="0"/>
    <s v="Travel_Rarely"/>
    <n v="905"/>
    <x v="0"/>
    <x v="19"/>
    <x v="1"/>
    <x v="1"/>
    <n v="1"/>
    <n v="281"/>
    <x v="0"/>
    <x v="0"/>
    <n v="99"/>
    <n v="3"/>
    <x v="1"/>
    <x v="0"/>
    <x v="2"/>
    <x v="2"/>
    <n v="2741"/>
    <x v="0"/>
    <n v="16523"/>
    <n v="8"/>
    <s v="Y"/>
    <x v="1"/>
    <n v="15"/>
    <n v="3"/>
    <n v="3"/>
    <n v="80"/>
    <n v="1"/>
    <n v="15"/>
    <n v="2"/>
    <x v="1"/>
    <x v="7"/>
    <x v="2"/>
    <n v="3"/>
  </r>
  <r>
    <s v="RM209"/>
    <n v="40"/>
    <x v="2"/>
    <s v="No"/>
    <n v="0"/>
    <s v="Non-Travel"/>
    <n v="1151"/>
    <x v="0"/>
    <x v="9"/>
    <x v="4"/>
    <x v="0"/>
    <n v="1"/>
    <n v="287"/>
    <x v="1"/>
    <x v="0"/>
    <n v="63"/>
    <n v="2"/>
    <x v="1"/>
    <x v="6"/>
    <x v="2"/>
    <x v="2"/>
    <n v="4876"/>
    <x v="0"/>
    <n v="14242"/>
    <n v="9"/>
    <s v="Y"/>
    <x v="0"/>
    <n v="14"/>
    <n v="3"/>
    <n v="4"/>
    <n v="80"/>
    <n v="1"/>
    <n v="5"/>
    <n v="5"/>
    <x v="2"/>
    <x v="3"/>
    <x v="2"/>
    <n v="0"/>
  </r>
  <r>
    <s v="RM244"/>
    <n v="40"/>
    <x v="2"/>
    <s v="No"/>
    <n v="0"/>
    <s v="Travel_Rarely"/>
    <n v="1300"/>
    <x v="0"/>
    <x v="22"/>
    <x v="1"/>
    <x v="3"/>
    <n v="1"/>
    <n v="335"/>
    <x v="3"/>
    <x v="0"/>
    <n v="62"/>
    <n v="3"/>
    <x v="1"/>
    <x v="2"/>
    <x v="2"/>
    <x v="1"/>
    <n v="3319"/>
    <x v="0"/>
    <n v="24447"/>
    <n v="1"/>
    <s v="Y"/>
    <x v="0"/>
    <n v="17"/>
    <n v="3"/>
    <n v="1"/>
    <n v="80"/>
    <n v="2"/>
    <n v="9"/>
    <n v="3"/>
    <x v="0"/>
    <x v="9"/>
    <x v="7"/>
    <n v="4"/>
  </r>
  <r>
    <s v="RM258"/>
    <n v="40"/>
    <x v="2"/>
    <s v="No"/>
    <n v="0"/>
    <s v="Travel_Rarely"/>
    <n v="1416"/>
    <x v="0"/>
    <x v="7"/>
    <x v="1"/>
    <x v="1"/>
    <n v="1"/>
    <n v="352"/>
    <x v="3"/>
    <x v="0"/>
    <n v="49"/>
    <n v="3"/>
    <x v="4"/>
    <x v="7"/>
    <x v="0"/>
    <x v="1"/>
    <n v="19436"/>
    <x v="3"/>
    <n v="5949"/>
    <n v="0"/>
    <s v="Y"/>
    <x v="0"/>
    <n v="19"/>
    <n v="3"/>
    <n v="4"/>
    <n v="80"/>
    <n v="1"/>
    <n v="22"/>
    <n v="5"/>
    <x v="0"/>
    <x v="21"/>
    <x v="6"/>
    <n v="3"/>
  </r>
  <r>
    <s v="RM336"/>
    <n v="40"/>
    <x v="2"/>
    <s v="No"/>
    <n v="0"/>
    <s v="Travel_Rarely"/>
    <n v="1124"/>
    <x v="1"/>
    <x v="4"/>
    <x v="1"/>
    <x v="1"/>
    <n v="1"/>
    <n v="453"/>
    <x v="2"/>
    <x v="0"/>
    <n v="57"/>
    <n v="1"/>
    <x v="1"/>
    <x v="5"/>
    <x v="2"/>
    <x v="2"/>
    <n v="7457"/>
    <x v="1"/>
    <n v="13273"/>
    <n v="2"/>
    <s v="Y"/>
    <x v="1"/>
    <n v="22"/>
    <n v="4"/>
    <n v="3"/>
    <n v="80"/>
    <n v="3"/>
    <n v="6"/>
    <n v="2"/>
    <x v="3"/>
    <x v="4"/>
    <x v="3"/>
    <n v="0"/>
  </r>
  <r>
    <s v="RM362"/>
    <n v="40"/>
    <x v="2"/>
    <s v="No"/>
    <n v="0"/>
    <s v="Travel_Rarely"/>
    <n v="1171"/>
    <x v="0"/>
    <x v="1"/>
    <x v="3"/>
    <x v="0"/>
    <n v="1"/>
    <n v="483"/>
    <x v="1"/>
    <x v="1"/>
    <n v="46"/>
    <n v="4"/>
    <x v="0"/>
    <x v="0"/>
    <x v="0"/>
    <x v="2"/>
    <n v="2213"/>
    <x v="0"/>
    <n v="22495"/>
    <n v="3"/>
    <s v="Y"/>
    <x v="1"/>
    <n v="13"/>
    <n v="3"/>
    <n v="3"/>
    <n v="80"/>
    <n v="1"/>
    <n v="10"/>
    <n v="3"/>
    <x v="0"/>
    <x v="7"/>
    <x v="6"/>
    <n v="1"/>
  </r>
  <r>
    <s v="RM369"/>
    <n v="40"/>
    <x v="2"/>
    <s v="Yes"/>
    <n v="1"/>
    <s v="Travel_Rarely"/>
    <n v="575"/>
    <x v="1"/>
    <x v="6"/>
    <x v="1"/>
    <x v="2"/>
    <n v="1"/>
    <n v="492"/>
    <x v="0"/>
    <x v="0"/>
    <n v="68"/>
    <n v="2"/>
    <x v="1"/>
    <x v="5"/>
    <x v="0"/>
    <x v="2"/>
    <n v="6380"/>
    <x v="1"/>
    <n v="6110"/>
    <n v="2"/>
    <s v="Y"/>
    <x v="1"/>
    <n v="12"/>
    <n v="3"/>
    <n v="1"/>
    <n v="80"/>
    <n v="2"/>
    <n v="8"/>
    <n v="6"/>
    <x v="0"/>
    <x v="6"/>
    <x v="4"/>
    <n v="1"/>
  </r>
  <r>
    <s v="RM388"/>
    <n v="40"/>
    <x v="2"/>
    <s v="No"/>
    <n v="0"/>
    <s v="Travel_Rarely"/>
    <n v="759"/>
    <x v="1"/>
    <x v="7"/>
    <x v="1"/>
    <x v="2"/>
    <n v="1"/>
    <n v="516"/>
    <x v="1"/>
    <x v="1"/>
    <n v="46"/>
    <n v="3"/>
    <x v="1"/>
    <x v="5"/>
    <x v="1"/>
    <x v="1"/>
    <n v="5715"/>
    <x v="1"/>
    <n v="22553"/>
    <n v="7"/>
    <s v="Y"/>
    <x v="0"/>
    <n v="12"/>
    <n v="3"/>
    <n v="3"/>
    <n v="80"/>
    <n v="2"/>
    <n v="8"/>
    <n v="5"/>
    <x v="0"/>
    <x v="5"/>
    <x v="4"/>
    <n v="1"/>
  </r>
  <r>
    <s v="RM392"/>
    <n v="40"/>
    <x v="2"/>
    <s v="No"/>
    <n v="0"/>
    <s v="Travel_Rarely"/>
    <n v="555"/>
    <x v="0"/>
    <x v="7"/>
    <x v="0"/>
    <x v="1"/>
    <n v="1"/>
    <n v="521"/>
    <x v="2"/>
    <x v="1"/>
    <n v="78"/>
    <n v="2"/>
    <x v="1"/>
    <x v="0"/>
    <x v="0"/>
    <x v="2"/>
    <n v="3448"/>
    <x v="0"/>
    <n v="13436"/>
    <n v="6"/>
    <s v="Y"/>
    <x v="0"/>
    <n v="22"/>
    <n v="4"/>
    <n v="2"/>
    <n v="80"/>
    <n v="1"/>
    <n v="20"/>
    <n v="3"/>
    <x v="0"/>
    <x v="1"/>
    <x v="0"/>
    <n v="0"/>
  </r>
  <r>
    <s v="RM418"/>
    <n v="40"/>
    <x v="2"/>
    <s v="No"/>
    <n v="0"/>
    <s v="Travel_Rarely"/>
    <n v="1398"/>
    <x v="1"/>
    <x v="7"/>
    <x v="3"/>
    <x v="0"/>
    <n v="1"/>
    <n v="558"/>
    <x v="0"/>
    <x v="1"/>
    <n v="79"/>
    <n v="3"/>
    <x v="4"/>
    <x v="8"/>
    <x v="0"/>
    <x v="2"/>
    <n v="18041"/>
    <x v="3"/>
    <n v="13022"/>
    <n v="0"/>
    <s v="Y"/>
    <x v="0"/>
    <n v="14"/>
    <n v="3"/>
    <n v="4"/>
    <n v="80"/>
    <n v="0"/>
    <n v="21"/>
    <n v="2"/>
    <x v="0"/>
    <x v="20"/>
    <x v="15"/>
    <n v="1"/>
  </r>
  <r>
    <s v="RM449"/>
    <n v="40"/>
    <x v="2"/>
    <s v="No"/>
    <n v="0"/>
    <s v="Travel_Rarely"/>
    <n v="302"/>
    <x v="0"/>
    <x v="11"/>
    <x v="0"/>
    <x v="0"/>
    <n v="1"/>
    <n v="601"/>
    <x v="2"/>
    <x v="1"/>
    <n v="75"/>
    <n v="3"/>
    <x v="3"/>
    <x v="4"/>
    <x v="0"/>
    <x v="0"/>
    <n v="13237"/>
    <x v="2"/>
    <n v="20364"/>
    <n v="7"/>
    <s v="Y"/>
    <x v="0"/>
    <n v="15"/>
    <n v="3"/>
    <n v="3"/>
    <n v="80"/>
    <n v="0"/>
    <n v="22"/>
    <n v="3"/>
    <x v="0"/>
    <x v="20"/>
    <x v="8"/>
    <n v="5"/>
  </r>
  <r>
    <s v="RM459"/>
    <n v="40"/>
    <x v="2"/>
    <s v="No"/>
    <n v="0"/>
    <s v="Non-Travel"/>
    <n v="1094"/>
    <x v="1"/>
    <x v="27"/>
    <x v="0"/>
    <x v="4"/>
    <n v="1"/>
    <n v="615"/>
    <x v="0"/>
    <x v="0"/>
    <n v="58"/>
    <n v="1"/>
    <x v="2"/>
    <x v="5"/>
    <x v="3"/>
    <x v="1"/>
    <n v="10932"/>
    <x v="2"/>
    <n v="11373"/>
    <n v="3"/>
    <s v="Y"/>
    <x v="0"/>
    <n v="15"/>
    <n v="3"/>
    <n v="3"/>
    <n v="80"/>
    <n v="1"/>
    <n v="20"/>
    <n v="2"/>
    <x v="0"/>
    <x v="1"/>
    <x v="0"/>
    <n v="0"/>
  </r>
  <r>
    <s v="RM534"/>
    <n v="40"/>
    <x v="2"/>
    <s v="No"/>
    <n v="0"/>
    <s v="Travel_Frequently"/>
    <n v="580"/>
    <x v="1"/>
    <x v="2"/>
    <x v="3"/>
    <x v="0"/>
    <n v="1"/>
    <n v="729"/>
    <x v="1"/>
    <x v="0"/>
    <n v="48"/>
    <n v="2"/>
    <x v="2"/>
    <x v="5"/>
    <x v="3"/>
    <x v="2"/>
    <n v="10475"/>
    <x v="2"/>
    <n v="23772"/>
    <n v="5"/>
    <s v="Y"/>
    <x v="1"/>
    <n v="21"/>
    <n v="4"/>
    <n v="3"/>
    <n v="80"/>
    <n v="1"/>
    <n v="20"/>
    <n v="2"/>
    <x v="0"/>
    <x v="18"/>
    <x v="12"/>
    <n v="1"/>
  </r>
  <r>
    <s v="RM554"/>
    <n v="40"/>
    <x v="2"/>
    <s v="No"/>
    <n v="0"/>
    <s v="Travel_Rarely"/>
    <n v="804"/>
    <x v="0"/>
    <x v="7"/>
    <x v="2"/>
    <x v="1"/>
    <n v="1"/>
    <n v="763"/>
    <x v="1"/>
    <x v="1"/>
    <n v="86"/>
    <n v="2"/>
    <x v="0"/>
    <x v="2"/>
    <x v="2"/>
    <x v="0"/>
    <n v="2342"/>
    <x v="0"/>
    <n v="22929"/>
    <n v="0"/>
    <s v="Y"/>
    <x v="1"/>
    <n v="20"/>
    <n v="4"/>
    <n v="4"/>
    <n v="80"/>
    <n v="0"/>
    <n v="5"/>
    <n v="2"/>
    <x v="3"/>
    <x v="4"/>
    <x v="2"/>
    <n v="2"/>
  </r>
  <r>
    <s v="RM583"/>
    <n v="40"/>
    <x v="2"/>
    <s v="No"/>
    <n v="0"/>
    <s v="Travel_Frequently"/>
    <n v="791"/>
    <x v="0"/>
    <x v="7"/>
    <x v="1"/>
    <x v="1"/>
    <n v="1"/>
    <n v="807"/>
    <x v="0"/>
    <x v="1"/>
    <n v="38"/>
    <n v="4"/>
    <x v="1"/>
    <x v="6"/>
    <x v="1"/>
    <x v="2"/>
    <n v="4244"/>
    <x v="0"/>
    <n v="9931"/>
    <n v="1"/>
    <s v="Y"/>
    <x v="0"/>
    <n v="24"/>
    <n v="4"/>
    <n v="4"/>
    <n v="80"/>
    <n v="1"/>
    <n v="8"/>
    <n v="2"/>
    <x v="0"/>
    <x v="8"/>
    <x v="6"/>
    <n v="3"/>
  </r>
  <r>
    <s v="RM602"/>
    <n v="40"/>
    <x v="2"/>
    <s v="No"/>
    <n v="0"/>
    <s v="Travel_Frequently"/>
    <n v="720"/>
    <x v="0"/>
    <x v="18"/>
    <x v="3"/>
    <x v="1"/>
    <n v="1"/>
    <n v="832"/>
    <x v="3"/>
    <x v="0"/>
    <n v="51"/>
    <n v="2"/>
    <x v="1"/>
    <x v="0"/>
    <x v="0"/>
    <x v="0"/>
    <n v="5094"/>
    <x v="1"/>
    <n v="11983"/>
    <n v="6"/>
    <s v="Y"/>
    <x v="0"/>
    <n v="14"/>
    <n v="3"/>
    <n v="4"/>
    <n v="80"/>
    <n v="0"/>
    <n v="10"/>
    <n v="6"/>
    <x v="0"/>
    <x v="1"/>
    <x v="0"/>
    <n v="0"/>
  </r>
  <r>
    <s v="RM685"/>
    <n v="40"/>
    <x v="2"/>
    <s v="No"/>
    <n v="0"/>
    <s v="Travel_Rarely"/>
    <n v="658"/>
    <x v="1"/>
    <x v="1"/>
    <x v="3"/>
    <x v="2"/>
    <n v="1"/>
    <n v="954"/>
    <x v="3"/>
    <x v="0"/>
    <n v="67"/>
    <n v="2"/>
    <x v="2"/>
    <x v="5"/>
    <x v="1"/>
    <x v="1"/>
    <n v="9705"/>
    <x v="1"/>
    <n v="20652"/>
    <n v="2"/>
    <s v="Y"/>
    <x v="0"/>
    <n v="12"/>
    <n v="3"/>
    <n v="2"/>
    <n v="80"/>
    <n v="1"/>
    <n v="11"/>
    <n v="2"/>
    <x v="3"/>
    <x v="1"/>
    <x v="0"/>
    <n v="0"/>
  </r>
  <r>
    <s v="RM692"/>
    <n v="40"/>
    <x v="2"/>
    <s v="No"/>
    <n v="0"/>
    <s v="Travel_Frequently"/>
    <n v="1469"/>
    <x v="0"/>
    <x v="9"/>
    <x v="3"/>
    <x v="1"/>
    <n v="1"/>
    <n v="964"/>
    <x v="1"/>
    <x v="0"/>
    <n v="35"/>
    <n v="3"/>
    <x v="0"/>
    <x v="2"/>
    <x v="1"/>
    <x v="1"/>
    <n v="3617"/>
    <x v="0"/>
    <n v="25063"/>
    <n v="8"/>
    <s v="Y"/>
    <x v="1"/>
    <n v="14"/>
    <n v="3"/>
    <n v="4"/>
    <n v="80"/>
    <n v="1"/>
    <n v="3"/>
    <n v="2"/>
    <x v="0"/>
    <x v="1"/>
    <x v="1"/>
    <n v="0"/>
  </r>
  <r>
    <s v="RM707"/>
    <n v="40"/>
    <x v="2"/>
    <s v="Yes"/>
    <n v="1"/>
    <s v="Non-Travel"/>
    <n v="1479"/>
    <x v="1"/>
    <x v="22"/>
    <x v="0"/>
    <x v="0"/>
    <n v="1"/>
    <n v="986"/>
    <x v="2"/>
    <x v="1"/>
    <n v="100"/>
    <n v="4"/>
    <x v="3"/>
    <x v="5"/>
    <x v="1"/>
    <x v="0"/>
    <n v="13194"/>
    <x v="2"/>
    <n v="17071"/>
    <n v="4"/>
    <s v="Y"/>
    <x v="1"/>
    <n v="16"/>
    <n v="3"/>
    <n v="4"/>
    <n v="80"/>
    <n v="0"/>
    <n v="22"/>
    <n v="2"/>
    <x v="3"/>
    <x v="1"/>
    <x v="0"/>
    <n v="0"/>
  </r>
  <r>
    <s v="RM769"/>
    <n v="40"/>
    <x v="2"/>
    <s v="No"/>
    <n v="0"/>
    <s v="Travel_Rarely"/>
    <n v="300"/>
    <x v="1"/>
    <x v="20"/>
    <x v="0"/>
    <x v="2"/>
    <n v="1"/>
    <n v="1066"/>
    <x v="0"/>
    <x v="0"/>
    <n v="74"/>
    <n v="3"/>
    <x v="1"/>
    <x v="5"/>
    <x v="3"/>
    <x v="2"/>
    <n v="8396"/>
    <x v="1"/>
    <n v="22217"/>
    <n v="1"/>
    <s v="Y"/>
    <x v="0"/>
    <n v="14"/>
    <n v="3"/>
    <n v="2"/>
    <n v="80"/>
    <n v="1"/>
    <n v="8"/>
    <n v="3"/>
    <x v="3"/>
    <x v="7"/>
    <x v="6"/>
    <n v="7"/>
  </r>
  <r>
    <s v="RM786"/>
    <n v="40"/>
    <x v="2"/>
    <s v="No"/>
    <n v="0"/>
    <s v="Travel_Rarely"/>
    <n v="1492"/>
    <x v="0"/>
    <x v="21"/>
    <x v="3"/>
    <x v="3"/>
    <n v="1"/>
    <n v="1092"/>
    <x v="3"/>
    <x v="0"/>
    <n v="61"/>
    <n v="3"/>
    <x v="2"/>
    <x v="6"/>
    <x v="2"/>
    <x v="2"/>
    <n v="10322"/>
    <x v="2"/>
    <n v="26542"/>
    <n v="4"/>
    <s v="Y"/>
    <x v="0"/>
    <n v="20"/>
    <n v="4"/>
    <n v="4"/>
    <n v="80"/>
    <n v="1"/>
    <n v="14"/>
    <n v="6"/>
    <x v="0"/>
    <x v="11"/>
    <x v="10"/>
    <n v="11"/>
  </r>
  <r>
    <s v="RM815"/>
    <n v="40"/>
    <x v="2"/>
    <s v="No"/>
    <n v="0"/>
    <s v="Travel_Rarely"/>
    <n v="1308"/>
    <x v="0"/>
    <x v="5"/>
    <x v="0"/>
    <x v="1"/>
    <n v="1"/>
    <n v="1128"/>
    <x v="0"/>
    <x v="0"/>
    <n v="44"/>
    <n v="2"/>
    <x v="4"/>
    <x v="7"/>
    <x v="0"/>
    <x v="0"/>
    <n v="19626"/>
    <x v="3"/>
    <n v="17544"/>
    <n v="1"/>
    <s v="Y"/>
    <x v="0"/>
    <n v="14"/>
    <n v="3"/>
    <n v="1"/>
    <n v="80"/>
    <n v="0"/>
    <n v="21"/>
    <n v="2"/>
    <x v="1"/>
    <x v="20"/>
    <x v="6"/>
    <n v="4"/>
  </r>
  <r>
    <s v="RM838"/>
    <n v="40"/>
    <x v="2"/>
    <s v="No"/>
    <n v="0"/>
    <s v="Travel_Frequently"/>
    <n v="593"/>
    <x v="0"/>
    <x v="9"/>
    <x v="3"/>
    <x v="1"/>
    <n v="1"/>
    <n v="1166"/>
    <x v="2"/>
    <x v="1"/>
    <n v="88"/>
    <n v="3"/>
    <x v="2"/>
    <x v="7"/>
    <x v="0"/>
    <x v="0"/>
    <n v="13499"/>
    <x v="2"/>
    <n v="13782"/>
    <n v="9"/>
    <s v="Y"/>
    <x v="0"/>
    <n v="17"/>
    <n v="3"/>
    <n v="3"/>
    <n v="80"/>
    <n v="0"/>
    <n v="20"/>
    <n v="3"/>
    <x v="3"/>
    <x v="18"/>
    <x v="6"/>
    <n v="2"/>
  </r>
  <r>
    <s v="RM846"/>
    <n v="40"/>
    <x v="2"/>
    <s v="No"/>
    <n v="0"/>
    <s v="Travel_Frequently"/>
    <n v="902"/>
    <x v="0"/>
    <x v="20"/>
    <x v="1"/>
    <x v="1"/>
    <n v="1"/>
    <n v="1180"/>
    <x v="0"/>
    <x v="1"/>
    <n v="92"/>
    <n v="2"/>
    <x v="1"/>
    <x v="2"/>
    <x v="2"/>
    <x v="2"/>
    <n v="4422"/>
    <x v="0"/>
    <n v="21203"/>
    <n v="3"/>
    <s v="Y"/>
    <x v="1"/>
    <n v="13"/>
    <n v="3"/>
    <n v="4"/>
    <n v="80"/>
    <n v="1"/>
    <n v="16"/>
    <n v="3"/>
    <x v="2"/>
    <x v="1"/>
    <x v="1"/>
    <n v="0"/>
  </r>
  <r>
    <s v="RM867"/>
    <n v="40"/>
    <x v="2"/>
    <s v="No"/>
    <n v="0"/>
    <s v="Travel_Frequently"/>
    <n v="1184"/>
    <x v="1"/>
    <x v="7"/>
    <x v="3"/>
    <x v="1"/>
    <n v="1"/>
    <n v="1212"/>
    <x v="2"/>
    <x v="0"/>
    <n v="62"/>
    <n v="3"/>
    <x v="1"/>
    <x v="5"/>
    <x v="1"/>
    <x v="2"/>
    <n v="4327"/>
    <x v="0"/>
    <n v="25440"/>
    <n v="5"/>
    <s v="Y"/>
    <x v="0"/>
    <n v="12"/>
    <n v="3"/>
    <n v="4"/>
    <n v="80"/>
    <n v="3"/>
    <n v="5"/>
    <n v="2"/>
    <x v="0"/>
    <x v="0"/>
    <x v="0"/>
    <n v="0"/>
  </r>
  <r>
    <s v="RM885"/>
    <n v="40"/>
    <x v="2"/>
    <s v="No"/>
    <n v="0"/>
    <s v="Travel_Rarely"/>
    <n v="107"/>
    <x v="1"/>
    <x v="1"/>
    <x v="0"/>
    <x v="3"/>
    <n v="1"/>
    <n v="1239"/>
    <x v="2"/>
    <x v="1"/>
    <n v="84"/>
    <n v="2"/>
    <x v="1"/>
    <x v="5"/>
    <x v="1"/>
    <x v="1"/>
    <n v="6852"/>
    <x v="1"/>
    <n v="11591"/>
    <n v="7"/>
    <s v="Y"/>
    <x v="0"/>
    <n v="12"/>
    <n v="3"/>
    <n v="2"/>
    <n v="80"/>
    <n v="1"/>
    <n v="7"/>
    <n v="2"/>
    <x v="1"/>
    <x v="5"/>
    <x v="1"/>
    <n v="1"/>
  </r>
  <r>
    <s v="RM947"/>
    <n v="40"/>
    <x v="2"/>
    <s v="Yes"/>
    <n v="1"/>
    <s v="Travel_Rarely"/>
    <n v="299"/>
    <x v="1"/>
    <x v="10"/>
    <x v="3"/>
    <x v="2"/>
    <n v="1"/>
    <n v="1318"/>
    <x v="1"/>
    <x v="0"/>
    <n v="57"/>
    <n v="2"/>
    <x v="2"/>
    <x v="5"/>
    <x v="1"/>
    <x v="0"/>
    <n v="9094"/>
    <x v="1"/>
    <n v="17235"/>
    <n v="2"/>
    <s v="Y"/>
    <x v="1"/>
    <n v="12"/>
    <n v="3"/>
    <n v="3"/>
    <n v="80"/>
    <n v="0"/>
    <n v="9"/>
    <n v="2"/>
    <x v="0"/>
    <x v="5"/>
    <x v="4"/>
    <n v="1"/>
  </r>
  <r>
    <s v="RM958"/>
    <n v="40"/>
    <x v="2"/>
    <s v="No"/>
    <n v="0"/>
    <s v="Non-Travel"/>
    <n v="458"/>
    <x v="0"/>
    <x v="18"/>
    <x v="1"/>
    <x v="0"/>
    <n v="1"/>
    <n v="1340"/>
    <x v="0"/>
    <x v="0"/>
    <n v="74"/>
    <n v="3"/>
    <x v="0"/>
    <x v="2"/>
    <x v="0"/>
    <x v="1"/>
    <n v="3544"/>
    <x v="0"/>
    <n v="8532"/>
    <n v="9"/>
    <s v="Y"/>
    <x v="0"/>
    <n v="16"/>
    <n v="3"/>
    <n v="2"/>
    <n v="80"/>
    <n v="1"/>
    <n v="6"/>
    <n v="0"/>
    <x v="0"/>
    <x v="4"/>
    <x v="2"/>
    <n v="0"/>
  </r>
  <r>
    <s v="RM960"/>
    <n v="40"/>
    <x v="2"/>
    <s v="No"/>
    <n v="0"/>
    <s v="Travel_Rarely"/>
    <n v="523"/>
    <x v="0"/>
    <x v="7"/>
    <x v="0"/>
    <x v="0"/>
    <n v="1"/>
    <n v="1346"/>
    <x v="0"/>
    <x v="0"/>
    <n v="98"/>
    <n v="3"/>
    <x v="1"/>
    <x v="2"/>
    <x v="2"/>
    <x v="0"/>
    <n v="4661"/>
    <x v="0"/>
    <n v="22455"/>
    <n v="1"/>
    <s v="Y"/>
    <x v="0"/>
    <n v="13"/>
    <n v="3"/>
    <n v="3"/>
    <n v="80"/>
    <n v="0"/>
    <n v="9"/>
    <n v="4"/>
    <x v="0"/>
    <x v="9"/>
    <x v="7"/>
    <n v="8"/>
  </r>
  <r>
    <s v="RM968"/>
    <n v="40"/>
    <x v="2"/>
    <s v="No"/>
    <n v="0"/>
    <s v="Travel_Rarely"/>
    <n v="329"/>
    <x v="0"/>
    <x v="4"/>
    <x v="3"/>
    <x v="0"/>
    <n v="1"/>
    <n v="1361"/>
    <x v="2"/>
    <x v="0"/>
    <n v="88"/>
    <n v="3"/>
    <x v="0"/>
    <x v="0"/>
    <x v="1"/>
    <x v="2"/>
    <n v="2387"/>
    <x v="0"/>
    <n v="6762"/>
    <n v="3"/>
    <s v="Y"/>
    <x v="0"/>
    <n v="22"/>
    <n v="4"/>
    <n v="3"/>
    <n v="80"/>
    <n v="1"/>
    <n v="7"/>
    <n v="3"/>
    <x v="0"/>
    <x v="4"/>
    <x v="2"/>
    <n v="0"/>
  </r>
  <r>
    <s v="RM979"/>
    <n v="40"/>
    <x v="2"/>
    <s v="No"/>
    <n v="0"/>
    <s v="Travel_Rarely"/>
    <n v="1202"/>
    <x v="0"/>
    <x v="7"/>
    <x v="2"/>
    <x v="1"/>
    <n v="1"/>
    <n v="1375"/>
    <x v="2"/>
    <x v="1"/>
    <n v="89"/>
    <n v="4"/>
    <x v="1"/>
    <x v="6"/>
    <x v="0"/>
    <x v="1"/>
    <n v="6377"/>
    <x v="1"/>
    <n v="13888"/>
    <n v="5"/>
    <s v="Y"/>
    <x v="0"/>
    <n v="20"/>
    <n v="4"/>
    <n v="2"/>
    <n v="80"/>
    <n v="3"/>
    <n v="15"/>
    <n v="0"/>
    <x v="0"/>
    <x v="12"/>
    <x v="14"/>
    <n v="11"/>
  </r>
  <r>
    <s v="RM1030"/>
    <n v="40"/>
    <x v="2"/>
    <s v="No"/>
    <n v="0"/>
    <s v="Non-Travel"/>
    <n v="663"/>
    <x v="0"/>
    <x v="9"/>
    <x v="3"/>
    <x v="4"/>
    <n v="1"/>
    <n v="1449"/>
    <x v="0"/>
    <x v="0"/>
    <n v="81"/>
    <n v="3"/>
    <x v="1"/>
    <x v="0"/>
    <x v="0"/>
    <x v="1"/>
    <n v="3975"/>
    <x v="0"/>
    <n v="23099"/>
    <n v="3"/>
    <s v="Y"/>
    <x v="0"/>
    <n v="11"/>
    <n v="3"/>
    <n v="3"/>
    <n v="80"/>
    <n v="2"/>
    <n v="11"/>
    <n v="2"/>
    <x v="1"/>
    <x v="8"/>
    <x v="6"/>
    <n v="0"/>
  </r>
  <r>
    <s v="RM1041"/>
    <n v="40"/>
    <x v="2"/>
    <s v="No"/>
    <n v="0"/>
    <s v="Non-Travel"/>
    <n v="218"/>
    <x v="0"/>
    <x v="3"/>
    <x v="2"/>
    <x v="1"/>
    <n v="1"/>
    <n v="1468"/>
    <x v="1"/>
    <x v="0"/>
    <n v="55"/>
    <n v="2"/>
    <x v="2"/>
    <x v="7"/>
    <x v="1"/>
    <x v="1"/>
    <n v="13757"/>
    <x v="2"/>
    <n v="25178"/>
    <n v="2"/>
    <s v="Y"/>
    <x v="0"/>
    <n v="11"/>
    <n v="3"/>
    <n v="3"/>
    <n v="80"/>
    <n v="1"/>
    <n v="16"/>
    <n v="5"/>
    <x v="0"/>
    <x v="9"/>
    <x v="7"/>
    <n v="4"/>
  </r>
  <r>
    <s v="RM1046"/>
    <n v="40"/>
    <x v="2"/>
    <s v="No"/>
    <n v="0"/>
    <s v="Travel_Rarely"/>
    <n v="896"/>
    <x v="0"/>
    <x v="7"/>
    <x v="0"/>
    <x v="1"/>
    <n v="1"/>
    <n v="1474"/>
    <x v="0"/>
    <x v="0"/>
    <n v="68"/>
    <n v="3"/>
    <x v="0"/>
    <x v="2"/>
    <x v="0"/>
    <x v="1"/>
    <n v="2345"/>
    <x v="0"/>
    <n v="8045"/>
    <n v="2"/>
    <s v="Y"/>
    <x v="0"/>
    <n v="14"/>
    <n v="3"/>
    <n v="3"/>
    <n v="80"/>
    <n v="1"/>
    <n v="8"/>
    <n v="3"/>
    <x v="1"/>
    <x v="3"/>
    <x v="1"/>
    <n v="1"/>
  </r>
  <r>
    <s v="RM1084"/>
    <n v="40"/>
    <x v="2"/>
    <s v="Yes"/>
    <n v="1"/>
    <s v="Travel_Rarely"/>
    <n v="676"/>
    <x v="0"/>
    <x v="9"/>
    <x v="3"/>
    <x v="0"/>
    <n v="1"/>
    <n v="1534"/>
    <x v="1"/>
    <x v="0"/>
    <n v="86"/>
    <n v="3"/>
    <x v="0"/>
    <x v="0"/>
    <x v="3"/>
    <x v="0"/>
    <n v="2018"/>
    <x v="0"/>
    <n v="21831"/>
    <n v="3"/>
    <s v="Y"/>
    <x v="0"/>
    <n v="14"/>
    <n v="3"/>
    <n v="2"/>
    <n v="80"/>
    <n v="0"/>
    <n v="15"/>
    <n v="3"/>
    <x v="2"/>
    <x v="5"/>
    <x v="4"/>
    <n v="1"/>
  </r>
  <r>
    <s v="RM1095"/>
    <n v="40"/>
    <x v="2"/>
    <s v="No"/>
    <n v="0"/>
    <s v="Travel_Rarely"/>
    <n v="1342"/>
    <x v="1"/>
    <x v="9"/>
    <x v="1"/>
    <x v="1"/>
    <n v="1"/>
    <n v="1548"/>
    <x v="3"/>
    <x v="0"/>
    <n v="47"/>
    <n v="3"/>
    <x v="1"/>
    <x v="5"/>
    <x v="3"/>
    <x v="2"/>
    <n v="5473"/>
    <x v="1"/>
    <n v="19345"/>
    <n v="0"/>
    <s v="Y"/>
    <x v="0"/>
    <n v="12"/>
    <n v="3"/>
    <n v="4"/>
    <n v="80"/>
    <n v="0"/>
    <n v="9"/>
    <n v="5"/>
    <x v="1"/>
    <x v="8"/>
    <x v="4"/>
    <n v="7"/>
  </r>
  <r>
    <s v="RM1097"/>
    <n v="40"/>
    <x v="2"/>
    <s v="No"/>
    <n v="0"/>
    <s v="Travel_Rarely"/>
    <n v="898"/>
    <x v="2"/>
    <x v="11"/>
    <x v="1"/>
    <x v="1"/>
    <n v="1"/>
    <n v="1550"/>
    <x v="0"/>
    <x v="0"/>
    <n v="38"/>
    <n v="3"/>
    <x v="3"/>
    <x v="8"/>
    <x v="2"/>
    <x v="0"/>
    <n v="16437"/>
    <x v="3"/>
    <n v="17381"/>
    <n v="1"/>
    <s v="Y"/>
    <x v="1"/>
    <n v="21"/>
    <n v="4"/>
    <n v="4"/>
    <n v="80"/>
    <n v="0"/>
    <n v="21"/>
    <n v="2"/>
    <x v="0"/>
    <x v="21"/>
    <x v="6"/>
    <n v="7"/>
  </r>
  <r>
    <s v="RM1099"/>
    <n v="40"/>
    <x v="2"/>
    <s v="No"/>
    <n v="0"/>
    <s v="Non-Travel"/>
    <n v="1142"/>
    <x v="0"/>
    <x v="3"/>
    <x v="1"/>
    <x v="0"/>
    <n v="1"/>
    <n v="1552"/>
    <x v="1"/>
    <x v="0"/>
    <n v="72"/>
    <n v="3"/>
    <x v="1"/>
    <x v="6"/>
    <x v="2"/>
    <x v="1"/>
    <n v="4069"/>
    <x v="0"/>
    <n v="8841"/>
    <n v="3"/>
    <s v="Y"/>
    <x v="1"/>
    <n v="18"/>
    <n v="3"/>
    <n v="3"/>
    <n v="80"/>
    <n v="0"/>
    <n v="8"/>
    <n v="2"/>
    <x v="0"/>
    <x v="2"/>
    <x v="2"/>
    <n v="2"/>
  </r>
  <r>
    <s v="RM1133"/>
    <n v="40"/>
    <x v="2"/>
    <s v="No"/>
    <n v="0"/>
    <s v="Travel_Rarely"/>
    <n v="118"/>
    <x v="1"/>
    <x v="5"/>
    <x v="1"/>
    <x v="0"/>
    <n v="1"/>
    <n v="1598"/>
    <x v="1"/>
    <x v="1"/>
    <n v="84"/>
    <n v="3"/>
    <x v="1"/>
    <x v="5"/>
    <x v="3"/>
    <x v="2"/>
    <n v="4639"/>
    <x v="0"/>
    <n v="11262"/>
    <n v="1"/>
    <s v="Y"/>
    <x v="0"/>
    <n v="15"/>
    <n v="3"/>
    <n v="3"/>
    <n v="80"/>
    <n v="1"/>
    <n v="5"/>
    <n v="2"/>
    <x v="0"/>
    <x v="5"/>
    <x v="4"/>
    <n v="1"/>
  </r>
  <r>
    <s v="RM1157"/>
    <n v="40"/>
    <x v="2"/>
    <s v="No"/>
    <n v="0"/>
    <s v="Travel_Rarely"/>
    <n v="884"/>
    <x v="0"/>
    <x v="14"/>
    <x v="0"/>
    <x v="0"/>
    <n v="1"/>
    <n v="1628"/>
    <x v="3"/>
    <x v="1"/>
    <n v="80"/>
    <n v="2"/>
    <x v="2"/>
    <x v="4"/>
    <x v="0"/>
    <x v="2"/>
    <n v="10435"/>
    <x v="2"/>
    <n v="25800"/>
    <n v="1"/>
    <s v="Y"/>
    <x v="0"/>
    <n v="13"/>
    <n v="3"/>
    <n v="4"/>
    <n v="80"/>
    <n v="2"/>
    <n v="18"/>
    <n v="2"/>
    <x v="0"/>
    <x v="18"/>
    <x v="15"/>
    <n v="14"/>
  </r>
  <r>
    <s v="RM1165"/>
    <n v="40"/>
    <x v="2"/>
    <s v="No"/>
    <n v="0"/>
    <s v="Travel_Rarely"/>
    <n v="448"/>
    <x v="0"/>
    <x v="18"/>
    <x v="0"/>
    <x v="0"/>
    <n v="1"/>
    <n v="1641"/>
    <x v="0"/>
    <x v="1"/>
    <n v="84"/>
    <n v="3"/>
    <x v="2"/>
    <x v="4"/>
    <x v="2"/>
    <x v="0"/>
    <n v="7945"/>
    <x v="1"/>
    <n v="19948"/>
    <n v="6"/>
    <s v="Y"/>
    <x v="1"/>
    <n v="15"/>
    <n v="3"/>
    <n v="4"/>
    <n v="80"/>
    <n v="0"/>
    <n v="18"/>
    <n v="2"/>
    <x v="3"/>
    <x v="4"/>
    <x v="2"/>
    <n v="3"/>
  </r>
  <r>
    <s v="RM1172"/>
    <n v="40"/>
    <x v="2"/>
    <s v="Yes"/>
    <n v="1"/>
    <s v="Travel_Rarely"/>
    <n v="1329"/>
    <x v="0"/>
    <x v="17"/>
    <x v="0"/>
    <x v="0"/>
    <n v="1"/>
    <n v="1649"/>
    <x v="3"/>
    <x v="0"/>
    <n v="73"/>
    <n v="3"/>
    <x v="0"/>
    <x v="0"/>
    <x v="3"/>
    <x v="0"/>
    <n v="2166"/>
    <x v="0"/>
    <n v="3339"/>
    <n v="3"/>
    <s v="Y"/>
    <x v="1"/>
    <n v="14"/>
    <n v="3"/>
    <n v="2"/>
    <n v="80"/>
    <n v="0"/>
    <n v="10"/>
    <n v="3"/>
    <x v="2"/>
    <x v="4"/>
    <x v="2"/>
    <n v="0"/>
  </r>
  <r>
    <s v="RM1230"/>
    <n v="40"/>
    <x v="2"/>
    <s v="No"/>
    <n v="0"/>
    <s v="Travel_Rarely"/>
    <n v="369"/>
    <x v="0"/>
    <x v="3"/>
    <x v="1"/>
    <x v="0"/>
    <n v="1"/>
    <n v="1724"/>
    <x v="2"/>
    <x v="1"/>
    <n v="92"/>
    <n v="3"/>
    <x v="1"/>
    <x v="4"/>
    <x v="3"/>
    <x v="2"/>
    <n v="6516"/>
    <x v="1"/>
    <n v="5041"/>
    <n v="2"/>
    <s v="Y"/>
    <x v="1"/>
    <n v="16"/>
    <n v="3"/>
    <n v="2"/>
    <n v="80"/>
    <n v="1"/>
    <n v="18"/>
    <n v="3"/>
    <x v="0"/>
    <x v="1"/>
    <x v="0"/>
    <n v="0"/>
  </r>
  <r>
    <s v="RM1243"/>
    <n v="40"/>
    <x v="2"/>
    <s v="No"/>
    <n v="0"/>
    <s v="Travel_Rarely"/>
    <n v="611"/>
    <x v="1"/>
    <x v="17"/>
    <x v="3"/>
    <x v="1"/>
    <n v="1"/>
    <n v="1740"/>
    <x v="2"/>
    <x v="0"/>
    <n v="88"/>
    <n v="3"/>
    <x v="4"/>
    <x v="8"/>
    <x v="1"/>
    <x v="0"/>
    <n v="19833"/>
    <x v="3"/>
    <n v="4349"/>
    <n v="1"/>
    <s v="Y"/>
    <x v="0"/>
    <n v="14"/>
    <n v="3"/>
    <n v="2"/>
    <n v="80"/>
    <n v="0"/>
    <n v="21"/>
    <n v="3"/>
    <x v="3"/>
    <x v="21"/>
    <x v="7"/>
    <n v="12"/>
  </r>
  <r>
    <s v="RM1287"/>
    <n v="40"/>
    <x v="2"/>
    <s v="No"/>
    <n v="0"/>
    <s v="Travel_Rarely"/>
    <n v="616"/>
    <x v="0"/>
    <x v="7"/>
    <x v="1"/>
    <x v="0"/>
    <n v="1"/>
    <n v="1802"/>
    <x v="0"/>
    <x v="1"/>
    <n v="99"/>
    <n v="3"/>
    <x v="0"/>
    <x v="0"/>
    <x v="3"/>
    <x v="2"/>
    <n v="3377"/>
    <x v="0"/>
    <n v="25605"/>
    <n v="4"/>
    <s v="Y"/>
    <x v="0"/>
    <n v="17"/>
    <n v="3"/>
    <n v="4"/>
    <n v="80"/>
    <n v="1"/>
    <n v="7"/>
    <n v="5"/>
    <x v="3"/>
    <x v="4"/>
    <x v="3"/>
    <n v="0"/>
  </r>
  <r>
    <s v="RM1300"/>
    <n v="40"/>
    <x v="2"/>
    <s v="No"/>
    <n v="0"/>
    <s v="Travel_Rarely"/>
    <n v="1194"/>
    <x v="0"/>
    <x v="4"/>
    <x v="0"/>
    <x v="0"/>
    <n v="1"/>
    <n v="1822"/>
    <x v="0"/>
    <x v="1"/>
    <n v="52"/>
    <n v="3"/>
    <x v="1"/>
    <x v="6"/>
    <x v="2"/>
    <x v="1"/>
    <n v="6513"/>
    <x v="1"/>
    <n v="9060"/>
    <n v="4"/>
    <s v="Y"/>
    <x v="0"/>
    <n v="17"/>
    <n v="3"/>
    <n v="4"/>
    <n v="80"/>
    <n v="1"/>
    <n v="12"/>
    <n v="3"/>
    <x v="0"/>
    <x v="5"/>
    <x v="3"/>
    <n v="0"/>
  </r>
  <r>
    <s v="RM1305"/>
    <n v="40"/>
    <x v="2"/>
    <s v="No"/>
    <n v="0"/>
    <s v="Travel_Rarely"/>
    <n v="750"/>
    <x v="0"/>
    <x v="15"/>
    <x v="0"/>
    <x v="0"/>
    <n v="1"/>
    <n v="1829"/>
    <x v="2"/>
    <x v="1"/>
    <n v="47"/>
    <n v="3"/>
    <x v="1"/>
    <x v="6"/>
    <x v="3"/>
    <x v="1"/>
    <n v="4448"/>
    <x v="0"/>
    <n v="10748"/>
    <n v="2"/>
    <s v="Y"/>
    <x v="0"/>
    <n v="12"/>
    <n v="3"/>
    <n v="2"/>
    <n v="80"/>
    <n v="1"/>
    <n v="15"/>
    <n v="3"/>
    <x v="0"/>
    <x v="7"/>
    <x v="4"/>
    <n v="7"/>
  </r>
  <r>
    <s v="RM1349"/>
    <n v="40"/>
    <x v="2"/>
    <s v="No"/>
    <n v="0"/>
    <s v="Travel_Rarely"/>
    <n v="1137"/>
    <x v="0"/>
    <x v="4"/>
    <x v="3"/>
    <x v="0"/>
    <n v="1"/>
    <n v="1892"/>
    <x v="3"/>
    <x v="0"/>
    <n v="98"/>
    <n v="3"/>
    <x v="3"/>
    <x v="8"/>
    <x v="3"/>
    <x v="1"/>
    <n v="16823"/>
    <x v="3"/>
    <n v="18991"/>
    <n v="2"/>
    <s v="Y"/>
    <x v="0"/>
    <n v="11"/>
    <n v="3"/>
    <n v="1"/>
    <n v="80"/>
    <n v="1"/>
    <n v="22"/>
    <n v="3"/>
    <x v="0"/>
    <x v="19"/>
    <x v="6"/>
    <n v="11"/>
  </r>
  <r>
    <s v="RM1410"/>
    <n v="40"/>
    <x v="2"/>
    <s v="No"/>
    <n v="0"/>
    <s v="Travel_Frequently"/>
    <n v="692"/>
    <x v="0"/>
    <x v="13"/>
    <x v="0"/>
    <x v="3"/>
    <n v="1"/>
    <n v="1985"/>
    <x v="1"/>
    <x v="1"/>
    <n v="73"/>
    <n v="3"/>
    <x v="1"/>
    <x v="0"/>
    <x v="0"/>
    <x v="2"/>
    <n v="6323"/>
    <x v="1"/>
    <n v="26849"/>
    <n v="1"/>
    <s v="Y"/>
    <x v="0"/>
    <n v="11"/>
    <n v="3"/>
    <n v="1"/>
    <n v="80"/>
    <n v="1"/>
    <n v="10"/>
    <n v="2"/>
    <x v="1"/>
    <x v="10"/>
    <x v="9"/>
    <n v="9"/>
  </r>
  <r>
    <s v="RM1411"/>
    <n v="40"/>
    <x v="2"/>
    <s v="No"/>
    <n v="0"/>
    <s v="Travel_Rarely"/>
    <n v="444"/>
    <x v="1"/>
    <x v="7"/>
    <x v="1"/>
    <x v="2"/>
    <n v="1"/>
    <n v="1986"/>
    <x v="2"/>
    <x v="1"/>
    <n v="92"/>
    <n v="3"/>
    <x v="1"/>
    <x v="5"/>
    <x v="1"/>
    <x v="2"/>
    <n v="5677"/>
    <x v="1"/>
    <n v="4258"/>
    <n v="3"/>
    <s v="Y"/>
    <x v="0"/>
    <n v="14"/>
    <n v="3"/>
    <n v="3"/>
    <n v="80"/>
    <n v="1"/>
    <n v="15"/>
    <n v="4"/>
    <x v="0"/>
    <x v="11"/>
    <x v="7"/>
    <n v="5"/>
  </r>
  <r>
    <s v="RM1428"/>
    <n v="40"/>
    <x v="2"/>
    <s v="No"/>
    <n v="0"/>
    <s v="Travel_Rarely"/>
    <n v="543"/>
    <x v="0"/>
    <x v="4"/>
    <x v="3"/>
    <x v="0"/>
    <n v="1"/>
    <n v="2012"/>
    <x v="3"/>
    <x v="0"/>
    <n v="83"/>
    <n v="3"/>
    <x v="0"/>
    <x v="0"/>
    <x v="2"/>
    <x v="2"/>
    <n v="2406"/>
    <x v="0"/>
    <n v="4060"/>
    <n v="8"/>
    <s v="Y"/>
    <x v="0"/>
    <n v="19"/>
    <n v="3"/>
    <n v="3"/>
    <n v="80"/>
    <n v="2"/>
    <n v="8"/>
    <n v="3"/>
    <x v="3"/>
    <x v="1"/>
    <x v="0"/>
    <n v="0"/>
  </r>
  <r>
    <s v="RM1456"/>
    <n v="40"/>
    <x v="2"/>
    <s v="No"/>
    <n v="0"/>
    <s v="Travel_Rarely"/>
    <n v="1322"/>
    <x v="0"/>
    <x v="7"/>
    <x v="3"/>
    <x v="0"/>
    <n v="1"/>
    <n v="2048"/>
    <x v="0"/>
    <x v="0"/>
    <n v="52"/>
    <n v="2"/>
    <x v="0"/>
    <x v="2"/>
    <x v="0"/>
    <x v="0"/>
    <n v="2809"/>
    <x v="0"/>
    <n v="2725"/>
    <n v="2"/>
    <s v="Y"/>
    <x v="0"/>
    <n v="14"/>
    <n v="3"/>
    <n v="4"/>
    <n v="80"/>
    <n v="0"/>
    <n v="8"/>
    <n v="2"/>
    <x v="0"/>
    <x v="2"/>
    <x v="2"/>
    <n v="2"/>
  </r>
  <r>
    <s v="RM1458"/>
    <n v="40"/>
    <x v="2"/>
    <s v="No"/>
    <n v="0"/>
    <s v="Travel_Rarely"/>
    <n v="1194"/>
    <x v="0"/>
    <x v="7"/>
    <x v="3"/>
    <x v="1"/>
    <n v="1"/>
    <n v="2051"/>
    <x v="0"/>
    <x v="1"/>
    <n v="98"/>
    <n v="3"/>
    <x v="0"/>
    <x v="2"/>
    <x v="0"/>
    <x v="2"/>
    <n v="2001"/>
    <x v="0"/>
    <n v="12549"/>
    <n v="2"/>
    <s v="Y"/>
    <x v="0"/>
    <n v="14"/>
    <n v="3"/>
    <n v="2"/>
    <n v="80"/>
    <n v="3"/>
    <n v="20"/>
    <n v="2"/>
    <x v="0"/>
    <x v="5"/>
    <x v="3"/>
    <n v="0"/>
  </r>
  <r>
    <s v="RM001"/>
    <n v="41"/>
    <x v="2"/>
    <s v="Yes"/>
    <n v="1"/>
    <s v="Travel_Rarely"/>
    <n v="1102"/>
    <x v="1"/>
    <x v="4"/>
    <x v="1"/>
    <x v="0"/>
    <n v="1"/>
    <n v="1"/>
    <x v="2"/>
    <x v="1"/>
    <n v="94"/>
    <n v="3"/>
    <x v="1"/>
    <x v="5"/>
    <x v="2"/>
    <x v="0"/>
    <n v="5993"/>
    <x v="1"/>
    <n v="19479"/>
    <n v="8"/>
    <s v="Y"/>
    <x v="1"/>
    <n v="11"/>
    <n v="3"/>
    <n v="1"/>
    <n v="80"/>
    <n v="0"/>
    <n v="8"/>
    <n v="0"/>
    <x v="2"/>
    <x v="6"/>
    <x v="4"/>
    <n v="0"/>
  </r>
  <r>
    <s v="RM046"/>
    <n v="41"/>
    <x v="2"/>
    <s v="Yes"/>
    <n v="1"/>
    <s v="Travel_Rarely"/>
    <n v="1360"/>
    <x v="0"/>
    <x v="15"/>
    <x v="0"/>
    <x v="3"/>
    <n v="1"/>
    <n v="58"/>
    <x v="2"/>
    <x v="1"/>
    <n v="49"/>
    <n v="3"/>
    <x v="4"/>
    <x v="7"/>
    <x v="0"/>
    <x v="2"/>
    <n v="19545"/>
    <x v="3"/>
    <n v="16280"/>
    <n v="1"/>
    <s v="Y"/>
    <x v="0"/>
    <n v="12"/>
    <n v="3"/>
    <n v="4"/>
    <n v="80"/>
    <n v="0"/>
    <n v="23"/>
    <n v="0"/>
    <x v="0"/>
    <x v="22"/>
    <x v="15"/>
    <n v="15"/>
  </r>
  <r>
    <s v="RM134"/>
    <n v="41"/>
    <x v="2"/>
    <s v="No"/>
    <n v="0"/>
    <s v="Travel_Rarely"/>
    <n v="802"/>
    <x v="1"/>
    <x v="9"/>
    <x v="2"/>
    <x v="0"/>
    <n v="1"/>
    <n v="176"/>
    <x v="0"/>
    <x v="0"/>
    <n v="96"/>
    <n v="3"/>
    <x v="2"/>
    <x v="5"/>
    <x v="0"/>
    <x v="1"/>
    <n v="8189"/>
    <x v="1"/>
    <n v="21196"/>
    <n v="3"/>
    <s v="Y"/>
    <x v="1"/>
    <n v="13"/>
    <n v="3"/>
    <n v="3"/>
    <n v="80"/>
    <n v="1"/>
    <n v="12"/>
    <n v="2"/>
    <x v="0"/>
    <x v="9"/>
    <x v="6"/>
    <n v="0"/>
  </r>
  <r>
    <s v="RM148"/>
    <n v="41"/>
    <x v="2"/>
    <s v="No"/>
    <n v="0"/>
    <s v="Travel_Frequently"/>
    <n v="857"/>
    <x v="0"/>
    <x v="1"/>
    <x v="0"/>
    <x v="0"/>
    <n v="1"/>
    <n v="199"/>
    <x v="1"/>
    <x v="0"/>
    <n v="91"/>
    <n v="2"/>
    <x v="3"/>
    <x v="8"/>
    <x v="3"/>
    <x v="1"/>
    <n v="17181"/>
    <x v="3"/>
    <n v="12888"/>
    <n v="4"/>
    <s v="Y"/>
    <x v="0"/>
    <n v="13"/>
    <n v="3"/>
    <n v="2"/>
    <n v="80"/>
    <n v="1"/>
    <n v="21"/>
    <n v="2"/>
    <x v="3"/>
    <x v="7"/>
    <x v="8"/>
    <n v="7"/>
  </r>
  <r>
    <s v="RM149"/>
    <n v="41"/>
    <x v="2"/>
    <s v="No"/>
    <n v="0"/>
    <s v="Travel_Rarely"/>
    <n v="933"/>
    <x v="0"/>
    <x v="9"/>
    <x v="3"/>
    <x v="0"/>
    <n v="1"/>
    <n v="200"/>
    <x v="0"/>
    <x v="0"/>
    <n v="94"/>
    <n v="3"/>
    <x v="0"/>
    <x v="0"/>
    <x v="3"/>
    <x v="2"/>
    <n v="2238"/>
    <x v="0"/>
    <n v="6961"/>
    <n v="2"/>
    <s v="Y"/>
    <x v="0"/>
    <n v="21"/>
    <n v="4"/>
    <n v="4"/>
    <n v="80"/>
    <n v="1"/>
    <n v="7"/>
    <n v="2"/>
    <x v="0"/>
    <x v="5"/>
    <x v="0"/>
    <n v="1"/>
  </r>
  <r>
    <s v="RM167"/>
    <n v="41"/>
    <x v="2"/>
    <s v="No"/>
    <n v="0"/>
    <s v="Travel_Rarely"/>
    <n v="465"/>
    <x v="0"/>
    <x v="5"/>
    <x v="0"/>
    <x v="0"/>
    <n v="1"/>
    <n v="227"/>
    <x v="3"/>
    <x v="0"/>
    <n v="56"/>
    <n v="3"/>
    <x v="0"/>
    <x v="2"/>
    <x v="0"/>
    <x v="1"/>
    <n v="2451"/>
    <x v="0"/>
    <n v="4609"/>
    <n v="4"/>
    <s v="Y"/>
    <x v="0"/>
    <n v="12"/>
    <n v="3"/>
    <n v="1"/>
    <n v="80"/>
    <n v="1"/>
    <n v="13"/>
    <n v="2"/>
    <x v="0"/>
    <x v="9"/>
    <x v="7"/>
    <n v="1"/>
  </r>
  <r>
    <s v="RM183"/>
    <n v="41"/>
    <x v="2"/>
    <s v="Yes"/>
    <n v="1"/>
    <s v="Travel_Rarely"/>
    <n v="1356"/>
    <x v="1"/>
    <x v="21"/>
    <x v="1"/>
    <x v="2"/>
    <n v="1"/>
    <n v="248"/>
    <x v="2"/>
    <x v="1"/>
    <n v="70"/>
    <n v="3"/>
    <x v="0"/>
    <x v="1"/>
    <x v="1"/>
    <x v="0"/>
    <n v="3140"/>
    <x v="0"/>
    <n v="21728"/>
    <n v="1"/>
    <s v="Y"/>
    <x v="1"/>
    <n v="22"/>
    <n v="4"/>
    <n v="4"/>
    <n v="80"/>
    <n v="0"/>
    <n v="4"/>
    <n v="5"/>
    <x v="3"/>
    <x v="4"/>
    <x v="3"/>
    <n v="0"/>
  </r>
  <r>
    <s v="RM216"/>
    <n v="41"/>
    <x v="2"/>
    <s v="No"/>
    <n v="0"/>
    <s v="Travel_Rarely"/>
    <n v="896"/>
    <x v="1"/>
    <x v="11"/>
    <x v="0"/>
    <x v="0"/>
    <n v="1"/>
    <n v="298"/>
    <x v="1"/>
    <x v="1"/>
    <n v="75"/>
    <n v="3"/>
    <x v="2"/>
    <x v="8"/>
    <x v="2"/>
    <x v="0"/>
    <n v="13591"/>
    <x v="2"/>
    <n v="14674"/>
    <n v="3"/>
    <s v="Y"/>
    <x v="1"/>
    <n v="18"/>
    <n v="3"/>
    <n v="3"/>
    <n v="80"/>
    <n v="0"/>
    <n v="16"/>
    <n v="3"/>
    <x v="0"/>
    <x v="1"/>
    <x v="0"/>
    <n v="0"/>
  </r>
  <r>
    <s v="RM243"/>
    <n v="41"/>
    <x v="2"/>
    <s v="No"/>
    <n v="0"/>
    <s v="Travel_Rarely"/>
    <n v="1411"/>
    <x v="0"/>
    <x v="19"/>
    <x v="1"/>
    <x v="0"/>
    <n v="1"/>
    <n v="334"/>
    <x v="0"/>
    <x v="0"/>
    <n v="36"/>
    <n v="3"/>
    <x v="1"/>
    <x v="2"/>
    <x v="3"/>
    <x v="1"/>
    <n v="3072"/>
    <x v="0"/>
    <n v="19877"/>
    <n v="2"/>
    <s v="Y"/>
    <x v="0"/>
    <n v="16"/>
    <n v="3"/>
    <n v="1"/>
    <n v="80"/>
    <n v="2"/>
    <n v="17"/>
    <n v="2"/>
    <x v="3"/>
    <x v="1"/>
    <x v="0"/>
    <n v="0"/>
  </r>
  <r>
    <s v="RM301"/>
    <n v="41"/>
    <x v="2"/>
    <s v="No"/>
    <n v="0"/>
    <s v="Travel_Rarely"/>
    <n v="334"/>
    <x v="1"/>
    <x v="7"/>
    <x v="3"/>
    <x v="0"/>
    <n v="1"/>
    <n v="410"/>
    <x v="1"/>
    <x v="0"/>
    <n v="88"/>
    <n v="3"/>
    <x v="3"/>
    <x v="8"/>
    <x v="1"/>
    <x v="0"/>
    <n v="16015"/>
    <x v="3"/>
    <n v="15896"/>
    <n v="1"/>
    <s v="Y"/>
    <x v="0"/>
    <n v="19"/>
    <n v="3"/>
    <n v="2"/>
    <n v="80"/>
    <n v="0"/>
    <n v="22"/>
    <n v="2"/>
    <x v="0"/>
    <x v="22"/>
    <x v="10"/>
    <n v="0"/>
  </r>
  <r>
    <s v="RM347"/>
    <n v="41"/>
    <x v="2"/>
    <s v="No"/>
    <n v="0"/>
    <s v="Travel_Rarely"/>
    <n v="483"/>
    <x v="0"/>
    <x v="11"/>
    <x v="0"/>
    <x v="1"/>
    <n v="1"/>
    <n v="466"/>
    <x v="1"/>
    <x v="0"/>
    <n v="95"/>
    <n v="2"/>
    <x v="1"/>
    <x v="4"/>
    <x v="1"/>
    <x v="0"/>
    <n v="6032"/>
    <x v="1"/>
    <n v="10110"/>
    <n v="6"/>
    <s v="Y"/>
    <x v="1"/>
    <n v="15"/>
    <n v="3"/>
    <n v="4"/>
    <n v="80"/>
    <n v="0"/>
    <n v="8"/>
    <n v="3"/>
    <x v="0"/>
    <x v="5"/>
    <x v="4"/>
    <n v="1"/>
  </r>
  <r>
    <s v="RM367"/>
    <n v="41"/>
    <x v="2"/>
    <s v="Yes"/>
    <n v="1"/>
    <s v="Travel_Frequently"/>
    <n v="143"/>
    <x v="1"/>
    <x v="12"/>
    <x v="0"/>
    <x v="2"/>
    <n v="1"/>
    <n v="488"/>
    <x v="3"/>
    <x v="0"/>
    <n v="56"/>
    <n v="3"/>
    <x v="1"/>
    <x v="5"/>
    <x v="1"/>
    <x v="0"/>
    <n v="9355"/>
    <x v="1"/>
    <n v="9558"/>
    <n v="1"/>
    <s v="Y"/>
    <x v="0"/>
    <n v="18"/>
    <n v="3"/>
    <n v="3"/>
    <n v="80"/>
    <n v="0"/>
    <n v="8"/>
    <n v="5"/>
    <x v="0"/>
    <x v="8"/>
    <x v="6"/>
    <n v="7"/>
  </r>
  <r>
    <s v="RM404"/>
    <n v="41"/>
    <x v="2"/>
    <s v="No"/>
    <n v="0"/>
    <s v="Travel_Rarely"/>
    <n v="645"/>
    <x v="1"/>
    <x v="4"/>
    <x v="0"/>
    <x v="2"/>
    <n v="1"/>
    <n v="534"/>
    <x v="2"/>
    <x v="0"/>
    <n v="49"/>
    <n v="4"/>
    <x v="2"/>
    <x v="5"/>
    <x v="3"/>
    <x v="2"/>
    <n v="8392"/>
    <x v="1"/>
    <n v="19566"/>
    <n v="1"/>
    <s v="Y"/>
    <x v="0"/>
    <n v="16"/>
    <n v="3"/>
    <n v="3"/>
    <n v="80"/>
    <n v="1"/>
    <n v="10"/>
    <n v="2"/>
    <x v="0"/>
    <x v="10"/>
    <x v="6"/>
    <n v="0"/>
  </r>
  <r>
    <s v="RM447"/>
    <n v="41"/>
    <x v="2"/>
    <s v="No"/>
    <n v="0"/>
    <s v="Non-Travel"/>
    <n v="267"/>
    <x v="1"/>
    <x v="1"/>
    <x v="1"/>
    <x v="0"/>
    <n v="1"/>
    <n v="599"/>
    <x v="1"/>
    <x v="0"/>
    <n v="56"/>
    <n v="3"/>
    <x v="1"/>
    <x v="5"/>
    <x v="2"/>
    <x v="0"/>
    <n v="6230"/>
    <x v="1"/>
    <n v="13430"/>
    <n v="7"/>
    <s v="Y"/>
    <x v="0"/>
    <n v="14"/>
    <n v="3"/>
    <n v="4"/>
    <n v="80"/>
    <n v="0"/>
    <n v="16"/>
    <n v="3"/>
    <x v="0"/>
    <x v="14"/>
    <x v="3"/>
    <n v="1"/>
  </r>
  <r>
    <s v="RM460"/>
    <n v="41"/>
    <x v="2"/>
    <s v="No"/>
    <n v="0"/>
    <s v="Non-Travel"/>
    <n v="509"/>
    <x v="0"/>
    <x v="7"/>
    <x v="3"/>
    <x v="4"/>
    <n v="1"/>
    <n v="616"/>
    <x v="3"/>
    <x v="1"/>
    <n v="62"/>
    <n v="2"/>
    <x v="1"/>
    <x v="6"/>
    <x v="0"/>
    <x v="0"/>
    <n v="6811"/>
    <x v="1"/>
    <n v="2112"/>
    <n v="2"/>
    <s v="Y"/>
    <x v="1"/>
    <n v="17"/>
    <n v="3"/>
    <n v="1"/>
    <n v="80"/>
    <n v="0"/>
    <n v="10"/>
    <n v="3"/>
    <x v="0"/>
    <x v="8"/>
    <x v="6"/>
    <n v="0"/>
  </r>
  <r>
    <s v="RM467"/>
    <n v="41"/>
    <x v="2"/>
    <s v="No"/>
    <n v="0"/>
    <s v="Travel_Rarely"/>
    <n v="1276"/>
    <x v="1"/>
    <x v="7"/>
    <x v="4"/>
    <x v="0"/>
    <n v="1"/>
    <n v="625"/>
    <x v="2"/>
    <x v="1"/>
    <n v="91"/>
    <n v="3"/>
    <x v="3"/>
    <x v="8"/>
    <x v="3"/>
    <x v="2"/>
    <n v="16595"/>
    <x v="3"/>
    <n v="5626"/>
    <n v="7"/>
    <s v="Y"/>
    <x v="0"/>
    <n v="16"/>
    <n v="3"/>
    <n v="2"/>
    <n v="80"/>
    <n v="1"/>
    <n v="22"/>
    <n v="2"/>
    <x v="0"/>
    <x v="18"/>
    <x v="16"/>
    <n v="11"/>
  </r>
  <r>
    <s v="RM536"/>
    <n v="41"/>
    <x v="2"/>
    <s v="No"/>
    <n v="0"/>
    <s v="Travel_Rarely"/>
    <n v="427"/>
    <x v="2"/>
    <x v="1"/>
    <x v="3"/>
    <x v="5"/>
    <n v="1"/>
    <n v="731"/>
    <x v="2"/>
    <x v="0"/>
    <n v="73"/>
    <n v="2"/>
    <x v="4"/>
    <x v="8"/>
    <x v="2"/>
    <x v="1"/>
    <n v="19141"/>
    <x v="3"/>
    <n v="8861"/>
    <n v="3"/>
    <s v="Y"/>
    <x v="0"/>
    <n v="15"/>
    <n v="3"/>
    <n v="2"/>
    <n v="80"/>
    <n v="3"/>
    <n v="23"/>
    <n v="2"/>
    <x v="3"/>
    <x v="21"/>
    <x v="8"/>
    <n v="12"/>
  </r>
  <r>
    <s v="RM539"/>
    <n v="41"/>
    <x v="2"/>
    <s v="No"/>
    <n v="0"/>
    <s v="Travel_Rarely"/>
    <n v="314"/>
    <x v="2"/>
    <x v="4"/>
    <x v="0"/>
    <x v="5"/>
    <n v="1"/>
    <n v="734"/>
    <x v="1"/>
    <x v="0"/>
    <n v="59"/>
    <n v="2"/>
    <x v="4"/>
    <x v="8"/>
    <x v="0"/>
    <x v="2"/>
    <n v="19189"/>
    <x v="3"/>
    <n v="19562"/>
    <n v="1"/>
    <s v="Y"/>
    <x v="0"/>
    <n v="12"/>
    <n v="3"/>
    <n v="2"/>
    <n v="80"/>
    <n v="1"/>
    <n v="22"/>
    <n v="3"/>
    <x v="0"/>
    <x v="22"/>
    <x v="6"/>
    <n v="2"/>
  </r>
  <r>
    <s v="RM668"/>
    <n v="41"/>
    <x v="2"/>
    <s v="Yes"/>
    <n v="1"/>
    <s v="Travel_Rarely"/>
    <n v="1085"/>
    <x v="0"/>
    <x v="7"/>
    <x v="3"/>
    <x v="0"/>
    <n v="1"/>
    <n v="927"/>
    <x v="2"/>
    <x v="1"/>
    <n v="57"/>
    <n v="1"/>
    <x v="0"/>
    <x v="0"/>
    <x v="2"/>
    <x v="1"/>
    <n v="2778"/>
    <x v="0"/>
    <n v="17725"/>
    <n v="4"/>
    <s v="Y"/>
    <x v="1"/>
    <n v="13"/>
    <n v="3"/>
    <n v="3"/>
    <n v="80"/>
    <n v="1"/>
    <n v="10"/>
    <n v="1"/>
    <x v="3"/>
    <x v="7"/>
    <x v="6"/>
    <n v="1"/>
  </r>
  <r>
    <s v="RM687"/>
    <n v="41"/>
    <x v="2"/>
    <s v="No"/>
    <n v="0"/>
    <s v="Travel_Rarely"/>
    <n v="263"/>
    <x v="0"/>
    <x v="11"/>
    <x v="0"/>
    <x v="1"/>
    <n v="1"/>
    <n v="957"/>
    <x v="1"/>
    <x v="0"/>
    <n v="59"/>
    <n v="3"/>
    <x v="0"/>
    <x v="0"/>
    <x v="3"/>
    <x v="0"/>
    <n v="4721"/>
    <x v="0"/>
    <n v="3119"/>
    <n v="2"/>
    <s v="Y"/>
    <x v="1"/>
    <n v="13"/>
    <n v="3"/>
    <n v="3"/>
    <n v="80"/>
    <n v="0"/>
    <n v="20"/>
    <n v="3"/>
    <x v="0"/>
    <x v="18"/>
    <x v="12"/>
    <n v="2"/>
  </r>
  <r>
    <s v="RM717"/>
    <n v="41"/>
    <x v="2"/>
    <s v="No"/>
    <n v="0"/>
    <s v="Travel_Frequently"/>
    <n v="840"/>
    <x v="0"/>
    <x v="9"/>
    <x v="0"/>
    <x v="1"/>
    <n v="1"/>
    <n v="999"/>
    <x v="3"/>
    <x v="0"/>
    <n v="64"/>
    <n v="3"/>
    <x v="4"/>
    <x v="7"/>
    <x v="0"/>
    <x v="1"/>
    <n v="19419"/>
    <x v="3"/>
    <n v="3735"/>
    <n v="2"/>
    <s v="Y"/>
    <x v="0"/>
    <n v="17"/>
    <n v="3"/>
    <n v="2"/>
    <n v="80"/>
    <n v="1"/>
    <n v="21"/>
    <n v="2"/>
    <x v="1"/>
    <x v="18"/>
    <x v="16"/>
    <n v="0"/>
  </r>
  <r>
    <s v="RM738"/>
    <n v="41"/>
    <x v="2"/>
    <s v="No"/>
    <n v="0"/>
    <s v="Travel_Rarely"/>
    <n v="549"/>
    <x v="0"/>
    <x v="17"/>
    <x v="1"/>
    <x v="1"/>
    <n v="1"/>
    <n v="1025"/>
    <x v="1"/>
    <x v="1"/>
    <n v="42"/>
    <n v="3"/>
    <x v="1"/>
    <x v="4"/>
    <x v="0"/>
    <x v="0"/>
    <n v="5003"/>
    <x v="1"/>
    <n v="23371"/>
    <n v="6"/>
    <s v="Y"/>
    <x v="0"/>
    <n v="14"/>
    <n v="3"/>
    <n v="2"/>
    <n v="80"/>
    <n v="0"/>
    <n v="8"/>
    <n v="6"/>
    <x v="0"/>
    <x v="2"/>
    <x v="2"/>
    <n v="2"/>
  </r>
  <r>
    <s v="RM747"/>
    <n v="41"/>
    <x v="2"/>
    <s v="No"/>
    <n v="0"/>
    <s v="Non-Travel"/>
    <n v="247"/>
    <x v="0"/>
    <x v="17"/>
    <x v="2"/>
    <x v="0"/>
    <n v="1"/>
    <n v="1035"/>
    <x v="2"/>
    <x v="1"/>
    <n v="55"/>
    <n v="1"/>
    <x v="4"/>
    <x v="7"/>
    <x v="0"/>
    <x v="1"/>
    <n v="19973"/>
    <x v="3"/>
    <n v="20284"/>
    <n v="1"/>
    <s v="Y"/>
    <x v="0"/>
    <n v="22"/>
    <n v="4"/>
    <n v="2"/>
    <n v="80"/>
    <n v="2"/>
    <n v="21"/>
    <n v="3"/>
    <x v="0"/>
    <x v="21"/>
    <x v="16"/>
    <n v="5"/>
  </r>
  <r>
    <s v="RM784"/>
    <n v="41"/>
    <x v="2"/>
    <s v="No"/>
    <n v="0"/>
    <s v="Travel_Rarely"/>
    <n v="509"/>
    <x v="0"/>
    <x v="17"/>
    <x v="1"/>
    <x v="3"/>
    <n v="1"/>
    <n v="1085"/>
    <x v="2"/>
    <x v="1"/>
    <n v="43"/>
    <n v="4"/>
    <x v="0"/>
    <x v="2"/>
    <x v="0"/>
    <x v="2"/>
    <n v="3376"/>
    <x v="0"/>
    <n v="18863"/>
    <n v="1"/>
    <s v="Y"/>
    <x v="0"/>
    <n v="13"/>
    <n v="3"/>
    <n v="3"/>
    <n v="80"/>
    <n v="0"/>
    <n v="10"/>
    <n v="3"/>
    <x v="0"/>
    <x v="10"/>
    <x v="8"/>
    <n v="0"/>
  </r>
  <r>
    <s v="RM831"/>
    <n v="41"/>
    <x v="2"/>
    <s v="No"/>
    <n v="0"/>
    <s v="Travel_Rarely"/>
    <n v="167"/>
    <x v="0"/>
    <x v="15"/>
    <x v="3"/>
    <x v="0"/>
    <n v="1"/>
    <n v="1158"/>
    <x v="2"/>
    <x v="0"/>
    <n v="46"/>
    <n v="3"/>
    <x v="0"/>
    <x v="0"/>
    <x v="2"/>
    <x v="2"/>
    <n v="4766"/>
    <x v="0"/>
    <n v="9051"/>
    <n v="3"/>
    <s v="Y"/>
    <x v="1"/>
    <n v="11"/>
    <n v="3"/>
    <n v="1"/>
    <n v="80"/>
    <n v="1"/>
    <n v="6"/>
    <n v="4"/>
    <x v="0"/>
    <x v="1"/>
    <x v="0"/>
    <n v="0"/>
  </r>
  <r>
    <s v="RM865"/>
    <n v="41"/>
    <x v="2"/>
    <s v="Yes"/>
    <n v="1"/>
    <s v="Non-Travel"/>
    <n v="906"/>
    <x v="0"/>
    <x v="2"/>
    <x v="1"/>
    <x v="0"/>
    <n v="1"/>
    <n v="1210"/>
    <x v="3"/>
    <x v="0"/>
    <n v="95"/>
    <n v="2"/>
    <x v="0"/>
    <x v="2"/>
    <x v="3"/>
    <x v="1"/>
    <n v="2107"/>
    <x v="0"/>
    <n v="20293"/>
    <n v="6"/>
    <s v="Y"/>
    <x v="0"/>
    <n v="17"/>
    <n v="3"/>
    <n v="1"/>
    <n v="80"/>
    <n v="1"/>
    <n v="5"/>
    <n v="2"/>
    <x v="2"/>
    <x v="1"/>
    <x v="0"/>
    <n v="0"/>
  </r>
  <r>
    <s v="RM952"/>
    <n v="41"/>
    <x v="2"/>
    <s v="No"/>
    <n v="0"/>
    <s v="Non-Travel"/>
    <n v="256"/>
    <x v="1"/>
    <x v="1"/>
    <x v="1"/>
    <x v="1"/>
    <n v="1"/>
    <n v="1329"/>
    <x v="0"/>
    <x v="0"/>
    <n v="40"/>
    <n v="1"/>
    <x v="1"/>
    <x v="5"/>
    <x v="1"/>
    <x v="0"/>
    <n v="6151"/>
    <x v="1"/>
    <n v="22074"/>
    <n v="1"/>
    <s v="Y"/>
    <x v="0"/>
    <n v="13"/>
    <n v="3"/>
    <n v="1"/>
    <n v="80"/>
    <n v="0"/>
    <n v="19"/>
    <n v="4"/>
    <x v="0"/>
    <x v="19"/>
    <x v="2"/>
    <n v="11"/>
  </r>
  <r>
    <s v="RM961"/>
    <n v="41"/>
    <x v="2"/>
    <s v="No"/>
    <n v="0"/>
    <s v="Travel_Frequently"/>
    <n v="1018"/>
    <x v="1"/>
    <x v="4"/>
    <x v="0"/>
    <x v="2"/>
    <n v="1"/>
    <n v="1349"/>
    <x v="0"/>
    <x v="1"/>
    <n v="66"/>
    <n v="3"/>
    <x v="1"/>
    <x v="5"/>
    <x v="3"/>
    <x v="1"/>
    <n v="4103"/>
    <x v="0"/>
    <n v="4297"/>
    <n v="0"/>
    <s v="Y"/>
    <x v="0"/>
    <n v="17"/>
    <n v="3"/>
    <n v="4"/>
    <n v="80"/>
    <n v="1"/>
    <n v="10"/>
    <n v="2"/>
    <x v="0"/>
    <x v="9"/>
    <x v="3"/>
    <n v="1"/>
  </r>
  <r>
    <s v="RM989"/>
    <n v="41"/>
    <x v="2"/>
    <s v="No"/>
    <n v="0"/>
    <s v="Travel_Frequently"/>
    <n v="1200"/>
    <x v="0"/>
    <x v="6"/>
    <x v="0"/>
    <x v="0"/>
    <n v="1"/>
    <n v="1392"/>
    <x v="1"/>
    <x v="1"/>
    <n v="75"/>
    <n v="3"/>
    <x v="1"/>
    <x v="2"/>
    <x v="2"/>
    <x v="1"/>
    <n v="5467"/>
    <x v="1"/>
    <n v="13953"/>
    <n v="3"/>
    <s v="Y"/>
    <x v="1"/>
    <n v="14"/>
    <n v="3"/>
    <n v="1"/>
    <n v="80"/>
    <n v="2"/>
    <n v="12"/>
    <n v="4"/>
    <x v="3"/>
    <x v="6"/>
    <x v="2"/>
    <n v="3"/>
  </r>
  <r>
    <s v="RM1029"/>
    <n v="41"/>
    <x v="2"/>
    <s v="No"/>
    <n v="0"/>
    <s v="Travel_Rarely"/>
    <n v="1283"/>
    <x v="0"/>
    <x v="2"/>
    <x v="4"/>
    <x v="1"/>
    <n v="1"/>
    <n v="1448"/>
    <x v="2"/>
    <x v="0"/>
    <n v="90"/>
    <n v="4"/>
    <x v="0"/>
    <x v="2"/>
    <x v="0"/>
    <x v="2"/>
    <n v="2127"/>
    <x v="0"/>
    <n v="5561"/>
    <n v="2"/>
    <s v="Y"/>
    <x v="1"/>
    <n v="12"/>
    <n v="3"/>
    <n v="1"/>
    <n v="80"/>
    <n v="0"/>
    <n v="7"/>
    <n v="5"/>
    <x v="3"/>
    <x v="4"/>
    <x v="2"/>
    <n v="0"/>
  </r>
  <r>
    <s v="RM1197"/>
    <n v="41"/>
    <x v="2"/>
    <s v="No"/>
    <n v="0"/>
    <s v="Travel_Rarely"/>
    <n v="1206"/>
    <x v="1"/>
    <x v="23"/>
    <x v="1"/>
    <x v="0"/>
    <n v="1"/>
    <n v="1678"/>
    <x v="1"/>
    <x v="0"/>
    <n v="80"/>
    <n v="3"/>
    <x v="2"/>
    <x v="5"/>
    <x v="0"/>
    <x v="0"/>
    <n v="7082"/>
    <x v="1"/>
    <n v="11591"/>
    <n v="3"/>
    <s v="Y"/>
    <x v="1"/>
    <n v="16"/>
    <n v="3"/>
    <n v="4"/>
    <n v="80"/>
    <n v="0"/>
    <n v="21"/>
    <n v="2"/>
    <x v="0"/>
    <x v="2"/>
    <x v="0"/>
    <n v="0"/>
  </r>
  <r>
    <s v="RM1219"/>
    <n v="41"/>
    <x v="2"/>
    <s v="No"/>
    <n v="0"/>
    <s v="Travel_Rarely"/>
    <n v="918"/>
    <x v="1"/>
    <x v="11"/>
    <x v="0"/>
    <x v="2"/>
    <n v="1"/>
    <n v="1708"/>
    <x v="1"/>
    <x v="0"/>
    <n v="35"/>
    <n v="3"/>
    <x v="2"/>
    <x v="5"/>
    <x v="0"/>
    <x v="0"/>
    <n v="9241"/>
    <x v="1"/>
    <n v="15869"/>
    <n v="1"/>
    <s v="Y"/>
    <x v="0"/>
    <n v="12"/>
    <n v="3"/>
    <n v="2"/>
    <n v="80"/>
    <n v="0"/>
    <n v="10"/>
    <n v="3"/>
    <x v="0"/>
    <x v="10"/>
    <x v="7"/>
    <n v="8"/>
  </r>
  <r>
    <s v="RM1229"/>
    <n v="41"/>
    <x v="2"/>
    <s v="No"/>
    <n v="0"/>
    <s v="Non-Travel"/>
    <n v="552"/>
    <x v="2"/>
    <x v="12"/>
    <x v="0"/>
    <x v="5"/>
    <n v="1"/>
    <n v="1722"/>
    <x v="0"/>
    <x v="0"/>
    <n v="60"/>
    <n v="1"/>
    <x v="1"/>
    <x v="3"/>
    <x v="1"/>
    <x v="2"/>
    <n v="6430"/>
    <x v="1"/>
    <n v="20794"/>
    <n v="6"/>
    <s v="Y"/>
    <x v="0"/>
    <n v="19"/>
    <n v="3"/>
    <n v="2"/>
    <n v="80"/>
    <n v="1"/>
    <n v="10"/>
    <n v="4"/>
    <x v="0"/>
    <x v="3"/>
    <x v="2"/>
    <n v="1"/>
  </r>
  <r>
    <s v="RM1267"/>
    <n v="41"/>
    <x v="2"/>
    <s v="No"/>
    <n v="0"/>
    <s v="Travel_Rarely"/>
    <n v="548"/>
    <x v="0"/>
    <x v="9"/>
    <x v="3"/>
    <x v="0"/>
    <n v="1"/>
    <n v="1772"/>
    <x v="0"/>
    <x v="0"/>
    <n v="94"/>
    <n v="3"/>
    <x v="0"/>
    <x v="0"/>
    <x v="3"/>
    <x v="1"/>
    <n v="2289"/>
    <x v="0"/>
    <n v="20520"/>
    <n v="1"/>
    <s v="Y"/>
    <x v="0"/>
    <n v="20"/>
    <n v="4"/>
    <n v="2"/>
    <n v="80"/>
    <n v="2"/>
    <n v="5"/>
    <n v="2"/>
    <x v="0"/>
    <x v="5"/>
    <x v="3"/>
    <n v="0"/>
  </r>
  <r>
    <s v="RM1295"/>
    <n v="41"/>
    <x v="2"/>
    <s v="No"/>
    <n v="0"/>
    <s v="Travel_Rarely"/>
    <n v="447"/>
    <x v="0"/>
    <x v="2"/>
    <x v="0"/>
    <x v="0"/>
    <n v="1"/>
    <n v="1814"/>
    <x v="2"/>
    <x v="0"/>
    <n v="85"/>
    <n v="4"/>
    <x v="1"/>
    <x v="6"/>
    <x v="1"/>
    <x v="0"/>
    <n v="6870"/>
    <x v="1"/>
    <n v="15530"/>
    <n v="3"/>
    <s v="Y"/>
    <x v="0"/>
    <n v="12"/>
    <n v="3"/>
    <n v="1"/>
    <n v="80"/>
    <n v="0"/>
    <n v="11"/>
    <n v="3"/>
    <x v="2"/>
    <x v="3"/>
    <x v="2"/>
    <n v="1"/>
  </r>
  <r>
    <s v="RM1296"/>
    <n v="41"/>
    <x v="2"/>
    <s v="No"/>
    <n v="0"/>
    <s v="Travel_Rarely"/>
    <n v="796"/>
    <x v="1"/>
    <x v="12"/>
    <x v="2"/>
    <x v="2"/>
    <n v="1"/>
    <n v="1815"/>
    <x v="0"/>
    <x v="1"/>
    <n v="81"/>
    <n v="3"/>
    <x v="2"/>
    <x v="5"/>
    <x v="0"/>
    <x v="1"/>
    <n v="10447"/>
    <x v="2"/>
    <n v="26458"/>
    <n v="0"/>
    <s v="Y"/>
    <x v="1"/>
    <n v="13"/>
    <n v="3"/>
    <n v="4"/>
    <n v="80"/>
    <n v="1"/>
    <n v="23"/>
    <n v="3"/>
    <x v="1"/>
    <x v="22"/>
    <x v="13"/>
    <n v="13"/>
  </r>
  <r>
    <s v="RM1357"/>
    <n v="41"/>
    <x v="2"/>
    <s v="No"/>
    <n v="0"/>
    <s v="Travel_Rarely"/>
    <n v="337"/>
    <x v="1"/>
    <x v="3"/>
    <x v="0"/>
    <x v="2"/>
    <n v="1"/>
    <n v="1909"/>
    <x v="0"/>
    <x v="1"/>
    <n v="54"/>
    <n v="3"/>
    <x v="1"/>
    <x v="5"/>
    <x v="1"/>
    <x v="2"/>
    <n v="4393"/>
    <x v="0"/>
    <n v="26841"/>
    <n v="5"/>
    <s v="Y"/>
    <x v="0"/>
    <n v="21"/>
    <n v="4"/>
    <n v="3"/>
    <n v="80"/>
    <n v="1"/>
    <n v="14"/>
    <n v="3"/>
    <x v="0"/>
    <x v="5"/>
    <x v="4"/>
    <n v="1"/>
  </r>
  <r>
    <s v="RM1421"/>
    <n v="41"/>
    <x v="2"/>
    <s v="No"/>
    <n v="0"/>
    <s v="Travel_Rarely"/>
    <n v="642"/>
    <x v="0"/>
    <x v="4"/>
    <x v="0"/>
    <x v="0"/>
    <n v="1"/>
    <n v="1999"/>
    <x v="1"/>
    <x v="0"/>
    <n v="76"/>
    <n v="3"/>
    <x v="0"/>
    <x v="2"/>
    <x v="2"/>
    <x v="2"/>
    <n v="2782"/>
    <x v="0"/>
    <n v="21412"/>
    <n v="3"/>
    <s v="Y"/>
    <x v="0"/>
    <n v="22"/>
    <n v="4"/>
    <n v="1"/>
    <n v="80"/>
    <n v="1"/>
    <n v="12"/>
    <n v="3"/>
    <x v="0"/>
    <x v="5"/>
    <x v="3"/>
    <n v="1"/>
  </r>
  <r>
    <s v="RM1446"/>
    <n v="41"/>
    <x v="2"/>
    <s v="No"/>
    <n v="0"/>
    <s v="Travel_Rarely"/>
    <n v="582"/>
    <x v="0"/>
    <x v="27"/>
    <x v="3"/>
    <x v="0"/>
    <n v="1"/>
    <n v="2034"/>
    <x v="3"/>
    <x v="1"/>
    <n v="60"/>
    <n v="2"/>
    <x v="3"/>
    <x v="4"/>
    <x v="1"/>
    <x v="2"/>
    <n v="13570"/>
    <x v="2"/>
    <n v="5640"/>
    <n v="0"/>
    <s v="Y"/>
    <x v="0"/>
    <n v="23"/>
    <n v="4"/>
    <n v="3"/>
    <n v="80"/>
    <n v="1"/>
    <n v="21"/>
    <n v="3"/>
    <x v="0"/>
    <x v="20"/>
    <x v="6"/>
    <n v="0"/>
  </r>
  <r>
    <s v="RM1449"/>
    <n v="41"/>
    <x v="2"/>
    <s v="No"/>
    <n v="0"/>
    <s v="Travel_Rarely"/>
    <n v="930"/>
    <x v="1"/>
    <x v="0"/>
    <x v="0"/>
    <x v="0"/>
    <n v="1"/>
    <n v="2037"/>
    <x v="0"/>
    <x v="0"/>
    <n v="57"/>
    <n v="2"/>
    <x v="1"/>
    <x v="5"/>
    <x v="1"/>
    <x v="1"/>
    <n v="8938"/>
    <x v="1"/>
    <n v="12227"/>
    <n v="2"/>
    <s v="Y"/>
    <x v="0"/>
    <n v="11"/>
    <n v="3"/>
    <n v="3"/>
    <n v="80"/>
    <n v="1"/>
    <n v="14"/>
    <n v="5"/>
    <x v="0"/>
    <x v="5"/>
    <x v="4"/>
    <n v="0"/>
  </r>
  <r>
    <s v="RM028"/>
    <n v="42"/>
    <x v="2"/>
    <s v="No"/>
    <n v="0"/>
    <s v="Travel_Rarely"/>
    <n v="691"/>
    <x v="1"/>
    <x v="3"/>
    <x v="3"/>
    <x v="2"/>
    <n v="1"/>
    <n v="35"/>
    <x v="0"/>
    <x v="0"/>
    <n v="48"/>
    <n v="3"/>
    <x v="1"/>
    <x v="5"/>
    <x v="1"/>
    <x v="2"/>
    <n v="6825"/>
    <x v="1"/>
    <n v="21173"/>
    <n v="0"/>
    <s v="Y"/>
    <x v="0"/>
    <n v="11"/>
    <n v="3"/>
    <n v="4"/>
    <n v="80"/>
    <n v="1"/>
    <n v="10"/>
    <n v="2"/>
    <x v="0"/>
    <x v="9"/>
    <x v="6"/>
    <n v="4"/>
  </r>
  <r>
    <s v="RM198"/>
    <n v="42"/>
    <x v="2"/>
    <s v="No"/>
    <n v="0"/>
    <s v="Non-Travel"/>
    <n v="926"/>
    <x v="0"/>
    <x v="8"/>
    <x v="1"/>
    <x v="1"/>
    <n v="1"/>
    <n v="270"/>
    <x v="0"/>
    <x v="1"/>
    <n v="36"/>
    <n v="3"/>
    <x v="1"/>
    <x v="4"/>
    <x v="0"/>
    <x v="1"/>
    <n v="5265"/>
    <x v="1"/>
    <n v="16439"/>
    <n v="2"/>
    <s v="Y"/>
    <x v="0"/>
    <n v="16"/>
    <n v="3"/>
    <n v="2"/>
    <n v="80"/>
    <n v="1"/>
    <n v="11"/>
    <n v="5"/>
    <x v="0"/>
    <x v="5"/>
    <x v="3"/>
    <n v="0"/>
  </r>
  <r>
    <s v="RM232"/>
    <n v="42"/>
    <x v="2"/>
    <s v="No"/>
    <n v="0"/>
    <s v="Travel_Rarely"/>
    <n v="532"/>
    <x v="0"/>
    <x v="12"/>
    <x v="1"/>
    <x v="3"/>
    <n v="1"/>
    <n v="319"/>
    <x v="0"/>
    <x v="0"/>
    <n v="58"/>
    <n v="3"/>
    <x v="4"/>
    <x v="8"/>
    <x v="2"/>
    <x v="2"/>
    <n v="19232"/>
    <x v="3"/>
    <n v="4933"/>
    <n v="1"/>
    <s v="Y"/>
    <x v="0"/>
    <n v="11"/>
    <n v="3"/>
    <n v="4"/>
    <n v="80"/>
    <n v="0"/>
    <n v="22"/>
    <n v="3"/>
    <x v="0"/>
    <x v="22"/>
    <x v="17"/>
    <n v="11"/>
  </r>
  <r>
    <s v="RM254"/>
    <n v="42"/>
    <x v="2"/>
    <s v="No"/>
    <n v="0"/>
    <s v="Travel_Rarely"/>
    <n v="916"/>
    <x v="0"/>
    <x v="24"/>
    <x v="1"/>
    <x v="0"/>
    <n v="1"/>
    <n v="347"/>
    <x v="1"/>
    <x v="1"/>
    <n v="82"/>
    <n v="4"/>
    <x v="1"/>
    <x v="2"/>
    <x v="3"/>
    <x v="0"/>
    <n v="6545"/>
    <x v="1"/>
    <n v="23016"/>
    <n v="3"/>
    <s v="Y"/>
    <x v="1"/>
    <n v="13"/>
    <n v="3"/>
    <n v="3"/>
    <n v="80"/>
    <n v="0"/>
    <n v="10"/>
    <n v="1"/>
    <x v="0"/>
    <x v="3"/>
    <x v="2"/>
    <n v="0"/>
  </r>
  <r>
    <s v="RM257"/>
    <n v="42"/>
    <x v="2"/>
    <s v="No"/>
    <n v="0"/>
    <s v="Travel_Rarely"/>
    <n v="269"/>
    <x v="0"/>
    <x v="7"/>
    <x v="0"/>
    <x v="1"/>
    <n v="1"/>
    <n v="351"/>
    <x v="1"/>
    <x v="1"/>
    <n v="56"/>
    <n v="2"/>
    <x v="0"/>
    <x v="0"/>
    <x v="3"/>
    <x v="1"/>
    <n v="2593"/>
    <x v="0"/>
    <n v="8007"/>
    <n v="0"/>
    <s v="Y"/>
    <x v="1"/>
    <n v="11"/>
    <n v="3"/>
    <n v="3"/>
    <n v="80"/>
    <n v="1"/>
    <n v="10"/>
    <n v="4"/>
    <x v="0"/>
    <x v="9"/>
    <x v="8"/>
    <n v="7"/>
  </r>
  <r>
    <s v="RM282"/>
    <n v="42"/>
    <x v="2"/>
    <s v="No"/>
    <n v="0"/>
    <s v="Travel_Rarely"/>
    <n v="635"/>
    <x v="1"/>
    <x v="4"/>
    <x v="2"/>
    <x v="0"/>
    <n v="1"/>
    <n v="387"/>
    <x v="2"/>
    <x v="0"/>
    <n v="99"/>
    <n v="3"/>
    <x v="1"/>
    <x v="5"/>
    <x v="0"/>
    <x v="2"/>
    <n v="4907"/>
    <x v="0"/>
    <n v="24532"/>
    <n v="1"/>
    <s v="Y"/>
    <x v="0"/>
    <n v="25"/>
    <n v="4"/>
    <n v="3"/>
    <n v="80"/>
    <n v="0"/>
    <n v="20"/>
    <n v="3"/>
    <x v="0"/>
    <x v="20"/>
    <x v="16"/>
    <n v="11"/>
  </r>
  <r>
    <s v="RM296"/>
    <n v="42"/>
    <x v="2"/>
    <s v="No"/>
    <n v="0"/>
    <s v="Travel_Frequently"/>
    <n v="555"/>
    <x v="1"/>
    <x v="20"/>
    <x v="0"/>
    <x v="2"/>
    <n v="1"/>
    <n v="404"/>
    <x v="0"/>
    <x v="1"/>
    <n v="77"/>
    <n v="3"/>
    <x v="3"/>
    <x v="5"/>
    <x v="1"/>
    <x v="2"/>
    <n v="13525"/>
    <x v="2"/>
    <n v="14864"/>
    <n v="5"/>
    <s v="Y"/>
    <x v="0"/>
    <n v="14"/>
    <n v="3"/>
    <n v="4"/>
    <n v="80"/>
    <n v="1"/>
    <n v="23"/>
    <n v="2"/>
    <x v="1"/>
    <x v="20"/>
    <x v="4"/>
    <n v="4"/>
  </r>
  <r>
    <s v="RM349"/>
    <n v="42"/>
    <x v="2"/>
    <s v="No"/>
    <n v="0"/>
    <s v="Travel_Rarely"/>
    <n v="810"/>
    <x v="0"/>
    <x v="23"/>
    <x v="4"/>
    <x v="0"/>
    <n v="1"/>
    <n v="468"/>
    <x v="3"/>
    <x v="1"/>
    <n v="44"/>
    <n v="3"/>
    <x v="3"/>
    <x v="7"/>
    <x v="2"/>
    <x v="0"/>
    <n v="15992"/>
    <x v="3"/>
    <n v="15901"/>
    <n v="2"/>
    <s v="Y"/>
    <x v="0"/>
    <n v="14"/>
    <n v="3"/>
    <n v="2"/>
    <n v="80"/>
    <n v="0"/>
    <n v="16"/>
    <n v="2"/>
    <x v="0"/>
    <x v="1"/>
    <x v="0"/>
    <n v="0"/>
  </r>
  <r>
    <s v="RM351"/>
    <n v="42"/>
    <x v="2"/>
    <s v="No"/>
    <n v="0"/>
    <s v="Travel_Rarely"/>
    <n v="544"/>
    <x v="2"/>
    <x v="7"/>
    <x v="2"/>
    <x v="3"/>
    <n v="1"/>
    <n v="470"/>
    <x v="0"/>
    <x v="0"/>
    <n v="52"/>
    <n v="3"/>
    <x v="0"/>
    <x v="3"/>
    <x v="0"/>
    <x v="1"/>
    <n v="2696"/>
    <x v="0"/>
    <n v="24017"/>
    <n v="0"/>
    <s v="Y"/>
    <x v="1"/>
    <n v="11"/>
    <n v="3"/>
    <n v="3"/>
    <n v="80"/>
    <n v="1"/>
    <n v="4"/>
    <n v="5"/>
    <x v="0"/>
    <x v="3"/>
    <x v="2"/>
    <n v="1"/>
  </r>
  <r>
    <s v="RM357"/>
    <n v="42"/>
    <x v="2"/>
    <s v="No"/>
    <n v="0"/>
    <s v="Travel_Rarely"/>
    <n v="1332"/>
    <x v="0"/>
    <x v="7"/>
    <x v="3"/>
    <x v="4"/>
    <n v="1"/>
    <n v="477"/>
    <x v="3"/>
    <x v="0"/>
    <n v="98"/>
    <n v="2"/>
    <x v="1"/>
    <x v="6"/>
    <x v="2"/>
    <x v="0"/>
    <n v="6781"/>
    <x v="1"/>
    <n v="17078"/>
    <n v="3"/>
    <s v="Y"/>
    <x v="0"/>
    <n v="23"/>
    <n v="4"/>
    <n v="2"/>
    <n v="80"/>
    <n v="0"/>
    <n v="14"/>
    <n v="6"/>
    <x v="0"/>
    <x v="1"/>
    <x v="0"/>
    <n v="0"/>
  </r>
  <r>
    <s v="RM389"/>
    <n v="42"/>
    <x v="2"/>
    <s v="No"/>
    <n v="0"/>
    <s v="Travel_Rarely"/>
    <n v="201"/>
    <x v="0"/>
    <x v="4"/>
    <x v="3"/>
    <x v="0"/>
    <n v="1"/>
    <n v="517"/>
    <x v="2"/>
    <x v="1"/>
    <n v="95"/>
    <n v="3"/>
    <x v="0"/>
    <x v="0"/>
    <x v="3"/>
    <x v="1"/>
    <n v="2576"/>
    <x v="0"/>
    <n v="20490"/>
    <n v="3"/>
    <s v="Y"/>
    <x v="0"/>
    <n v="16"/>
    <n v="3"/>
    <n v="2"/>
    <n v="80"/>
    <n v="1"/>
    <n v="8"/>
    <n v="5"/>
    <x v="0"/>
    <x v="5"/>
    <x v="2"/>
    <n v="1"/>
  </r>
  <r>
    <s v="RM410"/>
    <n v="42"/>
    <x v="2"/>
    <s v="No"/>
    <n v="0"/>
    <s v="Travel_Frequently"/>
    <n v="532"/>
    <x v="0"/>
    <x v="26"/>
    <x v="1"/>
    <x v="0"/>
    <n v="1"/>
    <n v="547"/>
    <x v="3"/>
    <x v="1"/>
    <n v="92"/>
    <n v="3"/>
    <x v="1"/>
    <x v="2"/>
    <x v="0"/>
    <x v="1"/>
    <n v="4556"/>
    <x v="0"/>
    <n v="12932"/>
    <n v="2"/>
    <s v="Y"/>
    <x v="0"/>
    <n v="11"/>
    <n v="3"/>
    <n v="2"/>
    <n v="80"/>
    <n v="1"/>
    <n v="19"/>
    <n v="3"/>
    <x v="0"/>
    <x v="5"/>
    <x v="4"/>
    <n v="0"/>
  </r>
  <r>
    <s v="RM414"/>
    <n v="42"/>
    <x v="2"/>
    <s v="No"/>
    <n v="0"/>
    <s v="Travel_Frequently"/>
    <n v="1368"/>
    <x v="0"/>
    <x v="27"/>
    <x v="3"/>
    <x v="3"/>
    <n v="1"/>
    <n v="551"/>
    <x v="1"/>
    <x v="1"/>
    <n v="88"/>
    <n v="2"/>
    <x v="1"/>
    <x v="6"/>
    <x v="2"/>
    <x v="2"/>
    <n v="4523"/>
    <x v="0"/>
    <n v="4386"/>
    <n v="0"/>
    <s v="Y"/>
    <x v="0"/>
    <n v="11"/>
    <n v="3"/>
    <n v="4"/>
    <n v="80"/>
    <n v="3"/>
    <n v="7"/>
    <n v="4"/>
    <x v="1"/>
    <x v="6"/>
    <x v="5"/>
    <n v="0"/>
  </r>
  <r>
    <s v="RM442"/>
    <n v="42"/>
    <x v="2"/>
    <s v="No"/>
    <n v="0"/>
    <s v="Travel_Frequently"/>
    <n v="1474"/>
    <x v="0"/>
    <x v="2"/>
    <x v="1"/>
    <x v="4"/>
    <n v="1"/>
    <n v="591"/>
    <x v="2"/>
    <x v="0"/>
    <n v="97"/>
    <n v="3"/>
    <x v="0"/>
    <x v="0"/>
    <x v="0"/>
    <x v="2"/>
    <n v="2093"/>
    <x v="0"/>
    <n v="9260"/>
    <n v="4"/>
    <s v="Y"/>
    <x v="0"/>
    <n v="17"/>
    <n v="3"/>
    <n v="4"/>
    <n v="80"/>
    <n v="1"/>
    <n v="8"/>
    <n v="4"/>
    <x v="0"/>
    <x v="2"/>
    <x v="2"/>
    <n v="2"/>
  </r>
  <r>
    <s v="RM452"/>
    <n v="42"/>
    <x v="2"/>
    <s v="No"/>
    <n v="0"/>
    <s v="Travel_Rarely"/>
    <n v="319"/>
    <x v="0"/>
    <x v="22"/>
    <x v="0"/>
    <x v="1"/>
    <n v="1"/>
    <n v="605"/>
    <x v="1"/>
    <x v="0"/>
    <n v="56"/>
    <n v="3"/>
    <x v="2"/>
    <x v="4"/>
    <x v="3"/>
    <x v="2"/>
    <n v="7406"/>
    <x v="1"/>
    <n v="6950"/>
    <n v="1"/>
    <s v="Y"/>
    <x v="1"/>
    <n v="21"/>
    <n v="4"/>
    <n v="4"/>
    <n v="80"/>
    <n v="1"/>
    <n v="10"/>
    <n v="5"/>
    <x v="3"/>
    <x v="10"/>
    <x v="9"/>
    <n v="5"/>
  </r>
  <r>
    <s v="RM489"/>
    <n v="42"/>
    <x v="2"/>
    <s v="No"/>
    <n v="0"/>
    <s v="Travel_Rarely"/>
    <n v="622"/>
    <x v="0"/>
    <x v="7"/>
    <x v="3"/>
    <x v="0"/>
    <n v="1"/>
    <n v="659"/>
    <x v="0"/>
    <x v="1"/>
    <n v="81"/>
    <n v="3"/>
    <x v="1"/>
    <x v="6"/>
    <x v="2"/>
    <x v="2"/>
    <n v="4089"/>
    <x v="0"/>
    <n v="5718"/>
    <n v="1"/>
    <s v="Y"/>
    <x v="0"/>
    <n v="13"/>
    <n v="3"/>
    <n v="2"/>
    <n v="80"/>
    <n v="2"/>
    <n v="10"/>
    <n v="4"/>
    <x v="0"/>
    <x v="10"/>
    <x v="2"/>
    <n v="2"/>
  </r>
  <r>
    <s v="RM548"/>
    <n v="42"/>
    <x v="2"/>
    <s v="Yes"/>
    <n v="1"/>
    <s v="Travel_Frequently"/>
    <n v="933"/>
    <x v="0"/>
    <x v="19"/>
    <x v="0"/>
    <x v="1"/>
    <n v="1"/>
    <n v="752"/>
    <x v="0"/>
    <x v="0"/>
    <n v="57"/>
    <n v="4"/>
    <x v="0"/>
    <x v="2"/>
    <x v="0"/>
    <x v="1"/>
    <n v="2759"/>
    <x v="0"/>
    <n v="20366"/>
    <n v="6"/>
    <s v="Y"/>
    <x v="1"/>
    <n v="12"/>
    <n v="3"/>
    <n v="4"/>
    <n v="80"/>
    <n v="0"/>
    <n v="7"/>
    <n v="2"/>
    <x v="0"/>
    <x v="2"/>
    <x v="2"/>
    <n v="2"/>
  </r>
  <r>
    <s v="RM585"/>
    <n v="42"/>
    <x v="2"/>
    <s v="No"/>
    <n v="0"/>
    <s v="Travel_Frequently"/>
    <n v="570"/>
    <x v="0"/>
    <x v="3"/>
    <x v="0"/>
    <x v="0"/>
    <n v="1"/>
    <n v="809"/>
    <x v="2"/>
    <x v="0"/>
    <n v="66"/>
    <n v="3"/>
    <x v="4"/>
    <x v="8"/>
    <x v="2"/>
    <x v="1"/>
    <n v="18430"/>
    <x v="3"/>
    <n v="16225"/>
    <n v="1"/>
    <s v="Y"/>
    <x v="0"/>
    <n v="13"/>
    <n v="3"/>
    <n v="2"/>
    <n v="80"/>
    <n v="1"/>
    <n v="24"/>
    <n v="4"/>
    <x v="3"/>
    <x v="23"/>
    <x v="6"/>
    <n v="14"/>
  </r>
  <r>
    <s v="RM598"/>
    <n v="42"/>
    <x v="2"/>
    <s v="No"/>
    <n v="0"/>
    <s v="Travel_Rarely"/>
    <n v="932"/>
    <x v="0"/>
    <x v="4"/>
    <x v="1"/>
    <x v="0"/>
    <n v="1"/>
    <n v="827"/>
    <x v="1"/>
    <x v="1"/>
    <n v="43"/>
    <n v="2"/>
    <x v="1"/>
    <x v="4"/>
    <x v="2"/>
    <x v="2"/>
    <n v="6062"/>
    <x v="1"/>
    <n v="4051"/>
    <n v="9"/>
    <s v="Y"/>
    <x v="1"/>
    <n v="13"/>
    <n v="3"/>
    <n v="4"/>
    <n v="80"/>
    <n v="1"/>
    <n v="8"/>
    <n v="4"/>
    <x v="0"/>
    <x v="4"/>
    <x v="3"/>
    <n v="0"/>
  </r>
  <r>
    <s v="RM605"/>
    <n v="42"/>
    <x v="2"/>
    <s v="No"/>
    <n v="0"/>
    <s v="Travel_Rarely"/>
    <n v="933"/>
    <x v="0"/>
    <x v="26"/>
    <x v="0"/>
    <x v="0"/>
    <n v="1"/>
    <n v="836"/>
    <x v="2"/>
    <x v="0"/>
    <n v="98"/>
    <n v="3"/>
    <x v="1"/>
    <x v="4"/>
    <x v="1"/>
    <x v="2"/>
    <n v="4434"/>
    <x v="0"/>
    <n v="11806"/>
    <n v="1"/>
    <s v="Y"/>
    <x v="0"/>
    <n v="13"/>
    <n v="3"/>
    <n v="4"/>
    <n v="80"/>
    <n v="1"/>
    <n v="10"/>
    <n v="3"/>
    <x v="3"/>
    <x v="9"/>
    <x v="7"/>
    <n v="7"/>
  </r>
  <r>
    <s v="RM633"/>
    <n v="42"/>
    <x v="2"/>
    <s v="No"/>
    <n v="0"/>
    <s v="Travel_Frequently"/>
    <n v="1271"/>
    <x v="0"/>
    <x v="7"/>
    <x v="2"/>
    <x v="1"/>
    <n v="1"/>
    <n v="875"/>
    <x v="2"/>
    <x v="0"/>
    <n v="35"/>
    <n v="3"/>
    <x v="0"/>
    <x v="2"/>
    <x v="2"/>
    <x v="0"/>
    <n v="2515"/>
    <x v="0"/>
    <n v="9068"/>
    <n v="5"/>
    <s v="Y"/>
    <x v="1"/>
    <n v="14"/>
    <n v="3"/>
    <n v="4"/>
    <n v="80"/>
    <n v="0"/>
    <n v="8"/>
    <n v="2"/>
    <x v="0"/>
    <x v="2"/>
    <x v="1"/>
    <n v="2"/>
  </r>
  <r>
    <s v="RM644"/>
    <n v="42"/>
    <x v="2"/>
    <s v="No"/>
    <n v="0"/>
    <s v="Travel_Rarely"/>
    <n v="1265"/>
    <x v="0"/>
    <x v="0"/>
    <x v="0"/>
    <x v="0"/>
    <n v="1"/>
    <n v="894"/>
    <x v="0"/>
    <x v="1"/>
    <n v="95"/>
    <n v="4"/>
    <x v="1"/>
    <x v="0"/>
    <x v="2"/>
    <x v="2"/>
    <n v="5231"/>
    <x v="1"/>
    <n v="23726"/>
    <n v="2"/>
    <s v="Y"/>
    <x v="1"/>
    <n v="13"/>
    <n v="3"/>
    <n v="2"/>
    <n v="80"/>
    <n v="1"/>
    <n v="17"/>
    <n v="1"/>
    <x v="3"/>
    <x v="5"/>
    <x v="3"/>
    <n v="1"/>
  </r>
  <r>
    <s v="RM673"/>
    <n v="42"/>
    <x v="2"/>
    <s v="No"/>
    <n v="0"/>
    <s v="Travel_Rarely"/>
    <n v="462"/>
    <x v="1"/>
    <x v="5"/>
    <x v="1"/>
    <x v="1"/>
    <n v="1"/>
    <n v="936"/>
    <x v="0"/>
    <x v="1"/>
    <n v="68"/>
    <n v="2"/>
    <x v="1"/>
    <x v="5"/>
    <x v="0"/>
    <x v="0"/>
    <n v="6244"/>
    <x v="1"/>
    <n v="7824"/>
    <n v="7"/>
    <s v="Y"/>
    <x v="0"/>
    <n v="17"/>
    <n v="3"/>
    <n v="1"/>
    <n v="80"/>
    <n v="0"/>
    <n v="10"/>
    <n v="6"/>
    <x v="0"/>
    <x v="5"/>
    <x v="4"/>
    <n v="0"/>
  </r>
  <r>
    <s v="RM742"/>
    <n v="42"/>
    <x v="2"/>
    <s v="No"/>
    <n v="0"/>
    <s v="Travel_Rarely"/>
    <n v="265"/>
    <x v="1"/>
    <x v="2"/>
    <x v="1"/>
    <x v="2"/>
    <n v="1"/>
    <n v="1029"/>
    <x v="1"/>
    <x v="0"/>
    <n v="90"/>
    <n v="3"/>
    <x v="4"/>
    <x v="8"/>
    <x v="0"/>
    <x v="2"/>
    <n v="18303"/>
    <x v="3"/>
    <n v="7770"/>
    <n v="6"/>
    <s v="Y"/>
    <x v="0"/>
    <n v="13"/>
    <n v="3"/>
    <n v="2"/>
    <n v="80"/>
    <n v="0"/>
    <n v="21"/>
    <n v="3"/>
    <x v="1"/>
    <x v="1"/>
    <x v="0"/>
    <n v="0"/>
  </r>
  <r>
    <s v="RM800"/>
    <n v="42"/>
    <x v="2"/>
    <s v="No"/>
    <n v="0"/>
    <s v="Travel_Rarely"/>
    <n v="469"/>
    <x v="0"/>
    <x v="7"/>
    <x v="1"/>
    <x v="1"/>
    <n v="1"/>
    <n v="1109"/>
    <x v="1"/>
    <x v="0"/>
    <n v="35"/>
    <n v="3"/>
    <x v="3"/>
    <x v="8"/>
    <x v="3"/>
    <x v="2"/>
    <n v="17665"/>
    <x v="3"/>
    <n v="14399"/>
    <n v="0"/>
    <s v="Y"/>
    <x v="0"/>
    <n v="17"/>
    <n v="3"/>
    <n v="4"/>
    <n v="80"/>
    <n v="1"/>
    <n v="23"/>
    <n v="3"/>
    <x v="0"/>
    <x v="22"/>
    <x v="8"/>
    <n v="13"/>
  </r>
  <r>
    <s v="RM825"/>
    <n v="42"/>
    <x v="2"/>
    <s v="No"/>
    <n v="0"/>
    <s v="Travel_Rarely"/>
    <n v="188"/>
    <x v="0"/>
    <x v="26"/>
    <x v="0"/>
    <x v="1"/>
    <n v="1"/>
    <n v="1148"/>
    <x v="2"/>
    <x v="0"/>
    <n v="56"/>
    <n v="1"/>
    <x v="1"/>
    <x v="0"/>
    <x v="2"/>
    <x v="0"/>
    <n v="4272"/>
    <x v="0"/>
    <n v="9558"/>
    <n v="4"/>
    <s v="Y"/>
    <x v="0"/>
    <n v="19"/>
    <n v="3"/>
    <n v="1"/>
    <n v="80"/>
    <n v="0"/>
    <n v="16"/>
    <n v="3"/>
    <x v="0"/>
    <x v="1"/>
    <x v="0"/>
    <n v="0"/>
  </r>
  <r>
    <s v="RM839"/>
    <n v="42"/>
    <x v="2"/>
    <s v="Yes"/>
    <n v="1"/>
    <s v="Travel_Frequently"/>
    <n v="481"/>
    <x v="1"/>
    <x v="15"/>
    <x v="0"/>
    <x v="0"/>
    <n v="1"/>
    <n v="1167"/>
    <x v="0"/>
    <x v="0"/>
    <n v="44"/>
    <n v="3"/>
    <x v="3"/>
    <x v="5"/>
    <x v="3"/>
    <x v="0"/>
    <n v="13758"/>
    <x v="2"/>
    <n v="2447"/>
    <n v="0"/>
    <s v="Y"/>
    <x v="1"/>
    <n v="12"/>
    <n v="3"/>
    <n v="2"/>
    <n v="80"/>
    <n v="0"/>
    <n v="22"/>
    <n v="2"/>
    <x v="3"/>
    <x v="21"/>
    <x v="9"/>
    <n v="13"/>
  </r>
  <r>
    <s v="RM840"/>
    <n v="42"/>
    <x v="2"/>
    <s v="No"/>
    <n v="0"/>
    <s v="Travel_Rarely"/>
    <n v="647"/>
    <x v="1"/>
    <x v="12"/>
    <x v="3"/>
    <x v="2"/>
    <n v="1"/>
    <n v="1171"/>
    <x v="2"/>
    <x v="0"/>
    <n v="45"/>
    <n v="3"/>
    <x v="1"/>
    <x v="5"/>
    <x v="3"/>
    <x v="0"/>
    <n v="5155"/>
    <x v="1"/>
    <n v="2253"/>
    <n v="7"/>
    <s v="Y"/>
    <x v="0"/>
    <n v="13"/>
    <n v="3"/>
    <n v="4"/>
    <n v="80"/>
    <n v="0"/>
    <n v="9"/>
    <n v="3"/>
    <x v="1"/>
    <x v="6"/>
    <x v="4"/>
    <n v="1"/>
  </r>
  <r>
    <s v="RM879"/>
    <n v="42"/>
    <x v="2"/>
    <s v="No"/>
    <n v="0"/>
    <s v="Non-Travel"/>
    <n v="179"/>
    <x v="2"/>
    <x v="7"/>
    <x v="4"/>
    <x v="1"/>
    <n v="1"/>
    <n v="1231"/>
    <x v="1"/>
    <x v="0"/>
    <n v="79"/>
    <n v="4"/>
    <x v="1"/>
    <x v="3"/>
    <x v="3"/>
    <x v="2"/>
    <n v="6272"/>
    <x v="1"/>
    <n v="12858"/>
    <n v="7"/>
    <s v="Y"/>
    <x v="0"/>
    <n v="16"/>
    <n v="3"/>
    <n v="1"/>
    <n v="80"/>
    <n v="1"/>
    <n v="10"/>
    <n v="3"/>
    <x v="1"/>
    <x v="4"/>
    <x v="3"/>
    <n v="0"/>
  </r>
  <r>
    <s v="RM888"/>
    <n v="42"/>
    <x v="2"/>
    <s v="No"/>
    <n v="0"/>
    <s v="Travel_Frequently"/>
    <n v="458"/>
    <x v="0"/>
    <x v="20"/>
    <x v="4"/>
    <x v="1"/>
    <n v="1"/>
    <n v="1242"/>
    <x v="3"/>
    <x v="1"/>
    <n v="60"/>
    <n v="3"/>
    <x v="2"/>
    <x v="7"/>
    <x v="3"/>
    <x v="2"/>
    <n v="13191"/>
    <x v="2"/>
    <n v="23281"/>
    <n v="3"/>
    <s v="Y"/>
    <x v="1"/>
    <n v="17"/>
    <n v="3"/>
    <n v="3"/>
    <n v="80"/>
    <n v="0"/>
    <n v="20"/>
    <n v="6"/>
    <x v="0"/>
    <x v="1"/>
    <x v="0"/>
    <n v="0"/>
  </r>
  <r>
    <s v="RM926"/>
    <n v="42"/>
    <x v="2"/>
    <s v="No"/>
    <n v="0"/>
    <s v="Travel_Rarely"/>
    <n v="603"/>
    <x v="0"/>
    <x v="17"/>
    <x v="3"/>
    <x v="1"/>
    <n v="1"/>
    <n v="1292"/>
    <x v="2"/>
    <x v="1"/>
    <n v="78"/>
    <n v="4"/>
    <x v="1"/>
    <x v="2"/>
    <x v="1"/>
    <x v="2"/>
    <n v="2372"/>
    <x v="0"/>
    <n v="5628"/>
    <n v="6"/>
    <s v="Y"/>
    <x v="1"/>
    <n v="16"/>
    <n v="3"/>
    <n v="4"/>
    <n v="80"/>
    <n v="0"/>
    <n v="18"/>
    <n v="2"/>
    <x v="0"/>
    <x v="1"/>
    <x v="0"/>
    <n v="0"/>
  </r>
  <r>
    <s v="RM955"/>
    <n v="42"/>
    <x v="2"/>
    <s v="No"/>
    <n v="0"/>
    <s v="Non-Travel"/>
    <n v="495"/>
    <x v="0"/>
    <x v="7"/>
    <x v="2"/>
    <x v="0"/>
    <n v="1"/>
    <n v="1334"/>
    <x v="0"/>
    <x v="0"/>
    <n v="37"/>
    <n v="3"/>
    <x v="3"/>
    <x v="8"/>
    <x v="0"/>
    <x v="2"/>
    <n v="17861"/>
    <x v="3"/>
    <n v="26582"/>
    <n v="0"/>
    <s v="Y"/>
    <x v="1"/>
    <n v="13"/>
    <n v="3"/>
    <n v="4"/>
    <n v="80"/>
    <n v="0"/>
    <n v="21"/>
    <n v="3"/>
    <x v="3"/>
    <x v="20"/>
    <x v="7"/>
    <n v="2"/>
  </r>
  <r>
    <s v="RM1000"/>
    <n v="42"/>
    <x v="2"/>
    <s v="No"/>
    <n v="0"/>
    <s v="Travel_Rarely"/>
    <n v="1147"/>
    <x v="2"/>
    <x v="1"/>
    <x v="0"/>
    <x v="5"/>
    <n v="1"/>
    <n v="1408"/>
    <x v="0"/>
    <x v="1"/>
    <n v="31"/>
    <n v="3"/>
    <x v="3"/>
    <x v="8"/>
    <x v="3"/>
    <x v="2"/>
    <n v="16799"/>
    <x v="3"/>
    <n v="16616"/>
    <n v="0"/>
    <s v="Y"/>
    <x v="0"/>
    <n v="14"/>
    <n v="3"/>
    <n v="3"/>
    <n v="80"/>
    <n v="1"/>
    <n v="21"/>
    <n v="5"/>
    <x v="0"/>
    <x v="20"/>
    <x v="6"/>
    <n v="0"/>
  </r>
  <r>
    <s v="RM1051"/>
    <n v="42"/>
    <x v="2"/>
    <s v="No"/>
    <n v="0"/>
    <s v="Travel_Frequently"/>
    <n v="748"/>
    <x v="0"/>
    <x v="9"/>
    <x v="1"/>
    <x v="1"/>
    <n v="1"/>
    <n v="1480"/>
    <x v="3"/>
    <x v="1"/>
    <n v="74"/>
    <n v="3"/>
    <x v="0"/>
    <x v="0"/>
    <x v="2"/>
    <x v="0"/>
    <n v="3673"/>
    <x v="0"/>
    <n v="16458"/>
    <n v="1"/>
    <s v="Y"/>
    <x v="0"/>
    <n v="13"/>
    <n v="3"/>
    <n v="3"/>
    <n v="80"/>
    <n v="0"/>
    <n v="12"/>
    <n v="3"/>
    <x v="0"/>
    <x v="12"/>
    <x v="9"/>
    <n v="5"/>
  </r>
  <r>
    <s v="RM1089"/>
    <n v="42"/>
    <x v="2"/>
    <s v="No"/>
    <n v="0"/>
    <s v="Travel_Rarely"/>
    <n v="1210"/>
    <x v="0"/>
    <x v="7"/>
    <x v="0"/>
    <x v="1"/>
    <n v="1"/>
    <n v="1542"/>
    <x v="0"/>
    <x v="0"/>
    <n v="68"/>
    <n v="2"/>
    <x v="0"/>
    <x v="0"/>
    <x v="1"/>
    <x v="2"/>
    <n v="4841"/>
    <x v="0"/>
    <n v="24052"/>
    <n v="4"/>
    <s v="Y"/>
    <x v="0"/>
    <n v="14"/>
    <n v="3"/>
    <n v="2"/>
    <n v="80"/>
    <n v="1"/>
    <n v="4"/>
    <n v="3"/>
    <x v="0"/>
    <x v="1"/>
    <x v="0"/>
    <n v="0"/>
  </r>
  <r>
    <s v="RM1094"/>
    <n v="42"/>
    <x v="2"/>
    <s v="No"/>
    <n v="0"/>
    <s v="Travel_Frequently"/>
    <n v="288"/>
    <x v="0"/>
    <x v="7"/>
    <x v="0"/>
    <x v="0"/>
    <n v="1"/>
    <n v="1547"/>
    <x v="1"/>
    <x v="0"/>
    <n v="40"/>
    <n v="3"/>
    <x v="2"/>
    <x v="6"/>
    <x v="2"/>
    <x v="2"/>
    <n v="10124"/>
    <x v="2"/>
    <n v="18611"/>
    <n v="2"/>
    <s v="Y"/>
    <x v="1"/>
    <n v="14"/>
    <n v="3"/>
    <n v="3"/>
    <n v="80"/>
    <n v="1"/>
    <n v="24"/>
    <n v="3"/>
    <x v="2"/>
    <x v="20"/>
    <x v="7"/>
    <n v="13"/>
  </r>
  <r>
    <s v="RM1130"/>
    <n v="42"/>
    <x v="2"/>
    <s v="No"/>
    <n v="0"/>
    <s v="Travel_Rarely"/>
    <n v="1059"/>
    <x v="0"/>
    <x v="9"/>
    <x v="1"/>
    <x v="4"/>
    <n v="1"/>
    <n v="1595"/>
    <x v="1"/>
    <x v="0"/>
    <n v="93"/>
    <n v="2"/>
    <x v="4"/>
    <x v="8"/>
    <x v="2"/>
    <x v="0"/>
    <n v="19613"/>
    <x v="3"/>
    <n v="26362"/>
    <n v="8"/>
    <s v="Y"/>
    <x v="0"/>
    <n v="22"/>
    <n v="4"/>
    <n v="4"/>
    <n v="80"/>
    <n v="0"/>
    <n v="24"/>
    <n v="2"/>
    <x v="0"/>
    <x v="1"/>
    <x v="0"/>
    <n v="0"/>
  </r>
  <r>
    <s v="RM1264"/>
    <n v="42"/>
    <x v="2"/>
    <s v="No"/>
    <n v="0"/>
    <s v="Travel_Rarely"/>
    <n v="855"/>
    <x v="0"/>
    <x v="15"/>
    <x v="0"/>
    <x v="1"/>
    <n v="1"/>
    <n v="1768"/>
    <x v="2"/>
    <x v="0"/>
    <n v="57"/>
    <n v="3"/>
    <x v="0"/>
    <x v="0"/>
    <x v="1"/>
    <x v="1"/>
    <n v="2766"/>
    <x v="0"/>
    <n v="8952"/>
    <n v="8"/>
    <s v="Y"/>
    <x v="0"/>
    <n v="22"/>
    <n v="4"/>
    <n v="2"/>
    <n v="80"/>
    <n v="3"/>
    <n v="7"/>
    <n v="6"/>
    <x v="3"/>
    <x v="5"/>
    <x v="3"/>
    <n v="0"/>
  </r>
  <r>
    <s v="RM1288"/>
    <n v="42"/>
    <x v="2"/>
    <s v="No"/>
    <n v="0"/>
    <s v="Travel_Rarely"/>
    <n v="1128"/>
    <x v="0"/>
    <x v="25"/>
    <x v="0"/>
    <x v="1"/>
    <n v="1"/>
    <n v="1803"/>
    <x v="2"/>
    <x v="0"/>
    <n v="95"/>
    <n v="4"/>
    <x v="1"/>
    <x v="6"/>
    <x v="3"/>
    <x v="2"/>
    <n v="5538"/>
    <x v="1"/>
    <n v="5696"/>
    <n v="5"/>
    <s v="Y"/>
    <x v="0"/>
    <n v="18"/>
    <n v="3"/>
    <n v="3"/>
    <n v="80"/>
    <n v="2"/>
    <n v="10"/>
    <n v="2"/>
    <x v="3"/>
    <x v="0"/>
    <x v="0"/>
    <n v="0"/>
  </r>
  <r>
    <s v="RM1321"/>
    <n v="42"/>
    <x v="2"/>
    <s v="No"/>
    <n v="0"/>
    <s v="Non-Travel"/>
    <n v="355"/>
    <x v="0"/>
    <x v="1"/>
    <x v="3"/>
    <x v="3"/>
    <n v="1"/>
    <n v="1854"/>
    <x v="0"/>
    <x v="0"/>
    <n v="38"/>
    <n v="3"/>
    <x v="0"/>
    <x v="2"/>
    <x v="0"/>
    <x v="2"/>
    <n v="2936"/>
    <x v="0"/>
    <n v="6161"/>
    <n v="3"/>
    <s v="Y"/>
    <x v="0"/>
    <n v="22"/>
    <n v="4"/>
    <n v="2"/>
    <n v="80"/>
    <n v="2"/>
    <n v="10"/>
    <n v="1"/>
    <x v="3"/>
    <x v="6"/>
    <x v="3"/>
    <n v="3"/>
  </r>
  <r>
    <s v="RM1326"/>
    <n v="42"/>
    <x v="2"/>
    <s v="No"/>
    <n v="0"/>
    <s v="Travel_Rarely"/>
    <n v="1142"/>
    <x v="0"/>
    <x v="3"/>
    <x v="0"/>
    <x v="0"/>
    <n v="1"/>
    <n v="1860"/>
    <x v="1"/>
    <x v="0"/>
    <n v="81"/>
    <n v="3"/>
    <x v="0"/>
    <x v="0"/>
    <x v="0"/>
    <x v="0"/>
    <n v="3968"/>
    <x v="0"/>
    <n v="13624"/>
    <n v="4"/>
    <s v="Y"/>
    <x v="0"/>
    <n v="13"/>
    <n v="3"/>
    <n v="4"/>
    <n v="80"/>
    <n v="0"/>
    <n v="8"/>
    <n v="3"/>
    <x v="0"/>
    <x v="0"/>
    <x v="0"/>
    <n v="0"/>
  </r>
  <r>
    <s v="RM1358"/>
    <n v="42"/>
    <x v="2"/>
    <s v="No"/>
    <n v="0"/>
    <s v="Travel_Rarely"/>
    <n v="1396"/>
    <x v="0"/>
    <x v="11"/>
    <x v="0"/>
    <x v="1"/>
    <n v="1"/>
    <n v="1911"/>
    <x v="0"/>
    <x v="0"/>
    <n v="83"/>
    <n v="3"/>
    <x v="2"/>
    <x v="7"/>
    <x v="3"/>
    <x v="2"/>
    <n v="13348"/>
    <x v="2"/>
    <n v="14842"/>
    <n v="9"/>
    <s v="Y"/>
    <x v="0"/>
    <n v="13"/>
    <n v="3"/>
    <n v="2"/>
    <n v="80"/>
    <n v="1"/>
    <n v="18"/>
    <n v="3"/>
    <x v="1"/>
    <x v="13"/>
    <x v="6"/>
    <n v="5"/>
  </r>
  <r>
    <s v="RM1379"/>
    <n v="42"/>
    <x v="2"/>
    <s v="No"/>
    <n v="0"/>
    <s v="Travel_Rarely"/>
    <n v="419"/>
    <x v="1"/>
    <x v="15"/>
    <x v="3"/>
    <x v="2"/>
    <n v="1"/>
    <n v="1943"/>
    <x v="2"/>
    <x v="0"/>
    <n v="77"/>
    <n v="3"/>
    <x v="1"/>
    <x v="5"/>
    <x v="2"/>
    <x v="1"/>
    <n v="5087"/>
    <x v="1"/>
    <n v="2900"/>
    <n v="3"/>
    <s v="Y"/>
    <x v="1"/>
    <n v="12"/>
    <n v="3"/>
    <n v="3"/>
    <n v="80"/>
    <n v="2"/>
    <n v="14"/>
    <n v="4"/>
    <x v="0"/>
    <x v="0"/>
    <x v="0"/>
    <n v="0"/>
  </r>
  <r>
    <s v="RM1405"/>
    <n v="42"/>
    <x v="2"/>
    <s v="No"/>
    <n v="0"/>
    <s v="Non-Travel"/>
    <n v="335"/>
    <x v="0"/>
    <x v="23"/>
    <x v="1"/>
    <x v="0"/>
    <n v="1"/>
    <n v="1976"/>
    <x v="1"/>
    <x v="0"/>
    <n v="37"/>
    <n v="2"/>
    <x v="1"/>
    <x v="2"/>
    <x v="0"/>
    <x v="0"/>
    <n v="4332"/>
    <x v="0"/>
    <n v="14811"/>
    <n v="1"/>
    <s v="Y"/>
    <x v="0"/>
    <n v="12"/>
    <n v="3"/>
    <n v="4"/>
    <n v="80"/>
    <n v="0"/>
    <n v="20"/>
    <n v="2"/>
    <x v="0"/>
    <x v="20"/>
    <x v="9"/>
    <n v="3"/>
  </r>
  <r>
    <s v="RM1420"/>
    <n v="42"/>
    <x v="2"/>
    <s v="No"/>
    <n v="0"/>
    <s v="Travel_Rarely"/>
    <n v="557"/>
    <x v="0"/>
    <x v="16"/>
    <x v="3"/>
    <x v="0"/>
    <n v="1"/>
    <n v="1998"/>
    <x v="1"/>
    <x v="0"/>
    <n v="35"/>
    <n v="3"/>
    <x v="1"/>
    <x v="2"/>
    <x v="3"/>
    <x v="1"/>
    <n v="5410"/>
    <x v="1"/>
    <n v="11189"/>
    <n v="6"/>
    <s v="Y"/>
    <x v="1"/>
    <n v="17"/>
    <n v="3"/>
    <n v="3"/>
    <n v="80"/>
    <n v="1"/>
    <n v="9"/>
    <n v="3"/>
    <x v="3"/>
    <x v="4"/>
    <x v="3"/>
    <n v="1"/>
  </r>
  <r>
    <s v="RM1444"/>
    <n v="42"/>
    <x v="2"/>
    <s v="No"/>
    <n v="0"/>
    <s v="Travel_Rarely"/>
    <n v="300"/>
    <x v="0"/>
    <x v="7"/>
    <x v="0"/>
    <x v="0"/>
    <n v="1"/>
    <n v="2031"/>
    <x v="3"/>
    <x v="0"/>
    <n v="56"/>
    <n v="3"/>
    <x v="4"/>
    <x v="8"/>
    <x v="0"/>
    <x v="2"/>
    <n v="18880"/>
    <x v="3"/>
    <n v="17312"/>
    <n v="5"/>
    <s v="Y"/>
    <x v="0"/>
    <n v="11"/>
    <n v="3"/>
    <n v="1"/>
    <n v="80"/>
    <n v="0"/>
    <n v="24"/>
    <n v="2"/>
    <x v="3"/>
    <x v="22"/>
    <x v="8"/>
    <n v="4"/>
  </r>
  <r>
    <s v="RM036"/>
    <n v="43"/>
    <x v="2"/>
    <s v="No"/>
    <n v="0"/>
    <s v="Travel_Rarely"/>
    <n v="1273"/>
    <x v="0"/>
    <x v="7"/>
    <x v="1"/>
    <x v="1"/>
    <n v="1"/>
    <n v="46"/>
    <x v="1"/>
    <x v="1"/>
    <n v="72"/>
    <n v="4"/>
    <x v="0"/>
    <x v="2"/>
    <x v="0"/>
    <x v="1"/>
    <n v="2645"/>
    <x v="0"/>
    <n v="21923"/>
    <n v="1"/>
    <s v="Y"/>
    <x v="0"/>
    <n v="12"/>
    <n v="3"/>
    <n v="4"/>
    <n v="80"/>
    <n v="2"/>
    <n v="6"/>
    <n v="3"/>
    <x v="3"/>
    <x v="5"/>
    <x v="3"/>
    <n v="1"/>
  </r>
  <r>
    <s v="RM120"/>
    <n v="43"/>
    <x v="2"/>
    <s v="No"/>
    <n v="0"/>
    <s v="Travel_Frequently"/>
    <n v="394"/>
    <x v="1"/>
    <x v="20"/>
    <x v="1"/>
    <x v="0"/>
    <n v="1"/>
    <n v="158"/>
    <x v="0"/>
    <x v="0"/>
    <n v="92"/>
    <n v="3"/>
    <x v="3"/>
    <x v="8"/>
    <x v="2"/>
    <x v="2"/>
    <n v="16959"/>
    <x v="3"/>
    <n v="19494"/>
    <n v="1"/>
    <s v="Y"/>
    <x v="1"/>
    <n v="12"/>
    <n v="3"/>
    <n v="4"/>
    <n v="80"/>
    <n v="2"/>
    <n v="25"/>
    <n v="3"/>
    <x v="1"/>
    <x v="24"/>
    <x v="11"/>
    <n v="4"/>
  </r>
  <r>
    <s v="RM131"/>
    <n v="43"/>
    <x v="2"/>
    <s v="No"/>
    <n v="0"/>
    <s v="Travel_Frequently"/>
    <n v="957"/>
    <x v="0"/>
    <x v="27"/>
    <x v="0"/>
    <x v="1"/>
    <n v="1"/>
    <n v="171"/>
    <x v="2"/>
    <x v="1"/>
    <n v="72"/>
    <n v="4"/>
    <x v="0"/>
    <x v="2"/>
    <x v="0"/>
    <x v="0"/>
    <n v="4739"/>
    <x v="0"/>
    <n v="16090"/>
    <n v="4"/>
    <s v="Y"/>
    <x v="0"/>
    <n v="12"/>
    <n v="3"/>
    <n v="4"/>
    <n v="80"/>
    <n v="0"/>
    <n v="18"/>
    <n v="2"/>
    <x v="0"/>
    <x v="3"/>
    <x v="2"/>
    <n v="1"/>
  </r>
  <r>
    <s v="RM194"/>
    <n v="43"/>
    <x v="2"/>
    <s v="No"/>
    <n v="0"/>
    <s v="Non-Travel"/>
    <n v="1344"/>
    <x v="0"/>
    <x v="17"/>
    <x v="0"/>
    <x v="1"/>
    <n v="1"/>
    <n v="262"/>
    <x v="1"/>
    <x v="0"/>
    <n v="37"/>
    <n v="4"/>
    <x v="0"/>
    <x v="2"/>
    <x v="2"/>
    <x v="1"/>
    <n v="2089"/>
    <x v="0"/>
    <n v="5228"/>
    <n v="4"/>
    <s v="Y"/>
    <x v="0"/>
    <n v="14"/>
    <n v="3"/>
    <n v="4"/>
    <n v="80"/>
    <n v="3"/>
    <n v="7"/>
    <n v="3"/>
    <x v="1"/>
    <x v="5"/>
    <x v="4"/>
    <n v="2"/>
  </r>
  <r>
    <s v="RM236"/>
    <n v="43"/>
    <x v="2"/>
    <s v="No"/>
    <n v="0"/>
    <s v="Travel_Rarely"/>
    <n v="1034"/>
    <x v="1"/>
    <x v="18"/>
    <x v="0"/>
    <x v="2"/>
    <n v="1"/>
    <n v="327"/>
    <x v="1"/>
    <x v="1"/>
    <n v="80"/>
    <n v="3"/>
    <x v="3"/>
    <x v="8"/>
    <x v="2"/>
    <x v="2"/>
    <n v="16064"/>
    <x v="3"/>
    <n v="7744"/>
    <n v="5"/>
    <s v="Y"/>
    <x v="1"/>
    <n v="22"/>
    <n v="4"/>
    <n v="3"/>
    <n v="80"/>
    <n v="1"/>
    <n v="22"/>
    <n v="3"/>
    <x v="0"/>
    <x v="17"/>
    <x v="12"/>
    <n v="1"/>
  </r>
  <r>
    <s v="RM316"/>
    <n v="43"/>
    <x v="2"/>
    <s v="No"/>
    <n v="0"/>
    <s v="Travel_Frequently"/>
    <n v="185"/>
    <x v="0"/>
    <x v="1"/>
    <x v="3"/>
    <x v="0"/>
    <n v="1"/>
    <n v="430"/>
    <x v="0"/>
    <x v="1"/>
    <n v="33"/>
    <n v="3"/>
    <x v="0"/>
    <x v="0"/>
    <x v="2"/>
    <x v="0"/>
    <n v="2455"/>
    <x v="0"/>
    <n v="10675"/>
    <n v="0"/>
    <s v="Y"/>
    <x v="0"/>
    <n v="19"/>
    <n v="3"/>
    <n v="1"/>
    <n v="80"/>
    <n v="0"/>
    <n v="9"/>
    <n v="5"/>
    <x v="0"/>
    <x v="8"/>
    <x v="6"/>
    <n v="1"/>
  </r>
  <r>
    <s v="RM331"/>
    <n v="43"/>
    <x v="2"/>
    <s v="No"/>
    <n v="0"/>
    <s v="Travel_Frequently"/>
    <n v="559"/>
    <x v="0"/>
    <x v="1"/>
    <x v="3"/>
    <x v="0"/>
    <n v="1"/>
    <n v="448"/>
    <x v="0"/>
    <x v="1"/>
    <n v="82"/>
    <n v="2"/>
    <x v="1"/>
    <x v="0"/>
    <x v="0"/>
    <x v="1"/>
    <n v="5257"/>
    <x v="1"/>
    <n v="6227"/>
    <n v="1"/>
    <s v="Y"/>
    <x v="0"/>
    <n v="11"/>
    <n v="3"/>
    <n v="2"/>
    <n v="80"/>
    <n v="1"/>
    <n v="9"/>
    <n v="3"/>
    <x v="1"/>
    <x v="9"/>
    <x v="6"/>
    <n v="0"/>
  </r>
  <r>
    <s v="RM334"/>
    <n v="43"/>
    <x v="2"/>
    <s v="No"/>
    <n v="0"/>
    <s v="Travel_Rarely"/>
    <n v="1001"/>
    <x v="0"/>
    <x v="17"/>
    <x v="0"/>
    <x v="0"/>
    <n v="1"/>
    <n v="451"/>
    <x v="0"/>
    <x v="1"/>
    <n v="43"/>
    <n v="3"/>
    <x v="2"/>
    <x v="6"/>
    <x v="3"/>
    <x v="2"/>
    <n v="9985"/>
    <x v="1"/>
    <n v="9262"/>
    <n v="8"/>
    <s v="Y"/>
    <x v="0"/>
    <n v="16"/>
    <n v="3"/>
    <n v="1"/>
    <n v="80"/>
    <n v="1"/>
    <n v="10"/>
    <n v="1"/>
    <x v="3"/>
    <x v="1"/>
    <x v="0"/>
    <n v="0"/>
  </r>
  <r>
    <s v="RM391"/>
    <n v="43"/>
    <x v="2"/>
    <s v="No"/>
    <n v="0"/>
    <s v="Travel_Rarely"/>
    <n v="982"/>
    <x v="0"/>
    <x v="15"/>
    <x v="0"/>
    <x v="0"/>
    <n v="1"/>
    <n v="520"/>
    <x v="3"/>
    <x v="0"/>
    <n v="59"/>
    <n v="2"/>
    <x v="3"/>
    <x v="7"/>
    <x v="1"/>
    <x v="1"/>
    <n v="14336"/>
    <x v="2"/>
    <n v="4345"/>
    <n v="1"/>
    <s v="Y"/>
    <x v="0"/>
    <n v="11"/>
    <n v="3"/>
    <n v="3"/>
    <n v="80"/>
    <n v="1"/>
    <n v="25"/>
    <n v="3"/>
    <x v="0"/>
    <x v="24"/>
    <x v="10"/>
    <n v="3"/>
  </r>
  <r>
    <s v="RM396"/>
    <n v="43"/>
    <x v="2"/>
    <s v="No"/>
    <n v="0"/>
    <s v="Travel_Frequently"/>
    <n v="313"/>
    <x v="0"/>
    <x v="8"/>
    <x v="0"/>
    <x v="1"/>
    <n v="1"/>
    <n v="525"/>
    <x v="1"/>
    <x v="0"/>
    <n v="61"/>
    <n v="3"/>
    <x v="0"/>
    <x v="0"/>
    <x v="2"/>
    <x v="2"/>
    <n v="2258"/>
    <x v="0"/>
    <n v="15238"/>
    <n v="7"/>
    <s v="Y"/>
    <x v="0"/>
    <n v="20"/>
    <n v="4"/>
    <n v="1"/>
    <n v="80"/>
    <n v="1"/>
    <n v="8"/>
    <n v="1"/>
    <x v="0"/>
    <x v="3"/>
    <x v="2"/>
    <n v="1"/>
  </r>
  <r>
    <s v="RM397"/>
    <n v="43"/>
    <x v="2"/>
    <s v="No"/>
    <n v="0"/>
    <s v="Travel_Rarely"/>
    <n v="1473"/>
    <x v="0"/>
    <x v="3"/>
    <x v="3"/>
    <x v="4"/>
    <n v="1"/>
    <n v="526"/>
    <x v="0"/>
    <x v="1"/>
    <n v="74"/>
    <n v="3"/>
    <x v="1"/>
    <x v="6"/>
    <x v="0"/>
    <x v="1"/>
    <n v="4522"/>
    <x v="0"/>
    <n v="2227"/>
    <n v="4"/>
    <s v="Y"/>
    <x v="1"/>
    <n v="14"/>
    <n v="3"/>
    <n v="4"/>
    <n v="80"/>
    <n v="0"/>
    <n v="8"/>
    <n v="3"/>
    <x v="0"/>
    <x v="5"/>
    <x v="2"/>
    <n v="0"/>
  </r>
  <r>
    <s v="RM490"/>
    <n v="43"/>
    <x v="2"/>
    <s v="No"/>
    <n v="0"/>
    <s v="Travel_Rarely"/>
    <n v="782"/>
    <x v="0"/>
    <x v="11"/>
    <x v="3"/>
    <x v="4"/>
    <n v="1"/>
    <n v="661"/>
    <x v="2"/>
    <x v="0"/>
    <n v="50"/>
    <n v="2"/>
    <x v="3"/>
    <x v="7"/>
    <x v="2"/>
    <x v="1"/>
    <n v="16627"/>
    <x v="3"/>
    <n v="2671"/>
    <n v="4"/>
    <s v="Y"/>
    <x v="1"/>
    <n v="14"/>
    <n v="3"/>
    <n v="3"/>
    <n v="80"/>
    <n v="1"/>
    <n v="21"/>
    <n v="3"/>
    <x v="3"/>
    <x v="1"/>
    <x v="0"/>
    <n v="0"/>
  </r>
  <r>
    <s v="RM492"/>
    <n v="43"/>
    <x v="2"/>
    <s v="No"/>
    <n v="0"/>
    <s v="Travel_Frequently"/>
    <n v="1001"/>
    <x v="0"/>
    <x v="9"/>
    <x v="4"/>
    <x v="1"/>
    <n v="1"/>
    <n v="663"/>
    <x v="1"/>
    <x v="0"/>
    <n v="72"/>
    <n v="3"/>
    <x v="1"/>
    <x v="0"/>
    <x v="0"/>
    <x v="1"/>
    <n v="5679"/>
    <x v="1"/>
    <n v="19627"/>
    <n v="3"/>
    <s v="Y"/>
    <x v="1"/>
    <n v="13"/>
    <n v="3"/>
    <n v="2"/>
    <n v="80"/>
    <n v="1"/>
    <n v="10"/>
    <n v="3"/>
    <x v="0"/>
    <x v="8"/>
    <x v="6"/>
    <n v="4"/>
  </r>
  <r>
    <s v="RM549"/>
    <n v="43"/>
    <x v="2"/>
    <s v="No"/>
    <n v="0"/>
    <s v="Travel_Frequently"/>
    <n v="775"/>
    <x v="1"/>
    <x v="14"/>
    <x v="0"/>
    <x v="0"/>
    <n v="1"/>
    <n v="754"/>
    <x v="1"/>
    <x v="0"/>
    <n v="47"/>
    <n v="2"/>
    <x v="1"/>
    <x v="5"/>
    <x v="2"/>
    <x v="2"/>
    <n v="6804"/>
    <x v="1"/>
    <n v="23683"/>
    <n v="3"/>
    <s v="Y"/>
    <x v="0"/>
    <n v="18"/>
    <n v="3"/>
    <n v="3"/>
    <n v="80"/>
    <n v="1"/>
    <n v="7"/>
    <n v="5"/>
    <x v="0"/>
    <x v="2"/>
    <x v="2"/>
    <n v="2"/>
  </r>
  <r>
    <s v="RM610"/>
    <n v="43"/>
    <x v="2"/>
    <s v="No"/>
    <n v="0"/>
    <s v="Travel_Rarely"/>
    <n v="589"/>
    <x v="0"/>
    <x v="5"/>
    <x v="1"/>
    <x v="0"/>
    <n v="1"/>
    <n v="843"/>
    <x v="2"/>
    <x v="0"/>
    <n v="94"/>
    <n v="3"/>
    <x v="3"/>
    <x v="7"/>
    <x v="3"/>
    <x v="2"/>
    <n v="17159"/>
    <x v="3"/>
    <n v="5200"/>
    <n v="6"/>
    <s v="Y"/>
    <x v="0"/>
    <n v="24"/>
    <n v="4"/>
    <n v="3"/>
    <n v="80"/>
    <n v="1"/>
    <n v="22"/>
    <n v="3"/>
    <x v="0"/>
    <x v="4"/>
    <x v="1"/>
    <n v="1"/>
  </r>
  <r>
    <s v="RM651"/>
    <n v="43"/>
    <x v="2"/>
    <s v="No"/>
    <n v="0"/>
    <s v="Travel_Frequently"/>
    <n v="422"/>
    <x v="0"/>
    <x v="4"/>
    <x v="0"/>
    <x v="0"/>
    <n v="1"/>
    <n v="902"/>
    <x v="1"/>
    <x v="1"/>
    <n v="33"/>
    <n v="3"/>
    <x v="1"/>
    <x v="6"/>
    <x v="2"/>
    <x v="2"/>
    <n v="5562"/>
    <x v="1"/>
    <n v="21782"/>
    <n v="4"/>
    <s v="Y"/>
    <x v="0"/>
    <n v="13"/>
    <n v="3"/>
    <n v="2"/>
    <n v="80"/>
    <n v="1"/>
    <n v="12"/>
    <n v="2"/>
    <x v="3"/>
    <x v="5"/>
    <x v="2"/>
    <n v="2"/>
  </r>
  <r>
    <s v="RM662"/>
    <n v="43"/>
    <x v="2"/>
    <s v="No"/>
    <n v="0"/>
    <s v="Travel_Rarely"/>
    <n v="177"/>
    <x v="0"/>
    <x v="3"/>
    <x v="0"/>
    <x v="0"/>
    <n v="1"/>
    <n v="920"/>
    <x v="3"/>
    <x v="1"/>
    <n v="55"/>
    <n v="3"/>
    <x v="1"/>
    <x v="4"/>
    <x v="1"/>
    <x v="1"/>
    <n v="4765"/>
    <x v="0"/>
    <n v="23814"/>
    <n v="4"/>
    <s v="Y"/>
    <x v="0"/>
    <n v="21"/>
    <n v="4"/>
    <n v="3"/>
    <n v="80"/>
    <n v="1"/>
    <n v="4"/>
    <n v="2"/>
    <x v="1"/>
    <x v="1"/>
    <x v="0"/>
    <n v="0"/>
  </r>
  <r>
    <s v="RM776"/>
    <n v="43"/>
    <x v="2"/>
    <s v="No"/>
    <n v="0"/>
    <s v="Travel_Rarely"/>
    <n v="415"/>
    <x v="1"/>
    <x v="10"/>
    <x v="0"/>
    <x v="1"/>
    <n v="1"/>
    <n v="1076"/>
    <x v="0"/>
    <x v="0"/>
    <n v="79"/>
    <n v="2"/>
    <x v="2"/>
    <x v="5"/>
    <x v="2"/>
    <x v="1"/>
    <n v="10798"/>
    <x v="2"/>
    <n v="5268"/>
    <n v="5"/>
    <s v="Y"/>
    <x v="0"/>
    <n v="13"/>
    <n v="3"/>
    <n v="3"/>
    <n v="80"/>
    <n v="1"/>
    <n v="18"/>
    <n v="5"/>
    <x v="0"/>
    <x v="1"/>
    <x v="0"/>
    <n v="0"/>
  </r>
  <r>
    <s v="RM813"/>
    <n v="43"/>
    <x v="2"/>
    <s v="No"/>
    <n v="0"/>
    <s v="Travel_Frequently"/>
    <n v="1082"/>
    <x v="0"/>
    <x v="28"/>
    <x v="0"/>
    <x v="0"/>
    <n v="1"/>
    <n v="1126"/>
    <x v="0"/>
    <x v="1"/>
    <n v="83"/>
    <n v="3"/>
    <x v="2"/>
    <x v="4"/>
    <x v="3"/>
    <x v="2"/>
    <n v="10820"/>
    <x v="2"/>
    <n v="11535"/>
    <n v="8"/>
    <s v="Y"/>
    <x v="0"/>
    <n v="11"/>
    <n v="3"/>
    <n v="3"/>
    <n v="80"/>
    <n v="1"/>
    <n v="18"/>
    <n v="1"/>
    <x v="0"/>
    <x v="8"/>
    <x v="6"/>
    <n v="0"/>
  </r>
  <r>
    <s v="RM850"/>
    <n v="43"/>
    <x v="2"/>
    <s v="Yes"/>
    <n v="1"/>
    <s v="Travel_Rarely"/>
    <n v="1372"/>
    <x v="1"/>
    <x v="9"/>
    <x v="0"/>
    <x v="2"/>
    <n v="1"/>
    <n v="1188"/>
    <x v="3"/>
    <x v="1"/>
    <n v="85"/>
    <n v="1"/>
    <x v="1"/>
    <x v="5"/>
    <x v="0"/>
    <x v="0"/>
    <n v="5346"/>
    <x v="1"/>
    <n v="9489"/>
    <n v="8"/>
    <s v="Y"/>
    <x v="0"/>
    <n v="13"/>
    <n v="3"/>
    <n v="2"/>
    <n v="80"/>
    <n v="0"/>
    <n v="7"/>
    <n v="2"/>
    <x v="3"/>
    <x v="4"/>
    <x v="3"/>
    <n v="1"/>
  </r>
  <r>
    <s v="RM899"/>
    <n v="43"/>
    <x v="2"/>
    <s v="No"/>
    <n v="0"/>
    <s v="Travel_Rarely"/>
    <n v="920"/>
    <x v="0"/>
    <x v="0"/>
    <x v="0"/>
    <x v="0"/>
    <n v="1"/>
    <n v="1255"/>
    <x v="0"/>
    <x v="0"/>
    <n v="96"/>
    <n v="1"/>
    <x v="4"/>
    <x v="7"/>
    <x v="2"/>
    <x v="2"/>
    <n v="19740"/>
    <x v="3"/>
    <n v="18625"/>
    <n v="3"/>
    <s v="Y"/>
    <x v="0"/>
    <n v="14"/>
    <n v="3"/>
    <n v="2"/>
    <n v="80"/>
    <n v="1"/>
    <n v="25"/>
    <n v="2"/>
    <x v="0"/>
    <x v="8"/>
    <x v="6"/>
    <n v="0"/>
  </r>
  <r>
    <s v="RM927"/>
    <n v="43"/>
    <x v="2"/>
    <s v="No"/>
    <n v="0"/>
    <s v="Travel_Rarely"/>
    <n v="531"/>
    <x v="1"/>
    <x v="12"/>
    <x v="3"/>
    <x v="2"/>
    <n v="1"/>
    <n v="1293"/>
    <x v="1"/>
    <x v="1"/>
    <n v="56"/>
    <n v="2"/>
    <x v="2"/>
    <x v="5"/>
    <x v="2"/>
    <x v="0"/>
    <n v="10231"/>
    <x v="2"/>
    <n v="20364"/>
    <n v="3"/>
    <s v="Y"/>
    <x v="0"/>
    <n v="14"/>
    <n v="3"/>
    <n v="4"/>
    <n v="80"/>
    <n v="0"/>
    <n v="23"/>
    <n v="3"/>
    <x v="1"/>
    <x v="21"/>
    <x v="6"/>
    <n v="15"/>
  </r>
  <r>
    <s v="RM996"/>
    <n v="43"/>
    <x v="2"/>
    <s v="No"/>
    <n v="0"/>
    <s v="Travel_Rarely"/>
    <n v="930"/>
    <x v="0"/>
    <x v="11"/>
    <x v="0"/>
    <x v="1"/>
    <n v="1"/>
    <n v="1402"/>
    <x v="3"/>
    <x v="1"/>
    <n v="73"/>
    <n v="2"/>
    <x v="1"/>
    <x v="2"/>
    <x v="0"/>
    <x v="0"/>
    <n v="4081"/>
    <x v="0"/>
    <n v="20003"/>
    <n v="1"/>
    <s v="Y"/>
    <x v="1"/>
    <n v="14"/>
    <n v="3"/>
    <n v="1"/>
    <n v="80"/>
    <n v="0"/>
    <n v="20"/>
    <n v="3"/>
    <x v="2"/>
    <x v="20"/>
    <x v="6"/>
    <n v="1"/>
  </r>
  <r>
    <s v="RM1134"/>
    <n v="43"/>
    <x v="2"/>
    <s v="No"/>
    <n v="0"/>
    <s v="Travel_Rarely"/>
    <n v="990"/>
    <x v="0"/>
    <x v="28"/>
    <x v="0"/>
    <x v="3"/>
    <n v="1"/>
    <n v="1599"/>
    <x v="1"/>
    <x v="0"/>
    <n v="87"/>
    <n v="4"/>
    <x v="0"/>
    <x v="0"/>
    <x v="1"/>
    <x v="1"/>
    <n v="4876"/>
    <x v="0"/>
    <n v="5855"/>
    <n v="5"/>
    <s v="Y"/>
    <x v="0"/>
    <n v="12"/>
    <n v="3"/>
    <n v="3"/>
    <n v="80"/>
    <n v="1"/>
    <n v="8"/>
    <n v="0"/>
    <x v="0"/>
    <x v="6"/>
    <x v="4"/>
    <n v="0"/>
  </r>
  <r>
    <s v="RM1186"/>
    <n v="43"/>
    <x v="2"/>
    <s v="No"/>
    <n v="0"/>
    <s v="Travel_Rarely"/>
    <n v="1291"/>
    <x v="0"/>
    <x v="14"/>
    <x v="1"/>
    <x v="0"/>
    <n v="1"/>
    <n v="1666"/>
    <x v="0"/>
    <x v="0"/>
    <n v="65"/>
    <n v="2"/>
    <x v="3"/>
    <x v="7"/>
    <x v="0"/>
    <x v="2"/>
    <n v="17603"/>
    <x v="3"/>
    <n v="3525"/>
    <n v="1"/>
    <s v="Y"/>
    <x v="0"/>
    <n v="24"/>
    <n v="4"/>
    <n v="1"/>
    <n v="80"/>
    <n v="1"/>
    <n v="14"/>
    <n v="3"/>
    <x v="0"/>
    <x v="14"/>
    <x v="10"/>
    <n v="6"/>
  </r>
  <r>
    <s v="RM1217"/>
    <n v="43"/>
    <x v="2"/>
    <s v="No"/>
    <n v="0"/>
    <s v="Travel_Rarely"/>
    <n v="1179"/>
    <x v="1"/>
    <x v="7"/>
    <x v="0"/>
    <x v="1"/>
    <n v="1"/>
    <n v="1706"/>
    <x v="1"/>
    <x v="0"/>
    <n v="73"/>
    <n v="3"/>
    <x v="1"/>
    <x v="5"/>
    <x v="2"/>
    <x v="2"/>
    <n v="7847"/>
    <x v="1"/>
    <n v="6069"/>
    <n v="1"/>
    <s v="Y"/>
    <x v="1"/>
    <n v="17"/>
    <n v="3"/>
    <n v="1"/>
    <n v="80"/>
    <n v="1"/>
    <n v="10"/>
    <n v="3"/>
    <x v="0"/>
    <x v="10"/>
    <x v="9"/>
    <n v="8"/>
  </r>
  <r>
    <s v="RM1263"/>
    <n v="43"/>
    <x v="2"/>
    <s v="Yes"/>
    <n v="1"/>
    <s v="Travel_Frequently"/>
    <n v="807"/>
    <x v="0"/>
    <x v="24"/>
    <x v="0"/>
    <x v="3"/>
    <n v="1"/>
    <n v="1767"/>
    <x v="0"/>
    <x v="0"/>
    <n v="38"/>
    <n v="2"/>
    <x v="0"/>
    <x v="2"/>
    <x v="0"/>
    <x v="2"/>
    <n v="2437"/>
    <x v="0"/>
    <n v="15587"/>
    <n v="9"/>
    <s v="Y"/>
    <x v="1"/>
    <n v="16"/>
    <n v="3"/>
    <n v="4"/>
    <n v="80"/>
    <n v="1"/>
    <n v="6"/>
    <n v="4"/>
    <x v="0"/>
    <x v="1"/>
    <x v="0"/>
    <n v="0"/>
  </r>
  <r>
    <s v="RM1270"/>
    <n v="43"/>
    <x v="2"/>
    <s v="No"/>
    <n v="0"/>
    <s v="Travel_Rarely"/>
    <n v="244"/>
    <x v="2"/>
    <x v="7"/>
    <x v="0"/>
    <x v="0"/>
    <n v="1"/>
    <n v="1778"/>
    <x v="2"/>
    <x v="0"/>
    <n v="97"/>
    <n v="3"/>
    <x v="0"/>
    <x v="3"/>
    <x v="2"/>
    <x v="0"/>
    <n v="3539"/>
    <x v="0"/>
    <n v="5033"/>
    <n v="0"/>
    <s v="Y"/>
    <x v="0"/>
    <n v="13"/>
    <n v="3"/>
    <n v="2"/>
    <n v="80"/>
    <n v="0"/>
    <n v="10"/>
    <n v="5"/>
    <x v="0"/>
    <x v="9"/>
    <x v="6"/>
    <n v="1"/>
  </r>
  <r>
    <s v="RM1294"/>
    <n v="43"/>
    <x v="2"/>
    <s v="No"/>
    <n v="0"/>
    <s v="Non-Travel"/>
    <n v="343"/>
    <x v="0"/>
    <x v="9"/>
    <x v="0"/>
    <x v="0"/>
    <n v="1"/>
    <n v="1813"/>
    <x v="3"/>
    <x v="0"/>
    <n v="52"/>
    <n v="3"/>
    <x v="0"/>
    <x v="2"/>
    <x v="0"/>
    <x v="0"/>
    <n v="2438"/>
    <x v="0"/>
    <n v="24978"/>
    <n v="4"/>
    <s v="Y"/>
    <x v="0"/>
    <n v="13"/>
    <n v="3"/>
    <n v="3"/>
    <n v="80"/>
    <n v="0"/>
    <n v="7"/>
    <n v="2"/>
    <x v="3"/>
    <x v="3"/>
    <x v="2"/>
    <n v="1"/>
  </r>
  <r>
    <s v="RM1317"/>
    <n v="43"/>
    <x v="2"/>
    <s v="No"/>
    <n v="0"/>
    <s v="Travel_Frequently"/>
    <n v="1422"/>
    <x v="1"/>
    <x v="7"/>
    <x v="3"/>
    <x v="0"/>
    <n v="1"/>
    <n v="1849"/>
    <x v="3"/>
    <x v="0"/>
    <n v="92"/>
    <n v="3"/>
    <x v="1"/>
    <x v="5"/>
    <x v="2"/>
    <x v="2"/>
    <n v="5675"/>
    <x v="1"/>
    <n v="19246"/>
    <n v="1"/>
    <s v="Y"/>
    <x v="0"/>
    <n v="20"/>
    <n v="4"/>
    <n v="3"/>
    <n v="80"/>
    <n v="1"/>
    <n v="7"/>
    <n v="5"/>
    <x v="0"/>
    <x v="7"/>
    <x v="6"/>
    <n v="7"/>
  </r>
  <r>
    <s v="RM1331"/>
    <n v="43"/>
    <x v="2"/>
    <s v="No"/>
    <n v="0"/>
    <s v="Travel_Rarely"/>
    <n v="823"/>
    <x v="0"/>
    <x v="11"/>
    <x v="0"/>
    <x v="1"/>
    <n v="1"/>
    <n v="1866"/>
    <x v="3"/>
    <x v="1"/>
    <n v="81"/>
    <n v="2"/>
    <x v="4"/>
    <x v="8"/>
    <x v="0"/>
    <x v="2"/>
    <n v="19392"/>
    <x v="3"/>
    <n v="22539"/>
    <n v="7"/>
    <s v="Y"/>
    <x v="0"/>
    <n v="13"/>
    <n v="3"/>
    <n v="4"/>
    <n v="80"/>
    <n v="0"/>
    <n v="21"/>
    <n v="2"/>
    <x v="0"/>
    <x v="16"/>
    <x v="11"/>
    <n v="6"/>
  </r>
  <r>
    <s v="RM1400"/>
    <n v="43"/>
    <x v="2"/>
    <s v="No"/>
    <n v="0"/>
    <s v="Travel_Rarely"/>
    <n v="574"/>
    <x v="0"/>
    <x v="13"/>
    <x v="0"/>
    <x v="0"/>
    <n v="1"/>
    <n v="1971"/>
    <x v="3"/>
    <x v="0"/>
    <n v="30"/>
    <n v="3"/>
    <x v="2"/>
    <x v="6"/>
    <x v="0"/>
    <x v="2"/>
    <n v="7510"/>
    <x v="1"/>
    <n v="16873"/>
    <n v="1"/>
    <s v="Y"/>
    <x v="0"/>
    <n v="17"/>
    <n v="3"/>
    <n v="2"/>
    <n v="80"/>
    <n v="1"/>
    <n v="10"/>
    <n v="1"/>
    <x v="0"/>
    <x v="10"/>
    <x v="9"/>
    <n v="0"/>
  </r>
  <r>
    <s v="RM029"/>
    <n v="44"/>
    <x v="2"/>
    <s v="No"/>
    <n v="0"/>
    <s v="Travel_Rarely"/>
    <n v="477"/>
    <x v="0"/>
    <x v="17"/>
    <x v="3"/>
    <x v="1"/>
    <n v="1"/>
    <n v="36"/>
    <x v="3"/>
    <x v="1"/>
    <n v="42"/>
    <n v="2"/>
    <x v="2"/>
    <x v="6"/>
    <x v="2"/>
    <x v="2"/>
    <n v="10248"/>
    <x v="2"/>
    <n v="2094"/>
    <n v="3"/>
    <s v="Y"/>
    <x v="0"/>
    <n v="14"/>
    <n v="3"/>
    <n v="4"/>
    <n v="80"/>
    <n v="1"/>
    <n v="24"/>
    <n v="4"/>
    <x v="0"/>
    <x v="22"/>
    <x v="8"/>
    <n v="5"/>
  </r>
  <r>
    <s v="RM032"/>
    <n v="44"/>
    <x v="2"/>
    <s v="No"/>
    <n v="0"/>
    <s v="Travel_Rarely"/>
    <n v="1459"/>
    <x v="0"/>
    <x v="1"/>
    <x v="3"/>
    <x v="4"/>
    <n v="1"/>
    <n v="40"/>
    <x v="1"/>
    <x v="0"/>
    <n v="41"/>
    <n v="3"/>
    <x v="1"/>
    <x v="6"/>
    <x v="2"/>
    <x v="2"/>
    <n v="6465"/>
    <x v="1"/>
    <n v="19121"/>
    <n v="2"/>
    <s v="Y"/>
    <x v="1"/>
    <n v="13"/>
    <n v="3"/>
    <n v="4"/>
    <n v="80"/>
    <n v="0"/>
    <n v="9"/>
    <n v="5"/>
    <x v="1"/>
    <x v="4"/>
    <x v="2"/>
    <n v="1"/>
  </r>
  <r>
    <s v="RM053"/>
    <n v="44"/>
    <x v="2"/>
    <s v="No"/>
    <n v="0"/>
    <s v="Travel_Rarely"/>
    <n v="1488"/>
    <x v="1"/>
    <x v="4"/>
    <x v="4"/>
    <x v="2"/>
    <n v="1"/>
    <n v="68"/>
    <x v="2"/>
    <x v="1"/>
    <n v="75"/>
    <n v="3"/>
    <x v="1"/>
    <x v="5"/>
    <x v="3"/>
    <x v="1"/>
    <n v="5454"/>
    <x v="1"/>
    <n v="4009"/>
    <n v="5"/>
    <s v="Y"/>
    <x v="1"/>
    <n v="21"/>
    <n v="4"/>
    <n v="3"/>
    <n v="80"/>
    <n v="1"/>
    <n v="9"/>
    <n v="2"/>
    <x v="3"/>
    <x v="4"/>
    <x v="3"/>
    <n v="1"/>
  </r>
  <r>
    <s v="RM100"/>
    <n v="44"/>
    <x v="2"/>
    <s v="No"/>
    <n v="0"/>
    <s v="Non-Travel"/>
    <n v="489"/>
    <x v="0"/>
    <x v="23"/>
    <x v="0"/>
    <x v="1"/>
    <n v="1"/>
    <n v="132"/>
    <x v="2"/>
    <x v="0"/>
    <n v="67"/>
    <n v="3"/>
    <x v="1"/>
    <x v="0"/>
    <x v="1"/>
    <x v="2"/>
    <n v="2042"/>
    <x v="0"/>
    <n v="25043"/>
    <n v="4"/>
    <s v="Y"/>
    <x v="0"/>
    <n v="12"/>
    <n v="3"/>
    <n v="3"/>
    <n v="80"/>
    <n v="1"/>
    <n v="17"/>
    <n v="3"/>
    <x v="1"/>
    <x v="3"/>
    <x v="2"/>
    <n v="1"/>
  </r>
  <r>
    <s v="RM287"/>
    <n v="44"/>
    <x v="2"/>
    <s v="Yes"/>
    <n v="1"/>
    <s v="Travel_Frequently"/>
    <n v="920"/>
    <x v="0"/>
    <x v="22"/>
    <x v="0"/>
    <x v="0"/>
    <n v="1"/>
    <n v="392"/>
    <x v="1"/>
    <x v="0"/>
    <n v="43"/>
    <n v="3"/>
    <x v="0"/>
    <x v="0"/>
    <x v="0"/>
    <x v="1"/>
    <n v="3161"/>
    <x v="0"/>
    <n v="19920"/>
    <n v="3"/>
    <s v="Y"/>
    <x v="1"/>
    <n v="22"/>
    <n v="4"/>
    <n v="4"/>
    <n v="80"/>
    <n v="1"/>
    <n v="19"/>
    <n v="0"/>
    <x v="2"/>
    <x v="1"/>
    <x v="0"/>
    <n v="0"/>
  </r>
  <r>
    <s v="RM494"/>
    <n v="44"/>
    <x v="2"/>
    <s v="No"/>
    <n v="0"/>
    <s v="Travel_Rarely"/>
    <n v="1112"/>
    <x v="2"/>
    <x v="4"/>
    <x v="3"/>
    <x v="0"/>
    <n v="1"/>
    <n v="665"/>
    <x v="3"/>
    <x v="1"/>
    <n v="50"/>
    <n v="2"/>
    <x v="1"/>
    <x v="3"/>
    <x v="0"/>
    <x v="0"/>
    <n v="5985"/>
    <x v="1"/>
    <n v="26894"/>
    <n v="4"/>
    <s v="Y"/>
    <x v="0"/>
    <n v="11"/>
    <n v="3"/>
    <n v="2"/>
    <n v="80"/>
    <n v="0"/>
    <n v="10"/>
    <n v="1"/>
    <x v="1"/>
    <x v="2"/>
    <x v="2"/>
    <n v="0"/>
  </r>
  <r>
    <s v="RM498"/>
    <n v="44"/>
    <x v="2"/>
    <s v="No"/>
    <n v="0"/>
    <s v="Travel_Rarely"/>
    <n v="1315"/>
    <x v="0"/>
    <x v="0"/>
    <x v="3"/>
    <x v="4"/>
    <n v="1"/>
    <n v="671"/>
    <x v="1"/>
    <x v="0"/>
    <n v="35"/>
    <n v="3"/>
    <x v="4"/>
    <x v="8"/>
    <x v="2"/>
    <x v="2"/>
    <n v="19513"/>
    <x v="3"/>
    <n v="9358"/>
    <n v="4"/>
    <s v="Y"/>
    <x v="1"/>
    <n v="12"/>
    <n v="3"/>
    <n v="1"/>
    <n v="80"/>
    <n v="1"/>
    <n v="26"/>
    <n v="2"/>
    <x v="1"/>
    <x v="2"/>
    <x v="2"/>
    <n v="0"/>
  </r>
  <r>
    <s v="RM544"/>
    <n v="44"/>
    <x v="2"/>
    <s v="No"/>
    <n v="0"/>
    <s v="Non-Travel"/>
    <n v="381"/>
    <x v="0"/>
    <x v="22"/>
    <x v="0"/>
    <x v="1"/>
    <n v="1"/>
    <n v="744"/>
    <x v="3"/>
    <x v="0"/>
    <n v="49"/>
    <n v="1"/>
    <x v="0"/>
    <x v="0"/>
    <x v="0"/>
    <x v="0"/>
    <n v="3708"/>
    <x v="0"/>
    <n v="2104"/>
    <n v="2"/>
    <s v="Y"/>
    <x v="0"/>
    <n v="14"/>
    <n v="3"/>
    <n v="3"/>
    <n v="80"/>
    <n v="0"/>
    <n v="9"/>
    <n v="5"/>
    <x v="0"/>
    <x v="5"/>
    <x v="2"/>
    <n v="1"/>
  </r>
  <r>
    <s v="RM618"/>
    <n v="44"/>
    <x v="2"/>
    <s v="No"/>
    <n v="0"/>
    <s v="Travel_Rarely"/>
    <n v="625"/>
    <x v="0"/>
    <x v="12"/>
    <x v="0"/>
    <x v="1"/>
    <n v="1"/>
    <n v="852"/>
    <x v="1"/>
    <x v="0"/>
    <n v="50"/>
    <n v="3"/>
    <x v="1"/>
    <x v="6"/>
    <x v="1"/>
    <x v="0"/>
    <n v="5933"/>
    <x v="1"/>
    <n v="5197"/>
    <n v="9"/>
    <s v="Y"/>
    <x v="0"/>
    <n v="12"/>
    <n v="3"/>
    <n v="4"/>
    <n v="80"/>
    <n v="0"/>
    <n v="10"/>
    <n v="2"/>
    <x v="3"/>
    <x v="5"/>
    <x v="2"/>
    <n v="2"/>
  </r>
  <r>
    <s v="RM632"/>
    <n v="44"/>
    <x v="2"/>
    <s v="No"/>
    <n v="0"/>
    <s v="Travel_Rarely"/>
    <n v="986"/>
    <x v="0"/>
    <x v="3"/>
    <x v="3"/>
    <x v="0"/>
    <n v="1"/>
    <n v="874"/>
    <x v="3"/>
    <x v="0"/>
    <n v="62"/>
    <n v="4"/>
    <x v="0"/>
    <x v="0"/>
    <x v="2"/>
    <x v="2"/>
    <n v="2818"/>
    <x v="0"/>
    <n v="5044"/>
    <n v="2"/>
    <s v="Y"/>
    <x v="1"/>
    <n v="24"/>
    <n v="4"/>
    <n v="3"/>
    <n v="80"/>
    <n v="1"/>
    <n v="10"/>
    <n v="2"/>
    <x v="3"/>
    <x v="3"/>
    <x v="2"/>
    <n v="0"/>
  </r>
  <r>
    <s v="RM659"/>
    <n v="44"/>
    <x v="2"/>
    <s v="No"/>
    <n v="0"/>
    <s v="Travel_Rarely"/>
    <n v="661"/>
    <x v="0"/>
    <x v="9"/>
    <x v="1"/>
    <x v="0"/>
    <n v="1"/>
    <n v="913"/>
    <x v="2"/>
    <x v="0"/>
    <n v="61"/>
    <n v="3"/>
    <x v="0"/>
    <x v="2"/>
    <x v="3"/>
    <x v="2"/>
    <n v="2559"/>
    <x v="0"/>
    <n v="7508"/>
    <n v="1"/>
    <s v="Y"/>
    <x v="1"/>
    <n v="13"/>
    <n v="3"/>
    <n v="4"/>
    <n v="80"/>
    <n v="0"/>
    <n v="8"/>
    <n v="0"/>
    <x v="0"/>
    <x v="8"/>
    <x v="6"/>
    <n v="7"/>
  </r>
  <r>
    <s v="RM751"/>
    <n v="44"/>
    <x v="2"/>
    <s v="No"/>
    <n v="0"/>
    <s v="Travel_Rarely"/>
    <n v="1448"/>
    <x v="1"/>
    <x v="27"/>
    <x v="0"/>
    <x v="1"/>
    <n v="1"/>
    <n v="1039"/>
    <x v="1"/>
    <x v="1"/>
    <n v="53"/>
    <n v="4"/>
    <x v="3"/>
    <x v="5"/>
    <x v="2"/>
    <x v="2"/>
    <n v="13320"/>
    <x v="2"/>
    <n v="11737"/>
    <n v="3"/>
    <s v="Y"/>
    <x v="1"/>
    <n v="18"/>
    <n v="3"/>
    <n v="3"/>
    <n v="80"/>
    <n v="1"/>
    <n v="23"/>
    <n v="2"/>
    <x v="0"/>
    <x v="12"/>
    <x v="14"/>
    <n v="11"/>
  </r>
  <r>
    <s v="RM790"/>
    <n v="44"/>
    <x v="2"/>
    <s v="Yes"/>
    <n v="1"/>
    <s v="Travel_Rarely"/>
    <n v="1376"/>
    <x v="2"/>
    <x v="4"/>
    <x v="1"/>
    <x v="1"/>
    <n v="1"/>
    <n v="1098"/>
    <x v="2"/>
    <x v="0"/>
    <n v="91"/>
    <n v="2"/>
    <x v="2"/>
    <x v="3"/>
    <x v="3"/>
    <x v="2"/>
    <n v="10482"/>
    <x v="2"/>
    <n v="2326"/>
    <n v="9"/>
    <s v="Y"/>
    <x v="0"/>
    <n v="14"/>
    <n v="3"/>
    <n v="4"/>
    <n v="80"/>
    <n v="1"/>
    <n v="24"/>
    <n v="1"/>
    <x v="0"/>
    <x v="20"/>
    <x v="8"/>
    <n v="3"/>
  </r>
  <r>
    <s v="RM858"/>
    <n v="44"/>
    <x v="2"/>
    <s v="Yes"/>
    <n v="1"/>
    <s v="Travel_Rarely"/>
    <n v="1097"/>
    <x v="0"/>
    <x v="1"/>
    <x v="3"/>
    <x v="0"/>
    <n v="1"/>
    <n v="1200"/>
    <x v="0"/>
    <x v="0"/>
    <n v="96"/>
    <n v="3"/>
    <x v="0"/>
    <x v="2"/>
    <x v="0"/>
    <x v="0"/>
    <n v="2936"/>
    <x v="0"/>
    <n v="10826"/>
    <n v="1"/>
    <s v="Y"/>
    <x v="1"/>
    <n v="11"/>
    <n v="3"/>
    <n v="3"/>
    <n v="80"/>
    <n v="0"/>
    <n v="6"/>
    <n v="4"/>
    <x v="0"/>
    <x v="6"/>
    <x v="4"/>
    <n v="0"/>
  </r>
  <r>
    <s v="RM863"/>
    <n v="44"/>
    <x v="2"/>
    <s v="No"/>
    <n v="0"/>
    <s v="Non-Travel"/>
    <n v="111"/>
    <x v="0"/>
    <x v="24"/>
    <x v="0"/>
    <x v="0"/>
    <n v="1"/>
    <n v="1206"/>
    <x v="1"/>
    <x v="0"/>
    <n v="74"/>
    <n v="1"/>
    <x v="0"/>
    <x v="2"/>
    <x v="0"/>
    <x v="0"/>
    <n v="2290"/>
    <x v="0"/>
    <n v="4279"/>
    <n v="2"/>
    <s v="Y"/>
    <x v="0"/>
    <n v="13"/>
    <n v="3"/>
    <n v="4"/>
    <n v="80"/>
    <n v="0"/>
    <n v="6"/>
    <n v="3"/>
    <x v="0"/>
    <x v="0"/>
    <x v="0"/>
    <n v="0"/>
  </r>
  <r>
    <s v="RM876"/>
    <n v="44"/>
    <x v="2"/>
    <s v="No"/>
    <n v="0"/>
    <s v="Travel_Rarely"/>
    <n v="200"/>
    <x v="0"/>
    <x v="26"/>
    <x v="3"/>
    <x v="4"/>
    <n v="1"/>
    <n v="1225"/>
    <x v="1"/>
    <x v="0"/>
    <n v="32"/>
    <n v="3"/>
    <x v="1"/>
    <x v="2"/>
    <x v="2"/>
    <x v="0"/>
    <n v="4541"/>
    <x v="0"/>
    <n v="7744"/>
    <n v="1"/>
    <s v="Y"/>
    <x v="0"/>
    <n v="25"/>
    <n v="4"/>
    <n v="2"/>
    <n v="80"/>
    <n v="0"/>
    <n v="20"/>
    <n v="3"/>
    <x v="0"/>
    <x v="20"/>
    <x v="14"/>
    <n v="13"/>
  </r>
  <r>
    <s v="RM892"/>
    <n v="44"/>
    <x v="2"/>
    <s v="No"/>
    <n v="0"/>
    <s v="Travel_Rarely"/>
    <n v="1117"/>
    <x v="0"/>
    <x v="7"/>
    <x v="2"/>
    <x v="0"/>
    <n v="1"/>
    <n v="1246"/>
    <x v="3"/>
    <x v="1"/>
    <n v="72"/>
    <n v="4"/>
    <x v="0"/>
    <x v="2"/>
    <x v="2"/>
    <x v="2"/>
    <n v="2011"/>
    <x v="0"/>
    <n v="19982"/>
    <n v="1"/>
    <s v="Y"/>
    <x v="0"/>
    <n v="13"/>
    <n v="3"/>
    <n v="4"/>
    <n v="80"/>
    <n v="1"/>
    <n v="10"/>
    <n v="5"/>
    <x v="0"/>
    <x v="10"/>
    <x v="5"/>
    <n v="7"/>
  </r>
  <r>
    <s v="RM908"/>
    <n v="44"/>
    <x v="2"/>
    <s v="No"/>
    <n v="0"/>
    <s v="Travel_Rarely"/>
    <n v="1099"/>
    <x v="1"/>
    <x v="2"/>
    <x v="0"/>
    <x v="2"/>
    <n v="1"/>
    <n v="1267"/>
    <x v="2"/>
    <x v="0"/>
    <n v="88"/>
    <n v="3"/>
    <x v="4"/>
    <x v="8"/>
    <x v="1"/>
    <x v="2"/>
    <n v="18213"/>
    <x v="3"/>
    <n v="8751"/>
    <n v="7"/>
    <s v="Y"/>
    <x v="0"/>
    <n v="11"/>
    <n v="3"/>
    <n v="3"/>
    <n v="80"/>
    <n v="1"/>
    <n v="26"/>
    <n v="5"/>
    <x v="0"/>
    <x v="22"/>
    <x v="9"/>
    <n v="3"/>
  </r>
  <r>
    <s v="RM923"/>
    <n v="44"/>
    <x v="2"/>
    <s v="No"/>
    <n v="0"/>
    <s v="Travel_Rarely"/>
    <n v="1199"/>
    <x v="0"/>
    <x v="12"/>
    <x v="1"/>
    <x v="0"/>
    <n v="1"/>
    <n v="1288"/>
    <x v="0"/>
    <x v="0"/>
    <n v="92"/>
    <n v="4"/>
    <x v="4"/>
    <x v="8"/>
    <x v="3"/>
    <x v="1"/>
    <n v="19190"/>
    <x v="3"/>
    <n v="17477"/>
    <n v="1"/>
    <s v="Y"/>
    <x v="0"/>
    <n v="14"/>
    <n v="3"/>
    <n v="4"/>
    <n v="80"/>
    <n v="2"/>
    <n v="26"/>
    <n v="4"/>
    <x v="3"/>
    <x v="24"/>
    <x v="9"/>
    <n v="14"/>
  </r>
  <r>
    <s v="RM929"/>
    <n v="44"/>
    <x v="2"/>
    <s v="Yes"/>
    <n v="1"/>
    <s v="Travel_Rarely"/>
    <n v="621"/>
    <x v="0"/>
    <x v="14"/>
    <x v="0"/>
    <x v="1"/>
    <n v="1"/>
    <n v="1295"/>
    <x v="3"/>
    <x v="1"/>
    <n v="73"/>
    <n v="3"/>
    <x v="2"/>
    <x v="6"/>
    <x v="2"/>
    <x v="2"/>
    <n v="7978"/>
    <x v="1"/>
    <n v="14075"/>
    <n v="1"/>
    <s v="Y"/>
    <x v="0"/>
    <n v="11"/>
    <n v="3"/>
    <n v="4"/>
    <n v="80"/>
    <n v="1"/>
    <n v="10"/>
    <n v="2"/>
    <x v="0"/>
    <x v="10"/>
    <x v="6"/>
    <n v="0"/>
  </r>
  <r>
    <s v="RM954"/>
    <n v="44"/>
    <x v="2"/>
    <s v="Yes"/>
    <n v="1"/>
    <s v="Travel_Rarely"/>
    <n v="935"/>
    <x v="0"/>
    <x v="0"/>
    <x v="0"/>
    <x v="0"/>
    <n v="1"/>
    <n v="1333"/>
    <x v="3"/>
    <x v="0"/>
    <n v="89"/>
    <n v="3"/>
    <x v="0"/>
    <x v="0"/>
    <x v="3"/>
    <x v="2"/>
    <n v="2362"/>
    <x v="0"/>
    <n v="14669"/>
    <n v="4"/>
    <s v="Y"/>
    <x v="0"/>
    <n v="12"/>
    <n v="3"/>
    <n v="3"/>
    <n v="80"/>
    <n v="0"/>
    <n v="10"/>
    <n v="4"/>
    <x v="1"/>
    <x v="3"/>
    <x v="2"/>
    <n v="1"/>
  </r>
  <r>
    <s v="RM1043"/>
    <n v="44"/>
    <x v="2"/>
    <s v="No"/>
    <n v="0"/>
    <s v="Non-Travel"/>
    <n v="981"/>
    <x v="0"/>
    <x v="2"/>
    <x v="0"/>
    <x v="0"/>
    <n v="1"/>
    <n v="1471"/>
    <x v="0"/>
    <x v="0"/>
    <n v="90"/>
    <n v="2"/>
    <x v="0"/>
    <x v="0"/>
    <x v="0"/>
    <x v="0"/>
    <n v="3162"/>
    <x v="0"/>
    <n v="7973"/>
    <n v="3"/>
    <s v="Y"/>
    <x v="0"/>
    <n v="14"/>
    <n v="3"/>
    <n v="4"/>
    <n v="80"/>
    <n v="0"/>
    <n v="7"/>
    <n v="5"/>
    <x v="0"/>
    <x v="5"/>
    <x v="2"/>
    <n v="0"/>
  </r>
  <r>
    <s v="RM1047"/>
    <n v="44"/>
    <x v="2"/>
    <s v="No"/>
    <n v="0"/>
    <s v="Travel_Rarely"/>
    <n v="1467"/>
    <x v="0"/>
    <x v="21"/>
    <x v="0"/>
    <x v="0"/>
    <n v="1"/>
    <n v="1475"/>
    <x v="1"/>
    <x v="0"/>
    <n v="49"/>
    <n v="3"/>
    <x v="0"/>
    <x v="2"/>
    <x v="1"/>
    <x v="0"/>
    <n v="3420"/>
    <x v="0"/>
    <n v="21158"/>
    <n v="1"/>
    <s v="Y"/>
    <x v="0"/>
    <n v="13"/>
    <n v="3"/>
    <n v="3"/>
    <n v="80"/>
    <n v="0"/>
    <n v="6"/>
    <n v="3"/>
    <x v="3"/>
    <x v="5"/>
    <x v="2"/>
    <n v="1"/>
  </r>
  <r>
    <s v="RM1052"/>
    <n v="44"/>
    <x v="2"/>
    <s v="No"/>
    <n v="0"/>
    <s v="Travel_Frequently"/>
    <n v="383"/>
    <x v="1"/>
    <x v="4"/>
    <x v="4"/>
    <x v="2"/>
    <n v="1"/>
    <n v="1481"/>
    <x v="3"/>
    <x v="1"/>
    <n v="79"/>
    <n v="3"/>
    <x v="1"/>
    <x v="5"/>
    <x v="0"/>
    <x v="2"/>
    <n v="4768"/>
    <x v="0"/>
    <n v="9282"/>
    <n v="7"/>
    <s v="Y"/>
    <x v="0"/>
    <n v="12"/>
    <n v="3"/>
    <n v="3"/>
    <n v="80"/>
    <n v="1"/>
    <n v="11"/>
    <n v="4"/>
    <x v="3"/>
    <x v="1"/>
    <x v="0"/>
    <n v="0"/>
  </r>
  <r>
    <s v="RM1063"/>
    <n v="44"/>
    <x v="2"/>
    <s v="No"/>
    <n v="0"/>
    <s v="Travel_Frequently"/>
    <n v="1193"/>
    <x v="0"/>
    <x v="7"/>
    <x v="2"/>
    <x v="1"/>
    <n v="1"/>
    <n v="1496"/>
    <x v="2"/>
    <x v="0"/>
    <n v="86"/>
    <n v="3"/>
    <x v="2"/>
    <x v="4"/>
    <x v="0"/>
    <x v="0"/>
    <n v="10209"/>
    <x v="2"/>
    <n v="19719"/>
    <n v="5"/>
    <s v="Y"/>
    <x v="1"/>
    <n v="18"/>
    <n v="3"/>
    <n v="2"/>
    <n v="80"/>
    <n v="0"/>
    <n v="16"/>
    <n v="2"/>
    <x v="3"/>
    <x v="2"/>
    <x v="2"/>
    <n v="2"/>
  </r>
  <r>
    <s v="RM1079"/>
    <n v="44"/>
    <x v="2"/>
    <s v="No"/>
    <n v="0"/>
    <s v="Travel_Rarely"/>
    <n v="136"/>
    <x v="0"/>
    <x v="27"/>
    <x v="0"/>
    <x v="0"/>
    <n v="1"/>
    <n v="1523"/>
    <x v="1"/>
    <x v="0"/>
    <n v="32"/>
    <n v="3"/>
    <x v="3"/>
    <x v="7"/>
    <x v="3"/>
    <x v="2"/>
    <n v="16328"/>
    <x v="3"/>
    <n v="22074"/>
    <n v="3"/>
    <s v="Y"/>
    <x v="0"/>
    <n v="13"/>
    <n v="3"/>
    <n v="3"/>
    <n v="80"/>
    <n v="1"/>
    <n v="24"/>
    <n v="1"/>
    <x v="1"/>
    <x v="20"/>
    <x v="8"/>
    <n v="14"/>
  </r>
  <r>
    <s v="RM1141"/>
    <n v="44"/>
    <x v="2"/>
    <s v="No"/>
    <n v="0"/>
    <s v="Travel_Rarely"/>
    <n v="1313"/>
    <x v="0"/>
    <x v="17"/>
    <x v="0"/>
    <x v="1"/>
    <n v="1"/>
    <n v="1608"/>
    <x v="2"/>
    <x v="1"/>
    <n v="31"/>
    <n v="3"/>
    <x v="4"/>
    <x v="7"/>
    <x v="2"/>
    <x v="1"/>
    <n v="19049"/>
    <x v="3"/>
    <n v="3549"/>
    <n v="0"/>
    <s v="Y"/>
    <x v="1"/>
    <n v="14"/>
    <n v="3"/>
    <n v="4"/>
    <n v="80"/>
    <n v="1"/>
    <n v="23"/>
    <n v="4"/>
    <x v="3"/>
    <x v="22"/>
    <x v="6"/>
    <n v="1"/>
  </r>
  <r>
    <s v="RM1166"/>
    <n v="44"/>
    <x v="2"/>
    <s v="No"/>
    <n v="0"/>
    <s v="Travel_Frequently"/>
    <n v="602"/>
    <x v="2"/>
    <x v="4"/>
    <x v="4"/>
    <x v="5"/>
    <n v="1"/>
    <n v="1642"/>
    <x v="3"/>
    <x v="0"/>
    <n v="37"/>
    <n v="3"/>
    <x v="1"/>
    <x v="3"/>
    <x v="2"/>
    <x v="2"/>
    <n v="5743"/>
    <x v="1"/>
    <n v="10503"/>
    <n v="4"/>
    <s v="Y"/>
    <x v="1"/>
    <n v="11"/>
    <n v="3"/>
    <n v="3"/>
    <n v="80"/>
    <n v="0"/>
    <n v="14"/>
    <n v="3"/>
    <x v="0"/>
    <x v="10"/>
    <x v="6"/>
    <n v="0"/>
  </r>
  <r>
    <s v="RM1201"/>
    <n v="44"/>
    <x v="2"/>
    <s v="No"/>
    <n v="0"/>
    <s v="Travel_Rarely"/>
    <n v="528"/>
    <x v="2"/>
    <x v="4"/>
    <x v="0"/>
    <x v="0"/>
    <n v="1"/>
    <n v="1683"/>
    <x v="0"/>
    <x v="1"/>
    <n v="44"/>
    <n v="3"/>
    <x v="0"/>
    <x v="3"/>
    <x v="2"/>
    <x v="1"/>
    <n v="3195"/>
    <x v="0"/>
    <n v="4167"/>
    <n v="4"/>
    <s v="Y"/>
    <x v="1"/>
    <n v="18"/>
    <n v="3"/>
    <n v="1"/>
    <n v="80"/>
    <n v="3"/>
    <n v="8"/>
    <n v="2"/>
    <x v="0"/>
    <x v="2"/>
    <x v="2"/>
    <n v="2"/>
  </r>
  <r>
    <s v="RM1215"/>
    <n v="44"/>
    <x v="2"/>
    <s v="No"/>
    <n v="0"/>
    <s v="Travel_Rarely"/>
    <n v="921"/>
    <x v="0"/>
    <x v="7"/>
    <x v="0"/>
    <x v="0"/>
    <n v="1"/>
    <n v="1703"/>
    <x v="0"/>
    <x v="1"/>
    <n v="96"/>
    <n v="4"/>
    <x v="2"/>
    <x v="6"/>
    <x v="2"/>
    <x v="2"/>
    <n v="7879"/>
    <x v="1"/>
    <n v="14810"/>
    <n v="1"/>
    <s v="Y"/>
    <x v="1"/>
    <n v="19"/>
    <n v="3"/>
    <n v="2"/>
    <n v="80"/>
    <n v="1"/>
    <n v="9"/>
    <n v="2"/>
    <x v="0"/>
    <x v="8"/>
    <x v="6"/>
    <n v="6"/>
  </r>
  <r>
    <s v="RM1280"/>
    <n v="44"/>
    <x v="2"/>
    <s v="Yes"/>
    <n v="1"/>
    <s v="Travel_Frequently"/>
    <n v="429"/>
    <x v="0"/>
    <x v="4"/>
    <x v="1"/>
    <x v="1"/>
    <n v="1"/>
    <n v="1792"/>
    <x v="0"/>
    <x v="0"/>
    <n v="99"/>
    <n v="3"/>
    <x v="0"/>
    <x v="2"/>
    <x v="1"/>
    <x v="1"/>
    <n v="2342"/>
    <x v="0"/>
    <n v="11092"/>
    <n v="1"/>
    <s v="Y"/>
    <x v="1"/>
    <n v="12"/>
    <n v="3"/>
    <n v="3"/>
    <n v="80"/>
    <n v="3"/>
    <n v="6"/>
    <n v="2"/>
    <x v="3"/>
    <x v="5"/>
    <x v="3"/>
    <n v="2"/>
  </r>
  <r>
    <s v="RM1353"/>
    <n v="44"/>
    <x v="2"/>
    <s v="No"/>
    <n v="0"/>
    <s v="Travel_Rarely"/>
    <n v="170"/>
    <x v="0"/>
    <x v="4"/>
    <x v="3"/>
    <x v="0"/>
    <n v="1"/>
    <n v="1903"/>
    <x v="2"/>
    <x v="0"/>
    <n v="78"/>
    <n v="4"/>
    <x v="1"/>
    <x v="6"/>
    <x v="3"/>
    <x v="2"/>
    <n v="5033"/>
    <x v="1"/>
    <n v="9364"/>
    <n v="2"/>
    <s v="Y"/>
    <x v="0"/>
    <n v="15"/>
    <n v="3"/>
    <n v="4"/>
    <n v="80"/>
    <n v="1"/>
    <n v="10"/>
    <n v="5"/>
    <x v="0"/>
    <x v="2"/>
    <x v="0"/>
    <n v="2"/>
  </r>
  <r>
    <s v="RM1436"/>
    <n v="44"/>
    <x v="2"/>
    <s v="No"/>
    <n v="0"/>
    <s v="Travel_Rarely"/>
    <n v="1037"/>
    <x v="0"/>
    <x v="4"/>
    <x v="0"/>
    <x v="1"/>
    <n v="1"/>
    <n v="2020"/>
    <x v="2"/>
    <x v="0"/>
    <n v="42"/>
    <n v="3"/>
    <x v="0"/>
    <x v="2"/>
    <x v="2"/>
    <x v="0"/>
    <n v="2436"/>
    <x v="0"/>
    <n v="13422"/>
    <n v="6"/>
    <s v="Y"/>
    <x v="1"/>
    <n v="12"/>
    <n v="3"/>
    <n v="3"/>
    <n v="80"/>
    <n v="0"/>
    <n v="6"/>
    <n v="2"/>
    <x v="0"/>
    <x v="4"/>
    <x v="3"/>
    <n v="1"/>
  </r>
  <r>
    <s v="RM068"/>
    <n v="45"/>
    <x v="2"/>
    <s v="No"/>
    <n v="0"/>
    <s v="Travel_Rarely"/>
    <n v="1339"/>
    <x v="0"/>
    <x v="17"/>
    <x v="0"/>
    <x v="0"/>
    <n v="1"/>
    <n v="86"/>
    <x v="2"/>
    <x v="0"/>
    <n v="59"/>
    <n v="3"/>
    <x v="2"/>
    <x v="2"/>
    <x v="3"/>
    <x v="1"/>
    <n v="9724"/>
    <x v="1"/>
    <n v="18787"/>
    <n v="2"/>
    <s v="Y"/>
    <x v="0"/>
    <n v="17"/>
    <n v="3"/>
    <n v="3"/>
    <n v="80"/>
    <n v="1"/>
    <n v="25"/>
    <n v="2"/>
    <x v="0"/>
    <x v="1"/>
    <x v="0"/>
    <n v="0"/>
  </r>
  <r>
    <s v="RM078"/>
    <n v="45"/>
    <x v="2"/>
    <s v="No"/>
    <n v="0"/>
    <s v="Travel_Rarely"/>
    <n v="193"/>
    <x v="0"/>
    <x v="11"/>
    <x v="3"/>
    <x v="4"/>
    <n v="1"/>
    <n v="101"/>
    <x v="1"/>
    <x v="0"/>
    <n v="52"/>
    <n v="3"/>
    <x v="2"/>
    <x v="7"/>
    <x v="3"/>
    <x v="2"/>
    <n v="13245"/>
    <x v="2"/>
    <n v="15067"/>
    <n v="4"/>
    <s v="Y"/>
    <x v="1"/>
    <n v="14"/>
    <n v="3"/>
    <n v="2"/>
    <n v="80"/>
    <n v="0"/>
    <n v="17"/>
    <n v="3"/>
    <x v="1"/>
    <x v="0"/>
    <x v="0"/>
    <n v="0"/>
  </r>
  <r>
    <s v="RM142"/>
    <n v="45"/>
    <x v="2"/>
    <s v="No"/>
    <n v="0"/>
    <s v="Travel_Rarely"/>
    <n v="1316"/>
    <x v="0"/>
    <x v="26"/>
    <x v="0"/>
    <x v="1"/>
    <n v="1"/>
    <n v="192"/>
    <x v="0"/>
    <x v="0"/>
    <n v="83"/>
    <n v="3"/>
    <x v="0"/>
    <x v="2"/>
    <x v="2"/>
    <x v="0"/>
    <n v="3452"/>
    <x v="0"/>
    <n v="9752"/>
    <n v="5"/>
    <s v="Y"/>
    <x v="0"/>
    <n v="13"/>
    <n v="3"/>
    <n v="2"/>
    <n v="80"/>
    <n v="0"/>
    <n v="9"/>
    <n v="2"/>
    <x v="3"/>
    <x v="6"/>
    <x v="5"/>
    <n v="0"/>
  </r>
  <r>
    <s v="RM154"/>
    <n v="45"/>
    <x v="2"/>
    <s v="No"/>
    <n v="0"/>
    <s v="Travel_Rarely"/>
    <n v="194"/>
    <x v="0"/>
    <x v="9"/>
    <x v="0"/>
    <x v="0"/>
    <n v="1"/>
    <n v="206"/>
    <x v="2"/>
    <x v="0"/>
    <n v="60"/>
    <n v="3"/>
    <x v="1"/>
    <x v="0"/>
    <x v="1"/>
    <x v="1"/>
    <n v="2348"/>
    <x v="0"/>
    <n v="10901"/>
    <n v="8"/>
    <s v="Y"/>
    <x v="0"/>
    <n v="18"/>
    <n v="3"/>
    <n v="3"/>
    <n v="80"/>
    <n v="1"/>
    <n v="20"/>
    <n v="2"/>
    <x v="2"/>
    <x v="17"/>
    <x v="9"/>
    <n v="0"/>
  </r>
  <r>
    <s v="RM175"/>
    <n v="45"/>
    <x v="2"/>
    <s v="No"/>
    <n v="0"/>
    <s v="Travel_Rarely"/>
    <n v="1268"/>
    <x v="1"/>
    <x v="12"/>
    <x v="1"/>
    <x v="0"/>
    <n v="1"/>
    <n v="240"/>
    <x v="0"/>
    <x v="1"/>
    <n v="30"/>
    <n v="3"/>
    <x v="1"/>
    <x v="5"/>
    <x v="3"/>
    <x v="1"/>
    <n v="5006"/>
    <x v="1"/>
    <n v="6319"/>
    <n v="4"/>
    <s v="Y"/>
    <x v="1"/>
    <n v="11"/>
    <n v="3"/>
    <n v="1"/>
    <n v="80"/>
    <n v="1"/>
    <n v="9"/>
    <n v="3"/>
    <x v="1"/>
    <x v="5"/>
    <x v="4"/>
    <n v="0"/>
  </r>
  <r>
    <s v="RM195"/>
    <n v="45"/>
    <x v="2"/>
    <s v="No"/>
    <n v="0"/>
    <s v="Non-Travel"/>
    <n v="1195"/>
    <x v="0"/>
    <x v="7"/>
    <x v="1"/>
    <x v="1"/>
    <n v="1"/>
    <n v="264"/>
    <x v="3"/>
    <x v="0"/>
    <n v="65"/>
    <n v="2"/>
    <x v="3"/>
    <x v="8"/>
    <x v="2"/>
    <x v="2"/>
    <n v="16792"/>
    <x v="3"/>
    <n v="20462"/>
    <n v="9"/>
    <s v="Y"/>
    <x v="0"/>
    <n v="23"/>
    <n v="4"/>
    <n v="4"/>
    <n v="80"/>
    <n v="1"/>
    <n v="22"/>
    <n v="1"/>
    <x v="0"/>
    <x v="20"/>
    <x v="7"/>
    <n v="11"/>
  </r>
  <r>
    <s v="RM219"/>
    <n v="45"/>
    <x v="2"/>
    <s v="No"/>
    <n v="0"/>
    <s v="Non-Travel"/>
    <n v="1052"/>
    <x v="1"/>
    <x v="11"/>
    <x v="0"/>
    <x v="1"/>
    <n v="1"/>
    <n v="302"/>
    <x v="1"/>
    <x v="1"/>
    <n v="57"/>
    <n v="2"/>
    <x v="2"/>
    <x v="5"/>
    <x v="2"/>
    <x v="0"/>
    <n v="8865"/>
    <x v="1"/>
    <n v="16840"/>
    <n v="6"/>
    <s v="Y"/>
    <x v="0"/>
    <n v="12"/>
    <n v="3"/>
    <n v="4"/>
    <n v="80"/>
    <n v="0"/>
    <n v="23"/>
    <n v="2"/>
    <x v="0"/>
    <x v="19"/>
    <x v="6"/>
    <n v="12"/>
  </r>
  <r>
    <s v="RM245"/>
    <n v="45"/>
    <x v="2"/>
    <s v="No"/>
    <n v="0"/>
    <s v="Travel_Rarely"/>
    <n v="252"/>
    <x v="0"/>
    <x v="4"/>
    <x v="0"/>
    <x v="4"/>
    <n v="1"/>
    <n v="336"/>
    <x v="0"/>
    <x v="0"/>
    <n v="70"/>
    <n v="4"/>
    <x v="4"/>
    <x v="8"/>
    <x v="2"/>
    <x v="2"/>
    <n v="19202"/>
    <x v="3"/>
    <n v="15970"/>
    <n v="0"/>
    <s v="Y"/>
    <x v="0"/>
    <n v="11"/>
    <n v="3"/>
    <n v="3"/>
    <n v="80"/>
    <n v="1"/>
    <n v="25"/>
    <n v="2"/>
    <x v="0"/>
    <x v="23"/>
    <x v="0"/>
    <n v="1"/>
  </r>
  <r>
    <s v="RM250"/>
    <n v="45"/>
    <x v="2"/>
    <s v="No"/>
    <n v="0"/>
    <s v="Travel_Frequently"/>
    <n v="1199"/>
    <x v="0"/>
    <x v="17"/>
    <x v="3"/>
    <x v="0"/>
    <n v="1"/>
    <n v="341"/>
    <x v="3"/>
    <x v="0"/>
    <n v="77"/>
    <n v="4"/>
    <x v="1"/>
    <x v="4"/>
    <x v="0"/>
    <x v="2"/>
    <n v="6434"/>
    <x v="1"/>
    <n v="5118"/>
    <n v="4"/>
    <s v="Y"/>
    <x v="0"/>
    <n v="17"/>
    <n v="3"/>
    <n v="4"/>
    <n v="80"/>
    <n v="1"/>
    <n v="9"/>
    <n v="1"/>
    <x v="0"/>
    <x v="3"/>
    <x v="2"/>
    <n v="0"/>
  </r>
  <r>
    <s v="RM269"/>
    <n v="45"/>
    <x v="2"/>
    <s v="No"/>
    <n v="0"/>
    <s v="Travel_Rarely"/>
    <n v="1385"/>
    <x v="0"/>
    <x v="21"/>
    <x v="1"/>
    <x v="1"/>
    <n v="1"/>
    <n v="372"/>
    <x v="0"/>
    <x v="0"/>
    <n v="79"/>
    <n v="3"/>
    <x v="3"/>
    <x v="6"/>
    <x v="2"/>
    <x v="2"/>
    <n v="13496"/>
    <x v="2"/>
    <n v="7501"/>
    <n v="0"/>
    <s v="Y"/>
    <x v="1"/>
    <n v="14"/>
    <n v="3"/>
    <n v="2"/>
    <n v="80"/>
    <n v="0"/>
    <n v="21"/>
    <n v="2"/>
    <x v="0"/>
    <x v="20"/>
    <x v="6"/>
    <n v="4"/>
  </r>
  <r>
    <s v="RM312"/>
    <n v="45"/>
    <x v="2"/>
    <s v="No"/>
    <n v="0"/>
    <s v="Travel_Frequently"/>
    <n v="1249"/>
    <x v="0"/>
    <x v="17"/>
    <x v="0"/>
    <x v="0"/>
    <n v="1"/>
    <n v="425"/>
    <x v="3"/>
    <x v="0"/>
    <n v="97"/>
    <n v="3"/>
    <x v="2"/>
    <x v="0"/>
    <x v="3"/>
    <x v="1"/>
    <n v="5210"/>
    <x v="1"/>
    <n v="20308"/>
    <n v="1"/>
    <s v="Y"/>
    <x v="0"/>
    <n v="18"/>
    <n v="3"/>
    <n v="1"/>
    <n v="80"/>
    <n v="1"/>
    <n v="24"/>
    <n v="2"/>
    <x v="0"/>
    <x v="23"/>
    <x v="9"/>
    <n v="9"/>
  </r>
  <r>
    <s v="RM335"/>
    <n v="45"/>
    <x v="2"/>
    <s v="No"/>
    <n v="0"/>
    <s v="Travel_Rarely"/>
    <n v="549"/>
    <x v="0"/>
    <x v="3"/>
    <x v="3"/>
    <x v="4"/>
    <n v="1"/>
    <n v="452"/>
    <x v="1"/>
    <x v="0"/>
    <n v="75"/>
    <n v="3"/>
    <x v="1"/>
    <x v="2"/>
    <x v="2"/>
    <x v="2"/>
    <n v="3697"/>
    <x v="0"/>
    <n v="9278"/>
    <n v="9"/>
    <s v="Y"/>
    <x v="0"/>
    <n v="14"/>
    <n v="3"/>
    <n v="1"/>
    <n v="80"/>
    <n v="2"/>
    <n v="12"/>
    <n v="3"/>
    <x v="0"/>
    <x v="10"/>
    <x v="9"/>
    <n v="9"/>
  </r>
  <r>
    <s v="RM408"/>
    <n v="45"/>
    <x v="2"/>
    <s v="No"/>
    <n v="0"/>
    <s v="Travel_Rarely"/>
    <n v="192"/>
    <x v="0"/>
    <x v="1"/>
    <x v="1"/>
    <x v="0"/>
    <n v="1"/>
    <n v="544"/>
    <x v="3"/>
    <x v="0"/>
    <n v="69"/>
    <n v="3"/>
    <x v="0"/>
    <x v="2"/>
    <x v="2"/>
    <x v="2"/>
    <n v="2654"/>
    <x v="0"/>
    <n v="9655"/>
    <n v="3"/>
    <s v="Y"/>
    <x v="0"/>
    <n v="21"/>
    <n v="4"/>
    <n v="4"/>
    <n v="80"/>
    <n v="2"/>
    <n v="8"/>
    <n v="3"/>
    <x v="3"/>
    <x v="2"/>
    <x v="2"/>
    <n v="0"/>
  </r>
  <r>
    <s v="RM453"/>
    <n v="45"/>
    <x v="2"/>
    <s v="No"/>
    <n v="0"/>
    <s v="Travel_Rarely"/>
    <n v="561"/>
    <x v="1"/>
    <x v="7"/>
    <x v="0"/>
    <x v="4"/>
    <n v="1"/>
    <n v="606"/>
    <x v="1"/>
    <x v="0"/>
    <n v="61"/>
    <n v="3"/>
    <x v="1"/>
    <x v="5"/>
    <x v="1"/>
    <x v="2"/>
    <n v="4805"/>
    <x v="0"/>
    <n v="16177"/>
    <n v="0"/>
    <s v="Y"/>
    <x v="0"/>
    <n v="19"/>
    <n v="3"/>
    <n v="2"/>
    <n v="80"/>
    <n v="1"/>
    <n v="9"/>
    <n v="3"/>
    <x v="1"/>
    <x v="8"/>
    <x v="6"/>
    <n v="3"/>
  </r>
  <r>
    <s v="RM505"/>
    <n v="45"/>
    <x v="2"/>
    <s v="Yes"/>
    <n v="1"/>
    <s v="Travel_Frequently"/>
    <n v="306"/>
    <x v="1"/>
    <x v="20"/>
    <x v="3"/>
    <x v="0"/>
    <n v="1"/>
    <n v="684"/>
    <x v="3"/>
    <x v="1"/>
    <n v="100"/>
    <n v="3"/>
    <x v="1"/>
    <x v="5"/>
    <x v="3"/>
    <x v="2"/>
    <n v="4286"/>
    <x v="0"/>
    <n v="5630"/>
    <n v="2"/>
    <s v="Y"/>
    <x v="0"/>
    <n v="14"/>
    <n v="3"/>
    <n v="4"/>
    <n v="80"/>
    <n v="2"/>
    <n v="5"/>
    <n v="4"/>
    <x v="0"/>
    <x v="1"/>
    <x v="1"/>
    <n v="0"/>
  </r>
  <r>
    <s v="RM565"/>
    <n v="45"/>
    <x v="2"/>
    <s v="No"/>
    <n v="0"/>
    <s v="Travel_Rarely"/>
    <n v="954"/>
    <x v="1"/>
    <x v="7"/>
    <x v="1"/>
    <x v="3"/>
    <n v="1"/>
    <n v="783"/>
    <x v="2"/>
    <x v="0"/>
    <n v="46"/>
    <n v="1"/>
    <x v="1"/>
    <x v="1"/>
    <x v="0"/>
    <x v="0"/>
    <n v="6632"/>
    <x v="1"/>
    <n v="12388"/>
    <n v="0"/>
    <s v="Y"/>
    <x v="0"/>
    <n v="13"/>
    <n v="3"/>
    <n v="1"/>
    <n v="80"/>
    <n v="0"/>
    <n v="9"/>
    <n v="3"/>
    <x v="0"/>
    <x v="8"/>
    <x v="6"/>
    <n v="3"/>
  </r>
  <r>
    <s v="RM604"/>
    <n v="45"/>
    <x v="2"/>
    <s v="No"/>
    <n v="0"/>
    <s v="Travel_Rarely"/>
    <n v="252"/>
    <x v="0"/>
    <x v="7"/>
    <x v="0"/>
    <x v="0"/>
    <n v="1"/>
    <n v="834"/>
    <x v="2"/>
    <x v="1"/>
    <n v="95"/>
    <n v="2"/>
    <x v="0"/>
    <x v="2"/>
    <x v="0"/>
    <x v="0"/>
    <n v="2274"/>
    <x v="0"/>
    <n v="6153"/>
    <n v="1"/>
    <s v="Y"/>
    <x v="0"/>
    <n v="14"/>
    <n v="3"/>
    <n v="4"/>
    <n v="80"/>
    <n v="0"/>
    <n v="1"/>
    <n v="3"/>
    <x v="0"/>
    <x v="1"/>
    <x v="0"/>
    <n v="0"/>
  </r>
  <r>
    <s v="RM626"/>
    <n v="45"/>
    <x v="2"/>
    <s v="No"/>
    <n v="0"/>
    <s v="Travel_Rarely"/>
    <n v="930"/>
    <x v="1"/>
    <x v="9"/>
    <x v="0"/>
    <x v="2"/>
    <n v="1"/>
    <n v="864"/>
    <x v="1"/>
    <x v="0"/>
    <n v="74"/>
    <n v="3"/>
    <x v="2"/>
    <x v="5"/>
    <x v="3"/>
    <x v="1"/>
    <n v="10761"/>
    <x v="2"/>
    <n v="19239"/>
    <n v="4"/>
    <s v="Y"/>
    <x v="1"/>
    <n v="12"/>
    <n v="3"/>
    <n v="3"/>
    <n v="80"/>
    <n v="1"/>
    <n v="18"/>
    <n v="2"/>
    <x v="0"/>
    <x v="5"/>
    <x v="4"/>
    <n v="0"/>
  </r>
  <r>
    <s v="RM697"/>
    <n v="45"/>
    <x v="2"/>
    <s v="No"/>
    <n v="0"/>
    <s v="Non-Travel"/>
    <n v="805"/>
    <x v="0"/>
    <x v="12"/>
    <x v="1"/>
    <x v="0"/>
    <n v="1"/>
    <n v="972"/>
    <x v="0"/>
    <x v="0"/>
    <n v="57"/>
    <n v="3"/>
    <x v="1"/>
    <x v="0"/>
    <x v="1"/>
    <x v="2"/>
    <n v="4447"/>
    <x v="0"/>
    <n v="23163"/>
    <n v="1"/>
    <s v="Y"/>
    <x v="0"/>
    <n v="12"/>
    <n v="3"/>
    <n v="2"/>
    <n v="80"/>
    <n v="0"/>
    <n v="9"/>
    <n v="5"/>
    <x v="3"/>
    <x v="9"/>
    <x v="6"/>
    <n v="0"/>
  </r>
  <r>
    <s v="RM714"/>
    <n v="45"/>
    <x v="2"/>
    <s v="No"/>
    <n v="0"/>
    <s v="Travel_Rarely"/>
    <n v="974"/>
    <x v="0"/>
    <x v="4"/>
    <x v="3"/>
    <x v="1"/>
    <n v="1"/>
    <n v="996"/>
    <x v="1"/>
    <x v="1"/>
    <n v="91"/>
    <n v="3"/>
    <x v="0"/>
    <x v="0"/>
    <x v="2"/>
    <x v="1"/>
    <n v="2270"/>
    <x v="0"/>
    <n v="11005"/>
    <n v="3"/>
    <s v="Y"/>
    <x v="0"/>
    <n v="14"/>
    <n v="3"/>
    <n v="4"/>
    <n v="80"/>
    <n v="2"/>
    <n v="8"/>
    <n v="2"/>
    <x v="0"/>
    <x v="5"/>
    <x v="3"/>
    <n v="0"/>
  </r>
  <r>
    <s v="RM719"/>
    <n v="45"/>
    <x v="2"/>
    <s v="No"/>
    <n v="0"/>
    <s v="Non-Travel"/>
    <n v="248"/>
    <x v="0"/>
    <x v="23"/>
    <x v="1"/>
    <x v="0"/>
    <n v="1"/>
    <n v="1002"/>
    <x v="1"/>
    <x v="0"/>
    <n v="42"/>
    <n v="3"/>
    <x v="1"/>
    <x v="0"/>
    <x v="3"/>
    <x v="2"/>
    <n v="3633"/>
    <x v="0"/>
    <n v="14039"/>
    <n v="1"/>
    <s v="Y"/>
    <x v="1"/>
    <n v="15"/>
    <n v="3"/>
    <n v="3"/>
    <n v="80"/>
    <n v="1"/>
    <n v="9"/>
    <n v="2"/>
    <x v="0"/>
    <x v="9"/>
    <x v="7"/>
    <n v="0"/>
  </r>
  <r>
    <s v="RM756"/>
    <n v="45"/>
    <x v="2"/>
    <s v="No"/>
    <n v="0"/>
    <s v="Travel_Rarely"/>
    <n v="1234"/>
    <x v="1"/>
    <x v="13"/>
    <x v="1"/>
    <x v="0"/>
    <n v="1"/>
    <n v="1045"/>
    <x v="1"/>
    <x v="1"/>
    <n v="90"/>
    <n v="3"/>
    <x v="3"/>
    <x v="8"/>
    <x v="2"/>
    <x v="2"/>
    <n v="17650"/>
    <x v="3"/>
    <n v="5404"/>
    <n v="3"/>
    <s v="Y"/>
    <x v="0"/>
    <n v="13"/>
    <n v="3"/>
    <n v="2"/>
    <n v="80"/>
    <n v="1"/>
    <n v="26"/>
    <n v="4"/>
    <x v="1"/>
    <x v="9"/>
    <x v="3"/>
    <n v="1"/>
  </r>
  <r>
    <s v="RM760"/>
    <n v="45"/>
    <x v="2"/>
    <s v="No"/>
    <n v="0"/>
    <s v="Travel_Rarely"/>
    <n v="788"/>
    <x v="2"/>
    <x v="22"/>
    <x v="3"/>
    <x v="1"/>
    <n v="1"/>
    <n v="1049"/>
    <x v="2"/>
    <x v="0"/>
    <n v="36"/>
    <n v="3"/>
    <x v="0"/>
    <x v="3"/>
    <x v="1"/>
    <x v="0"/>
    <n v="2177"/>
    <x v="0"/>
    <n v="8318"/>
    <n v="1"/>
    <s v="Y"/>
    <x v="0"/>
    <n v="16"/>
    <n v="3"/>
    <n v="1"/>
    <n v="80"/>
    <n v="0"/>
    <n v="6"/>
    <n v="3"/>
    <x v="0"/>
    <x v="6"/>
    <x v="3"/>
    <n v="0"/>
  </r>
  <r>
    <s v="RM806"/>
    <n v="45"/>
    <x v="2"/>
    <s v="No"/>
    <n v="0"/>
    <s v="Non-Travel"/>
    <n v="1050"/>
    <x v="1"/>
    <x v="9"/>
    <x v="3"/>
    <x v="0"/>
    <n v="1"/>
    <n v="1117"/>
    <x v="2"/>
    <x v="1"/>
    <n v="65"/>
    <n v="2"/>
    <x v="1"/>
    <x v="5"/>
    <x v="0"/>
    <x v="2"/>
    <n v="5593"/>
    <x v="1"/>
    <n v="17970"/>
    <n v="1"/>
    <s v="Y"/>
    <x v="0"/>
    <n v="13"/>
    <n v="3"/>
    <n v="4"/>
    <n v="80"/>
    <n v="1"/>
    <n v="15"/>
    <n v="2"/>
    <x v="0"/>
    <x v="15"/>
    <x v="10"/>
    <n v="4"/>
  </r>
  <r>
    <s v="RM855"/>
    <n v="45"/>
    <x v="2"/>
    <s v="No"/>
    <n v="0"/>
    <s v="Travel_Rarely"/>
    <n v="1457"/>
    <x v="0"/>
    <x v="17"/>
    <x v="0"/>
    <x v="1"/>
    <n v="1"/>
    <n v="1195"/>
    <x v="3"/>
    <x v="1"/>
    <n v="83"/>
    <n v="3"/>
    <x v="0"/>
    <x v="2"/>
    <x v="0"/>
    <x v="2"/>
    <n v="4477"/>
    <x v="0"/>
    <n v="20100"/>
    <n v="4"/>
    <s v="Y"/>
    <x v="1"/>
    <n v="19"/>
    <n v="3"/>
    <n v="3"/>
    <n v="80"/>
    <n v="1"/>
    <n v="7"/>
    <n v="2"/>
    <x v="3"/>
    <x v="3"/>
    <x v="2"/>
    <n v="0"/>
  </r>
  <r>
    <s v="RM914"/>
    <n v="45"/>
    <x v="2"/>
    <s v="Yes"/>
    <n v="1"/>
    <s v="Travel_Rarely"/>
    <n v="1449"/>
    <x v="1"/>
    <x v="7"/>
    <x v="0"/>
    <x v="2"/>
    <n v="1"/>
    <n v="1277"/>
    <x v="3"/>
    <x v="1"/>
    <n v="94"/>
    <n v="1"/>
    <x v="4"/>
    <x v="8"/>
    <x v="1"/>
    <x v="0"/>
    <n v="18824"/>
    <x v="3"/>
    <n v="2493"/>
    <n v="2"/>
    <s v="Y"/>
    <x v="1"/>
    <n v="16"/>
    <n v="3"/>
    <n v="1"/>
    <n v="80"/>
    <n v="0"/>
    <n v="26"/>
    <n v="2"/>
    <x v="0"/>
    <x v="23"/>
    <x v="10"/>
    <n v="1"/>
  </r>
  <r>
    <s v="RM937"/>
    <n v="45"/>
    <x v="2"/>
    <s v="No"/>
    <n v="0"/>
    <s v="Travel_Frequently"/>
    <n v="364"/>
    <x v="0"/>
    <x v="10"/>
    <x v="0"/>
    <x v="1"/>
    <n v="1"/>
    <n v="1306"/>
    <x v="2"/>
    <x v="1"/>
    <n v="83"/>
    <n v="3"/>
    <x v="4"/>
    <x v="8"/>
    <x v="1"/>
    <x v="0"/>
    <n v="18061"/>
    <x v="3"/>
    <n v="13035"/>
    <n v="3"/>
    <s v="Y"/>
    <x v="0"/>
    <n v="22"/>
    <n v="4"/>
    <n v="3"/>
    <n v="80"/>
    <n v="0"/>
    <n v="22"/>
    <n v="4"/>
    <x v="0"/>
    <x v="0"/>
    <x v="0"/>
    <n v="0"/>
  </r>
  <r>
    <s v="RM1035"/>
    <n v="45"/>
    <x v="2"/>
    <s v="No"/>
    <n v="0"/>
    <s v="Travel_Rarely"/>
    <n v="1038"/>
    <x v="0"/>
    <x v="21"/>
    <x v="0"/>
    <x v="1"/>
    <n v="1"/>
    <n v="1460"/>
    <x v="2"/>
    <x v="0"/>
    <n v="95"/>
    <n v="1"/>
    <x v="2"/>
    <x v="6"/>
    <x v="3"/>
    <x v="1"/>
    <n v="10851"/>
    <x v="2"/>
    <n v="19863"/>
    <n v="2"/>
    <s v="Y"/>
    <x v="1"/>
    <n v="18"/>
    <n v="3"/>
    <n v="2"/>
    <n v="80"/>
    <n v="1"/>
    <n v="24"/>
    <n v="2"/>
    <x v="0"/>
    <x v="7"/>
    <x v="6"/>
    <n v="0"/>
  </r>
  <r>
    <s v="RM1038"/>
    <n v="45"/>
    <x v="2"/>
    <s v="No"/>
    <n v="0"/>
    <s v="Travel_Rarely"/>
    <n v="1448"/>
    <x v="0"/>
    <x v="26"/>
    <x v="0"/>
    <x v="3"/>
    <n v="1"/>
    <n v="1465"/>
    <x v="2"/>
    <x v="0"/>
    <n v="55"/>
    <n v="3"/>
    <x v="2"/>
    <x v="4"/>
    <x v="2"/>
    <x v="2"/>
    <n v="9380"/>
    <x v="1"/>
    <n v="14720"/>
    <n v="4"/>
    <s v="Y"/>
    <x v="1"/>
    <n v="18"/>
    <n v="3"/>
    <n v="4"/>
    <n v="80"/>
    <n v="2"/>
    <n v="10"/>
    <n v="4"/>
    <x v="1"/>
    <x v="3"/>
    <x v="1"/>
    <n v="1"/>
  </r>
  <r>
    <s v="RM1093"/>
    <n v="45"/>
    <x v="2"/>
    <s v="No"/>
    <n v="0"/>
    <s v="Travel_Rarely"/>
    <n v="950"/>
    <x v="0"/>
    <x v="27"/>
    <x v="0"/>
    <x v="3"/>
    <n v="1"/>
    <n v="1546"/>
    <x v="1"/>
    <x v="0"/>
    <n v="97"/>
    <n v="3"/>
    <x v="0"/>
    <x v="2"/>
    <x v="2"/>
    <x v="2"/>
    <n v="2132"/>
    <x v="0"/>
    <n v="4585"/>
    <n v="4"/>
    <s v="Y"/>
    <x v="0"/>
    <n v="20"/>
    <n v="4"/>
    <n v="4"/>
    <n v="80"/>
    <n v="1"/>
    <n v="8"/>
    <n v="3"/>
    <x v="0"/>
    <x v="5"/>
    <x v="4"/>
    <n v="0"/>
  </r>
  <r>
    <s v="RM1100"/>
    <n v="45"/>
    <x v="2"/>
    <s v="No"/>
    <n v="0"/>
    <s v="Travel_Rarely"/>
    <n v="538"/>
    <x v="0"/>
    <x v="4"/>
    <x v="3"/>
    <x v="3"/>
    <n v="1"/>
    <n v="1553"/>
    <x v="3"/>
    <x v="0"/>
    <n v="66"/>
    <n v="3"/>
    <x v="2"/>
    <x v="6"/>
    <x v="1"/>
    <x v="1"/>
    <n v="7441"/>
    <x v="1"/>
    <n v="20933"/>
    <n v="1"/>
    <s v="Y"/>
    <x v="0"/>
    <n v="12"/>
    <n v="3"/>
    <n v="1"/>
    <n v="80"/>
    <n v="3"/>
    <n v="10"/>
    <n v="4"/>
    <x v="0"/>
    <x v="10"/>
    <x v="7"/>
    <n v="7"/>
  </r>
  <r>
    <s v="RM1143"/>
    <n v="45"/>
    <x v="2"/>
    <s v="No"/>
    <n v="0"/>
    <s v="Travel_Rarely"/>
    <n v="1015"/>
    <x v="0"/>
    <x v="2"/>
    <x v="4"/>
    <x v="1"/>
    <n v="1"/>
    <n v="1611"/>
    <x v="0"/>
    <x v="1"/>
    <n v="50"/>
    <n v="1"/>
    <x v="1"/>
    <x v="0"/>
    <x v="3"/>
    <x v="0"/>
    <n v="5769"/>
    <x v="1"/>
    <n v="23447"/>
    <n v="1"/>
    <s v="Y"/>
    <x v="1"/>
    <n v="14"/>
    <n v="3"/>
    <n v="1"/>
    <n v="80"/>
    <n v="0"/>
    <n v="10"/>
    <n v="3"/>
    <x v="0"/>
    <x v="10"/>
    <x v="6"/>
    <n v="1"/>
  </r>
  <r>
    <s v="RM1144"/>
    <n v="45"/>
    <x v="2"/>
    <s v="No"/>
    <n v="0"/>
    <s v="Non-Travel"/>
    <n v="336"/>
    <x v="1"/>
    <x v="20"/>
    <x v="0"/>
    <x v="2"/>
    <n v="1"/>
    <n v="1612"/>
    <x v="3"/>
    <x v="0"/>
    <n v="52"/>
    <n v="2"/>
    <x v="1"/>
    <x v="5"/>
    <x v="3"/>
    <x v="2"/>
    <n v="4385"/>
    <x v="0"/>
    <n v="24162"/>
    <n v="1"/>
    <s v="Y"/>
    <x v="0"/>
    <n v="15"/>
    <n v="3"/>
    <n v="1"/>
    <n v="80"/>
    <n v="1"/>
    <n v="10"/>
    <n v="2"/>
    <x v="0"/>
    <x v="10"/>
    <x v="6"/>
    <n v="4"/>
  </r>
  <r>
    <s v="RM1161"/>
    <n v="45"/>
    <x v="2"/>
    <s v="No"/>
    <n v="0"/>
    <s v="Travel_Rarely"/>
    <n v="1329"/>
    <x v="0"/>
    <x v="7"/>
    <x v="1"/>
    <x v="4"/>
    <n v="1"/>
    <n v="1635"/>
    <x v="1"/>
    <x v="1"/>
    <n v="59"/>
    <n v="2"/>
    <x v="1"/>
    <x v="4"/>
    <x v="2"/>
    <x v="1"/>
    <n v="5770"/>
    <x v="1"/>
    <n v="5388"/>
    <n v="1"/>
    <s v="Y"/>
    <x v="0"/>
    <n v="19"/>
    <n v="3"/>
    <n v="1"/>
    <n v="80"/>
    <n v="2"/>
    <n v="10"/>
    <n v="3"/>
    <x v="0"/>
    <x v="10"/>
    <x v="6"/>
    <n v="3"/>
  </r>
  <r>
    <s v="RM1222"/>
    <n v="45"/>
    <x v="2"/>
    <s v="No"/>
    <n v="0"/>
    <s v="Non-Travel"/>
    <n v="1238"/>
    <x v="0"/>
    <x v="4"/>
    <x v="2"/>
    <x v="0"/>
    <n v="1"/>
    <n v="1712"/>
    <x v="0"/>
    <x v="0"/>
    <n v="74"/>
    <n v="2"/>
    <x v="2"/>
    <x v="6"/>
    <x v="0"/>
    <x v="2"/>
    <n v="10748"/>
    <x v="2"/>
    <n v="3395"/>
    <n v="3"/>
    <s v="Y"/>
    <x v="0"/>
    <n v="23"/>
    <n v="4"/>
    <n v="4"/>
    <n v="80"/>
    <n v="1"/>
    <n v="25"/>
    <n v="3"/>
    <x v="3"/>
    <x v="25"/>
    <x v="15"/>
    <n v="14"/>
  </r>
  <r>
    <s v="RM1226"/>
    <n v="45"/>
    <x v="2"/>
    <s v="No"/>
    <n v="0"/>
    <s v="Travel_Rarely"/>
    <n v="1005"/>
    <x v="0"/>
    <x v="27"/>
    <x v="1"/>
    <x v="3"/>
    <n v="1"/>
    <n v="1719"/>
    <x v="1"/>
    <x v="1"/>
    <n v="48"/>
    <n v="2"/>
    <x v="3"/>
    <x v="7"/>
    <x v="1"/>
    <x v="0"/>
    <n v="16704"/>
    <x v="3"/>
    <n v="17119"/>
    <n v="1"/>
    <s v="Y"/>
    <x v="0"/>
    <n v="11"/>
    <n v="3"/>
    <n v="3"/>
    <n v="80"/>
    <n v="0"/>
    <n v="21"/>
    <n v="2"/>
    <x v="0"/>
    <x v="21"/>
    <x v="8"/>
    <n v="8"/>
  </r>
  <r>
    <s v="RM1244"/>
    <n v="45"/>
    <x v="2"/>
    <s v="No"/>
    <n v="0"/>
    <s v="Travel_Rarely"/>
    <n v="176"/>
    <x v="2"/>
    <x v="12"/>
    <x v="0"/>
    <x v="0"/>
    <n v="1"/>
    <n v="1744"/>
    <x v="0"/>
    <x v="1"/>
    <n v="56"/>
    <n v="1"/>
    <x v="2"/>
    <x v="3"/>
    <x v="0"/>
    <x v="2"/>
    <n v="9756"/>
    <x v="1"/>
    <n v="6595"/>
    <n v="4"/>
    <s v="Y"/>
    <x v="0"/>
    <n v="21"/>
    <n v="4"/>
    <n v="3"/>
    <n v="80"/>
    <n v="2"/>
    <n v="9"/>
    <n v="2"/>
    <x v="1"/>
    <x v="5"/>
    <x v="0"/>
    <n v="0"/>
  </r>
  <r>
    <s v="RM1315"/>
    <n v="45"/>
    <x v="2"/>
    <s v="No"/>
    <n v="0"/>
    <s v="Non-Travel"/>
    <n v="589"/>
    <x v="1"/>
    <x v="7"/>
    <x v="3"/>
    <x v="0"/>
    <n v="1"/>
    <n v="1845"/>
    <x v="0"/>
    <x v="1"/>
    <n v="67"/>
    <n v="3"/>
    <x v="1"/>
    <x v="5"/>
    <x v="0"/>
    <x v="2"/>
    <n v="5154"/>
    <x v="1"/>
    <n v="19665"/>
    <n v="4"/>
    <s v="Y"/>
    <x v="0"/>
    <n v="22"/>
    <n v="4"/>
    <n v="2"/>
    <n v="80"/>
    <n v="2"/>
    <n v="10"/>
    <n v="3"/>
    <x v="1"/>
    <x v="8"/>
    <x v="6"/>
    <n v="5"/>
  </r>
  <r>
    <s v="RM1347"/>
    <n v="45"/>
    <x v="2"/>
    <s v="No"/>
    <n v="0"/>
    <s v="Travel_Rarely"/>
    <n v="556"/>
    <x v="0"/>
    <x v="10"/>
    <x v="1"/>
    <x v="0"/>
    <n v="1"/>
    <n v="1888"/>
    <x v="2"/>
    <x v="1"/>
    <n v="93"/>
    <n v="2"/>
    <x v="1"/>
    <x v="4"/>
    <x v="2"/>
    <x v="2"/>
    <n v="5906"/>
    <x v="1"/>
    <n v="23888"/>
    <n v="0"/>
    <s v="Y"/>
    <x v="0"/>
    <n v="13"/>
    <n v="3"/>
    <n v="4"/>
    <n v="80"/>
    <n v="2"/>
    <n v="10"/>
    <n v="2"/>
    <x v="3"/>
    <x v="9"/>
    <x v="7"/>
    <n v="3"/>
  </r>
  <r>
    <s v="RM1363"/>
    <n v="45"/>
    <x v="2"/>
    <s v="No"/>
    <n v="0"/>
    <s v="Travel_Frequently"/>
    <n v="1297"/>
    <x v="0"/>
    <x v="4"/>
    <x v="3"/>
    <x v="1"/>
    <n v="1"/>
    <n v="1922"/>
    <x v="2"/>
    <x v="0"/>
    <n v="44"/>
    <n v="3"/>
    <x v="1"/>
    <x v="6"/>
    <x v="0"/>
    <x v="0"/>
    <n v="5399"/>
    <x v="1"/>
    <n v="14511"/>
    <n v="4"/>
    <s v="Y"/>
    <x v="0"/>
    <n v="12"/>
    <n v="3"/>
    <n v="3"/>
    <n v="80"/>
    <n v="0"/>
    <n v="12"/>
    <n v="3"/>
    <x v="0"/>
    <x v="4"/>
    <x v="2"/>
    <n v="0"/>
  </r>
  <r>
    <s v="RM1455"/>
    <n v="45"/>
    <x v="2"/>
    <s v="No"/>
    <n v="0"/>
    <s v="Travel_Rarely"/>
    <n v="374"/>
    <x v="1"/>
    <x v="21"/>
    <x v="0"/>
    <x v="0"/>
    <n v="1"/>
    <n v="2046"/>
    <x v="1"/>
    <x v="1"/>
    <n v="50"/>
    <n v="3"/>
    <x v="1"/>
    <x v="5"/>
    <x v="0"/>
    <x v="0"/>
    <n v="4850"/>
    <x v="0"/>
    <n v="23333"/>
    <n v="8"/>
    <s v="Y"/>
    <x v="0"/>
    <n v="15"/>
    <n v="3"/>
    <n v="3"/>
    <n v="80"/>
    <n v="0"/>
    <n v="8"/>
    <n v="3"/>
    <x v="0"/>
    <x v="5"/>
    <x v="3"/>
    <n v="0"/>
  </r>
  <r>
    <s v="RM030"/>
    <n v="46"/>
    <x v="3"/>
    <s v="No"/>
    <n v="0"/>
    <s v="Travel_Rarely"/>
    <n v="705"/>
    <x v="1"/>
    <x v="7"/>
    <x v="3"/>
    <x v="2"/>
    <n v="1"/>
    <n v="38"/>
    <x v="2"/>
    <x v="1"/>
    <n v="83"/>
    <n v="3"/>
    <x v="4"/>
    <x v="8"/>
    <x v="3"/>
    <x v="0"/>
    <n v="18947"/>
    <x v="3"/>
    <n v="22822"/>
    <n v="3"/>
    <s v="Y"/>
    <x v="0"/>
    <n v="12"/>
    <n v="3"/>
    <n v="4"/>
    <n v="80"/>
    <n v="0"/>
    <n v="22"/>
    <n v="2"/>
    <x v="3"/>
    <x v="2"/>
    <x v="2"/>
    <n v="2"/>
  </r>
  <r>
    <s v="RM049"/>
    <n v="46"/>
    <x v="3"/>
    <s v="No"/>
    <n v="0"/>
    <s v="Travel_Frequently"/>
    <n v="1211"/>
    <x v="1"/>
    <x v="2"/>
    <x v="3"/>
    <x v="2"/>
    <n v="1"/>
    <n v="62"/>
    <x v="3"/>
    <x v="0"/>
    <n v="98"/>
    <n v="3"/>
    <x v="1"/>
    <x v="5"/>
    <x v="2"/>
    <x v="0"/>
    <n v="5772"/>
    <x v="1"/>
    <n v="20445"/>
    <n v="4"/>
    <s v="Y"/>
    <x v="1"/>
    <n v="21"/>
    <n v="4"/>
    <n v="3"/>
    <n v="80"/>
    <n v="0"/>
    <n v="14"/>
    <n v="4"/>
    <x v="0"/>
    <x v="9"/>
    <x v="8"/>
    <n v="0"/>
  </r>
  <r>
    <s v="RM080"/>
    <n v="46"/>
    <x v="3"/>
    <s v="No"/>
    <n v="0"/>
    <s v="Travel_Rarely"/>
    <n v="945"/>
    <x v="2"/>
    <x v="2"/>
    <x v="1"/>
    <x v="1"/>
    <n v="1"/>
    <n v="103"/>
    <x v="2"/>
    <x v="0"/>
    <n v="80"/>
    <n v="3"/>
    <x v="1"/>
    <x v="3"/>
    <x v="1"/>
    <x v="1"/>
    <n v="5021"/>
    <x v="1"/>
    <n v="10425"/>
    <n v="8"/>
    <s v="Y"/>
    <x v="1"/>
    <n v="22"/>
    <n v="4"/>
    <n v="4"/>
    <n v="80"/>
    <n v="1"/>
    <n v="16"/>
    <n v="2"/>
    <x v="0"/>
    <x v="4"/>
    <x v="2"/>
    <n v="0"/>
  </r>
  <r>
    <s v="RM090"/>
    <n v="46"/>
    <x v="3"/>
    <s v="Yes"/>
    <n v="1"/>
    <s v="Travel_Rarely"/>
    <n v="669"/>
    <x v="1"/>
    <x v="9"/>
    <x v="1"/>
    <x v="1"/>
    <n v="1"/>
    <n v="118"/>
    <x v="0"/>
    <x v="0"/>
    <n v="64"/>
    <n v="2"/>
    <x v="2"/>
    <x v="5"/>
    <x v="2"/>
    <x v="0"/>
    <n v="9619"/>
    <x v="1"/>
    <n v="13596"/>
    <n v="1"/>
    <s v="Y"/>
    <x v="0"/>
    <n v="16"/>
    <n v="3"/>
    <n v="4"/>
    <n v="80"/>
    <n v="0"/>
    <n v="9"/>
    <n v="3"/>
    <x v="0"/>
    <x v="9"/>
    <x v="7"/>
    <n v="4"/>
  </r>
  <r>
    <s v="RM094"/>
    <n v="46"/>
    <x v="3"/>
    <s v="No"/>
    <n v="0"/>
    <s v="Travel_Frequently"/>
    <n v="638"/>
    <x v="0"/>
    <x v="4"/>
    <x v="0"/>
    <x v="1"/>
    <n v="1"/>
    <n v="124"/>
    <x v="0"/>
    <x v="0"/>
    <n v="40"/>
    <n v="2"/>
    <x v="2"/>
    <x v="6"/>
    <x v="3"/>
    <x v="2"/>
    <n v="10673"/>
    <x v="2"/>
    <n v="3142"/>
    <n v="2"/>
    <s v="Y"/>
    <x v="1"/>
    <n v="13"/>
    <n v="3"/>
    <n v="3"/>
    <n v="80"/>
    <n v="1"/>
    <n v="21"/>
    <n v="5"/>
    <x v="3"/>
    <x v="10"/>
    <x v="9"/>
    <n v="9"/>
  </r>
  <r>
    <s v="RM179"/>
    <n v="46"/>
    <x v="3"/>
    <s v="No"/>
    <n v="0"/>
    <s v="Travel_Rarely"/>
    <n v="526"/>
    <x v="1"/>
    <x v="4"/>
    <x v="1"/>
    <x v="2"/>
    <n v="1"/>
    <n v="244"/>
    <x v="2"/>
    <x v="1"/>
    <n v="92"/>
    <n v="3"/>
    <x v="2"/>
    <x v="5"/>
    <x v="3"/>
    <x v="1"/>
    <n v="10453"/>
    <x v="2"/>
    <n v="2137"/>
    <n v="1"/>
    <s v="Y"/>
    <x v="0"/>
    <n v="25"/>
    <n v="4"/>
    <n v="3"/>
    <n v="80"/>
    <n v="3"/>
    <n v="24"/>
    <n v="2"/>
    <x v="0"/>
    <x v="23"/>
    <x v="12"/>
    <n v="15"/>
  </r>
  <r>
    <s v="RM210"/>
    <n v="46"/>
    <x v="3"/>
    <s v="No"/>
    <n v="0"/>
    <s v="Travel_Rarely"/>
    <n v="644"/>
    <x v="0"/>
    <x v="4"/>
    <x v="3"/>
    <x v="1"/>
    <n v="1"/>
    <n v="288"/>
    <x v="1"/>
    <x v="0"/>
    <n v="97"/>
    <n v="3"/>
    <x v="2"/>
    <x v="6"/>
    <x v="3"/>
    <x v="1"/>
    <n v="9396"/>
    <x v="1"/>
    <n v="12368"/>
    <n v="7"/>
    <s v="Y"/>
    <x v="0"/>
    <n v="16"/>
    <n v="3"/>
    <n v="3"/>
    <n v="80"/>
    <n v="1"/>
    <n v="17"/>
    <n v="3"/>
    <x v="0"/>
    <x v="4"/>
    <x v="2"/>
    <n v="0"/>
  </r>
  <r>
    <s v="RM264"/>
    <n v="46"/>
    <x v="3"/>
    <s v="No"/>
    <n v="0"/>
    <s v="Travel_Rarely"/>
    <n v="488"/>
    <x v="1"/>
    <x v="7"/>
    <x v="0"/>
    <x v="3"/>
    <n v="1"/>
    <n v="363"/>
    <x v="0"/>
    <x v="1"/>
    <n v="75"/>
    <n v="1"/>
    <x v="3"/>
    <x v="8"/>
    <x v="1"/>
    <x v="2"/>
    <n v="16872"/>
    <x v="3"/>
    <n v="14977"/>
    <n v="3"/>
    <s v="Y"/>
    <x v="1"/>
    <n v="12"/>
    <n v="3"/>
    <n v="2"/>
    <n v="80"/>
    <n v="1"/>
    <n v="28"/>
    <n v="2"/>
    <x v="3"/>
    <x v="7"/>
    <x v="6"/>
    <n v="7"/>
  </r>
  <r>
    <s v="RM366"/>
    <n v="46"/>
    <x v="3"/>
    <s v="No"/>
    <n v="0"/>
    <s v="Non-Travel"/>
    <n v="1144"/>
    <x v="0"/>
    <x v="17"/>
    <x v="3"/>
    <x v="1"/>
    <n v="1"/>
    <n v="487"/>
    <x v="0"/>
    <x v="1"/>
    <n v="30"/>
    <n v="3"/>
    <x v="1"/>
    <x v="4"/>
    <x v="0"/>
    <x v="2"/>
    <n v="5258"/>
    <x v="1"/>
    <n v="16044"/>
    <n v="2"/>
    <s v="Y"/>
    <x v="0"/>
    <n v="14"/>
    <n v="3"/>
    <n v="3"/>
    <n v="80"/>
    <n v="0"/>
    <n v="7"/>
    <n v="2"/>
    <x v="1"/>
    <x v="1"/>
    <x v="0"/>
    <n v="0"/>
  </r>
  <r>
    <s v="RM413"/>
    <n v="46"/>
    <x v="3"/>
    <s v="No"/>
    <n v="0"/>
    <s v="Travel_Rarely"/>
    <n v="1485"/>
    <x v="0"/>
    <x v="16"/>
    <x v="0"/>
    <x v="1"/>
    <n v="1"/>
    <n v="550"/>
    <x v="0"/>
    <x v="1"/>
    <n v="87"/>
    <n v="3"/>
    <x v="1"/>
    <x v="4"/>
    <x v="0"/>
    <x v="1"/>
    <n v="4810"/>
    <x v="0"/>
    <n v="26314"/>
    <n v="2"/>
    <s v="Y"/>
    <x v="0"/>
    <n v="14"/>
    <n v="3"/>
    <n v="3"/>
    <n v="80"/>
    <n v="1"/>
    <n v="19"/>
    <n v="5"/>
    <x v="3"/>
    <x v="10"/>
    <x v="6"/>
    <n v="0"/>
  </r>
  <r>
    <s v="RM430"/>
    <n v="46"/>
    <x v="3"/>
    <s v="No"/>
    <n v="0"/>
    <s v="Travel_Rarely"/>
    <n v="1009"/>
    <x v="0"/>
    <x v="7"/>
    <x v="0"/>
    <x v="0"/>
    <n v="1"/>
    <n v="575"/>
    <x v="3"/>
    <x v="0"/>
    <n v="51"/>
    <n v="3"/>
    <x v="3"/>
    <x v="7"/>
    <x v="0"/>
    <x v="2"/>
    <n v="17861"/>
    <x v="3"/>
    <n v="2288"/>
    <n v="6"/>
    <s v="Y"/>
    <x v="0"/>
    <n v="13"/>
    <n v="3"/>
    <n v="3"/>
    <n v="80"/>
    <n v="0"/>
    <n v="26"/>
    <n v="2"/>
    <x v="2"/>
    <x v="3"/>
    <x v="2"/>
    <n v="0"/>
  </r>
  <r>
    <s v="RM434"/>
    <n v="46"/>
    <x v="3"/>
    <s v="No"/>
    <n v="0"/>
    <s v="Travel_Rarely"/>
    <n v="1125"/>
    <x v="1"/>
    <x v="1"/>
    <x v="0"/>
    <x v="2"/>
    <n v="1"/>
    <n v="580"/>
    <x v="0"/>
    <x v="1"/>
    <n v="94"/>
    <n v="2"/>
    <x v="2"/>
    <x v="5"/>
    <x v="2"/>
    <x v="2"/>
    <n v="9071"/>
    <x v="1"/>
    <n v="11563"/>
    <n v="2"/>
    <s v="Y"/>
    <x v="1"/>
    <n v="19"/>
    <n v="3"/>
    <n v="3"/>
    <n v="80"/>
    <n v="1"/>
    <n v="15"/>
    <n v="3"/>
    <x v="0"/>
    <x v="3"/>
    <x v="2"/>
    <n v="1"/>
  </r>
  <r>
    <s v="RM466"/>
    <n v="46"/>
    <x v="3"/>
    <s v="No"/>
    <n v="0"/>
    <s v="Travel_Frequently"/>
    <n v="1034"/>
    <x v="0"/>
    <x v="16"/>
    <x v="2"/>
    <x v="1"/>
    <n v="1"/>
    <n v="624"/>
    <x v="3"/>
    <x v="1"/>
    <n v="86"/>
    <n v="3"/>
    <x v="2"/>
    <x v="6"/>
    <x v="0"/>
    <x v="2"/>
    <n v="10527"/>
    <x v="2"/>
    <n v="8984"/>
    <n v="5"/>
    <s v="Y"/>
    <x v="0"/>
    <n v="11"/>
    <n v="3"/>
    <n v="4"/>
    <n v="80"/>
    <n v="0"/>
    <n v="28"/>
    <n v="3"/>
    <x v="3"/>
    <x v="2"/>
    <x v="2"/>
    <n v="1"/>
  </r>
  <r>
    <s v="RM724"/>
    <n v="46"/>
    <x v="3"/>
    <s v="No"/>
    <n v="0"/>
    <s v="Travel_Rarely"/>
    <n v="566"/>
    <x v="0"/>
    <x v="17"/>
    <x v="1"/>
    <x v="1"/>
    <n v="1"/>
    <n v="1007"/>
    <x v="1"/>
    <x v="0"/>
    <n v="75"/>
    <n v="3"/>
    <x v="2"/>
    <x v="4"/>
    <x v="0"/>
    <x v="1"/>
    <n v="10845"/>
    <x v="2"/>
    <n v="24208"/>
    <n v="6"/>
    <s v="Y"/>
    <x v="0"/>
    <n v="13"/>
    <n v="3"/>
    <n v="2"/>
    <n v="80"/>
    <n v="1"/>
    <n v="13"/>
    <n v="3"/>
    <x v="0"/>
    <x v="8"/>
    <x v="6"/>
    <n v="0"/>
  </r>
  <r>
    <s v="RM771"/>
    <n v="46"/>
    <x v="3"/>
    <s v="No"/>
    <n v="0"/>
    <s v="Travel_Rarely"/>
    <n v="430"/>
    <x v="0"/>
    <x v="4"/>
    <x v="3"/>
    <x v="1"/>
    <n v="1"/>
    <n v="1069"/>
    <x v="1"/>
    <x v="0"/>
    <n v="40"/>
    <n v="3"/>
    <x v="4"/>
    <x v="7"/>
    <x v="2"/>
    <x v="1"/>
    <n v="19627"/>
    <x v="3"/>
    <n v="21445"/>
    <n v="9"/>
    <s v="Y"/>
    <x v="0"/>
    <n v="17"/>
    <n v="3"/>
    <n v="4"/>
    <n v="80"/>
    <n v="2"/>
    <n v="23"/>
    <n v="0"/>
    <x v="0"/>
    <x v="2"/>
    <x v="2"/>
    <n v="2"/>
  </r>
  <r>
    <s v="RM779"/>
    <n v="46"/>
    <x v="3"/>
    <s v="No"/>
    <n v="0"/>
    <s v="Travel_Rarely"/>
    <n v="1003"/>
    <x v="0"/>
    <x v="3"/>
    <x v="3"/>
    <x v="0"/>
    <n v="1"/>
    <n v="1080"/>
    <x v="1"/>
    <x v="1"/>
    <n v="74"/>
    <n v="2"/>
    <x v="1"/>
    <x v="2"/>
    <x v="3"/>
    <x v="1"/>
    <n v="4615"/>
    <x v="0"/>
    <n v="21029"/>
    <n v="8"/>
    <s v="Y"/>
    <x v="1"/>
    <n v="23"/>
    <n v="4"/>
    <n v="1"/>
    <n v="80"/>
    <n v="3"/>
    <n v="19"/>
    <n v="2"/>
    <x v="0"/>
    <x v="16"/>
    <x v="12"/>
    <n v="1"/>
  </r>
  <r>
    <s v="RM811"/>
    <n v="46"/>
    <x v="3"/>
    <s v="No"/>
    <n v="0"/>
    <s v="Travel_Rarely"/>
    <n v="406"/>
    <x v="1"/>
    <x v="0"/>
    <x v="2"/>
    <x v="2"/>
    <n v="1"/>
    <n v="1124"/>
    <x v="3"/>
    <x v="0"/>
    <n v="52"/>
    <n v="3"/>
    <x v="3"/>
    <x v="8"/>
    <x v="0"/>
    <x v="2"/>
    <n v="17465"/>
    <x v="3"/>
    <n v="15596"/>
    <n v="3"/>
    <s v="Y"/>
    <x v="0"/>
    <n v="12"/>
    <n v="3"/>
    <n v="4"/>
    <n v="80"/>
    <n v="1"/>
    <n v="23"/>
    <n v="3"/>
    <x v="0"/>
    <x v="12"/>
    <x v="9"/>
    <n v="4"/>
  </r>
  <r>
    <s v="RM862"/>
    <n v="46"/>
    <x v="3"/>
    <s v="No"/>
    <n v="0"/>
    <s v="Travel_Rarely"/>
    <n v="1402"/>
    <x v="1"/>
    <x v="7"/>
    <x v="0"/>
    <x v="2"/>
    <n v="1"/>
    <n v="1204"/>
    <x v="0"/>
    <x v="1"/>
    <n v="69"/>
    <n v="3"/>
    <x v="3"/>
    <x v="8"/>
    <x v="3"/>
    <x v="2"/>
    <n v="17048"/>
    <x v="3"/>
    <n v="24097"/>
    <n v="8"/>
    <s v="Y"/>
    <x v="0"/>
    <n v="23"/>
    <n v="4"/>
    <n v="1"/>
    <n v="80"/>
    <n v="0"/>
    <n v="28"/>
    <n v="2"/>
    <x v="0"/>
    <x v="26"/>
    <x v="15"/>
    <n v="15"/>
  </r>
  <r>
    <s v="RM870"/>
    <n v="46"/>
    <x v="3"/>
    <s v="No"/>
    <n v="0"/>
    <s v="Travel_Rarely"/>
    <n v="1450"/>
    <x v="0"/>
    <x v="14"/>
    <x v="1"/>
    <x v="0"/>
    <n v="1"/>
    <n v="1217"/>
    <x v="1"/>
    <x v="0"/>
    <n v="52"/>
    <n v="3"/>
    <x v="4"/>
    <x v="7"/>
    <x v="1"/>
    <x v="2"/>
    <n v="19081"/>
    <x v="3"/>
    <n v="10849"/>
    <n v="5"/>
    <s v="Y"/>
    <x v="0"/>
    <n v="11"/>
    <n v="3"/>
    <n v="1"/>
    <n v="80"/>
    <n v="1"/>
    <n v="25"/>
    <n v="2"/>
    <x v="0"/>
    <x v="4"/>
    <x v="2"/>
    <n v="0"/>
  </r>
  <r>
    <s v="RM878"/>
    <n v="46"/>
    <x v="3"/>
    <s v="No"/>
    <n v="0"/>
    <s v="Travel_Rarely"/>
    <n v="150"/>
    <x v="0"/>
    <x v="7"/>
    <x v="3"/>
    <x v="3"/>
    <n v="1"/>
    <n v="1228"/>
    <x v="1"/>
    <x v="0"/>
    <n v="60"/>
    <n v="3"/>
    <x v="1"/>
    <x v="4"/>
    <x v="2"/>
    <x v="1"/>
    <n v="7379"/>
    <x v="1"/>
    <n v="17433"/>
    <n v="2"/>
    <s v="Y"/>
    <x v="0"/>
    <n v="11"/>
    <n v="3"/>
    <n v="3"/>
    <n v="80"/>
    <n v="1"/>
    <n v="12"/>
    <n v="3"/>
    <x v="3"/>
    <x v="6"/>
    <x v="3"/>
    <n v="1"/>
  </r>
  <r>
    <s v="RM917"/>
    <n v="46"/>
    <x v="3"/>
    <s v="No"/>
    <n v="0"/>
    <s v="Travel_Rarely"/>
    <n v="168"/>
    <x v="1"/>
    <x v="12"/>
    <x v="1"/>
    <x v="2"/>
    <n v="1"/>
    <n v="1280"/>
    <x v="1"/>
    <x v="1"/>
    <n v="33"/>
    <n v="2"/>
    <x v="4"/>
    <x v="8"/>
    <x v="1"/>
    <x v="2"/>
    <n v="18789"/>
    <x v="3"/>
    <n v="9946"/>
    <n v="2"/>
    <s v="Y"/>
    <x v="0"/>
    <n v="14"/>
    <n v="3"/>
    <n v="3"/>
    <n v="80"/>
    <n v="1"/>
    <n v="26"/>
    <n v="2"/>
    <x v="0"/>
    <x v="11"/>
    <x v="4"/>
    <n v="0"/>
  </r>
  <r>
    <s v="RM944"/>
    <n v="46"/>
    <x v="3"/>
    <s v="No"/>
    <n v="0"/>
    <s v="Travel_Rarely"/>
    <n v="991"/>
    <x v="2"/>
    <x v="4"/>
    <x v="1"/>
    <x v="0"/>
    <n v="1"/>
    <n v="1314"/>
    <x v="1"/>
    <x v="1"/>
    <n v="44"/>
    <n v="3"/>
    <x v="0"/>
    <x v="3"/>
    <x v="3"/>
    <x v="0"/>
    <n v="3423"/>
    <x v="0"/>
    <n v="22957"/>
    <n v="6"/>
    <s v="Y"/>
    <x v="0"/>
    <n v="12"/>
    <n v="3"/>
    <n v="3"/>
    <n v="80"/>
    <n v="0"/>
    <n v="10"/>
    <n v="3"/>
    <x v="1"/>
    <x v="7"/>
    <x v="8"/>
    <n v="5"/>
  </r>
  <r>
    <s v="RM1032"/>
    <n v="46"/>
    <x v="3"/>
    <s v="Yes"/>
    <n v="1"/>
    <s v="Travel_Rarely"/>
    <n v="377"/>
    <x v="1"/>
    <x v="9"/>
    <x v="0"/>
    <x v="2"/>
    <n v="1"/>
    <n v="1457"/>
    <x v="3"/>
    <x v="0"/>
    <n v="52"/>
    <n v="3"/>
    <x v="2"/>
    <x v="5"/>
    <x v="2"/>
    <x v="1"/>
    <n v="10096"/>
    <x v="2"/>
    <n v="15986"/>
    <n v="4"/>
    <s v="Y"/>
    <x v="0"/>
    <n v="11"/>
    <n v="3"/>
    <n v="1"/>
    <n v="80"/>
    <n v="1"/>
    <n v="28"/>
    <n v="1"/>
    <x v="1"/>
    <x v="7"/>
    <x v="6"/>
    <n v="4"/>
  </r>
  <r>
    <s v="RM1081"/>
    <n v="46"/>
    <x v="3"/>
    <s v="No"/>
    <n v="0"/>
    <s v="Travel_Rarely"/>
    <n v="228"/>
    <x v="1"/>
    <x v="0"/>
    <x v="0"/>
    <x v="0"/>
    <n v="1"/>
    <n v="1527"/>
    <x v="0"/>
    <x v="1"/>
    <n v="51"/>
    <n v="3"/>
    <x v="3"/>
    <x v="8"/>
    <x v="1"/>
    <x v="2"/>
    <n v="16606"/>
    <x v="3"/>
    <n v="11380"/>
    <n v="8"/>
    <s v="Y"/>
    <x v="0"/>
    <n v="12"/>
    <n v="3"/>
    <n v="4"/>
    <n v="80"/>
    <n v="1"/>
    <n v="23"/>
    <n v="2"/>
    <x v="1"/>
    <x v="13"/>
    <x v="11"/>
    <n v="5"/>
  </r>
  <r>
    <s v="RM1136"/>
    <n v="46"/>
    <x v="3"/>
    <s v="No"/>
    <n v="0"/>
    <s v="Travel_Rarely"/>
    <n v="563"/>
    <x v="1"/>
    <x v="4"/>
    <x v="3"/>
    <x v="0"/>
    <n v="1"/>
    <n v="1602"/>
    <x v="1"/>
    <x v="0"/>
    <n v="56"/>
    <n v="4"/>
    <x v="3"/>
    <x v="8"/>
    <x v="3"/>
    <x v="0"/>
    <n v="17567"/>
    <x v="3"/>
    <n v="3156"/>
    <n v="1"/>
    <s v="Y"/>
    <x v="0"/>
    <n v="15"/>
    <n v="3"/>
    <n v="2"/>
    <n v="80"/>
    <n v="0"/>
    <n v="27"/>
    <n v="5"/>
    <x v="2"/>
    <x v="26"/>
    <x v="0"/>
    <n v="0"/>
  </r>
  <r>
    <s v="RM1232"/>
    <n v="46"/>
    <x v="3"/>
    <s v="No"/>
    <n v="0"/>
    <s v="Travel_Rarely"/>
    <n v="717"/>
    <x v="0"/>
    <x v="25"/>
    <x v="3"/>
    <x v="0"/>
    <n v="1"/>
    <n v="1727"/>
    <x v="0"/>
    <x v="0"/>
    <n v="34"/>
    <n v="3"/>
    <x v="1"/>
    <x v="6"/>
    <x v="1"/>
    <x v="0"/>
    <n v="5562"/>
    <x v="1"/>
    <n v="9697"/>
    <n v="6"/>
    <s v="Y"/>
    <x v="0"/>
    <n v="14"/>
    <n v="3"/>
    <n v="4"/>
    <n v="80"/>
    <n v="0"/>
    <n v="19"/>
    <n v="3"/>
    <x v="0"/>
    <x v="10"/>
    <x v="6"/>
    <n v="0"/>
  </r>
  <r>
    <s v="RM1236"/>
    <n v="46"/>
    <x v="3"/>
    <s v="No"/>
    <n v="0"/>
    <s v="Travel_Rarely"/>
    <n v="1277"/>
    <x v="1"/>
    <x v="7"/>
    <x v="0"/>
    <x v="0"/>
    <n v="1"/>
    <n v="1732"/>
    <x v="0"/>
    <x v="0"/>
    <n v="74"/>
    <n v="3"/>
    <x v="2"/>
    <x v="5"/>
    <x v="2"/>
    <x v="1"/>
    <n v="10368"/>
    <x v="2"/>
    <n v="5596"/>
    <n v="4"/>
    <s v="Y"/>
    <x v="1"/>
    <n v="12"/>
    <n v="3"/>
    <n v="2"/>
    <n v="80"/>
    <n v="1"/>
    <n v="13"/>
    <n v="5"/>
    <x v="3"/>
    <x v="10"/>
    <x v="8"/>
    <n v="0"/>
  </r>
  <r>
    <s v="RM1278"/>
    <n v="46"/>
    <x v="3"/>
    <s v="No"/>
    <n v="0"/>
    <s v="Travel_Rarely"/>
    <n v="734"/>
    <x v="0"/>
    <x v="7"/>
    <x v="3"/>
    <x v="1"/>
    <n v="1"/>
    <n v="1789"/>
    <x v="0"/>
    <x v="0"/>
    <n v="46"/>
    <n v="3"/>
    <x v="4"/>
    <x v="7"/>
    <x v="2"/>
    <x v="1"/>
    <n v="19328"/>
    <x v="3"/>
    <n v="14218"/>
    <n v="7"/>
    <s v="Y"/>
    <x v="1"/>
    <n v="17"/>
    <n v="3"/>
    <n v="3"/>
    <n v="80"/>
    <n v="1"/>
    <n v="24"/>
    <n v="3"/>
    <x v="0"/>
    <x v="2"/>
    <x v="1"/>
    <n v="2"/>
  </r>
  <r>
    <s v="RM1286"/>
    <n v="46"/>
    <x v="3"/>
    <s v="No"/>
    <n v="0"/>
    <s v="Non-Travel"/>
    <n v="849"/>
    <x v="1"/>
    <x v="20"/>
    <x v="1"/>
    <x v="0"/>
    <n v="1"/>
    <n v="1801"/>
    <x v="2"/>
    <x v="0"/>
    <n v="98"/>
    <n v="2"/>
    <x v="1"/>
    <x v="5"/>
    <x v="1"/>
    <x v="0"/>
    <n v="7991"/>
    <x v="1"/>
    <n v="25166"/>
    <n v="8"/>
    <s v="Y"/>
    <x v="0"/>
    <n v="15"/>
    <n v="3"/>
    <n v="3"/>
    <n v="80"/>
    <n v="0"/>
    <n v="6"/>
    <n v="3"/>
    <x v="0"/>
    <x v="2"/>
    <x v="2"/>
    <n v="2"/>
  </r>
  <r>
    <s v="RM1299"/>
    <n v="46"/>
    <x v="3"/>
    <s v="Yes"/>
    <n v="1"/>
    <s v="Travel_Rarely"/>
    <n v="261"/>
    <x v="0"/>
    <x v="8"/>
    <x v="1"/>
    <x v="1"/>
    <n v="1"/>
    <n v="1821"/>
    <x v="1"/>
    <x v="1"/>
    <n v="66"/>
    <n v="3"/>
    <x v="1"/>
    <x v="6"/>
    <x v="1"/>
    <x v="2"/>
    <n v="8926"/>
    <x v="1"/>
    <n v="10842"/>
    <n v="4"/>
    <s v="Y"/>
    <x v="0"/>
    <n v="22"/>
    <n v="4"/>
    <n v="4"/>
    <n v="80"/>
    <n v="1"/>
    <n v="13"/>
    <n v="2"/>
    <x v="1"/>
    <x v="9"/>
    <x v="6"/>
    <n v="3"/>
  </r>
  <r>
    <s v="RM1323"/>
    <n v="46"/>
    <x v="3"/>
    <s v="No"/>
    <n v="0"/>
    <s v="Travel_Rarely"/>
    <n v="706"/>
    <x v="0"/>
    <x v="7"/>
    <x v="1"/>
    <x v="0"/>
    <n v="1"/>
    <n v="1857"/>
    <x v="1"/>
    <x v="0"/>
    <n v="82"/>
    <n v="3"/>
    <x v="2"/>
    <x v="4"/>
    <x v="2"/>
    <x v="1"/>
    <n v="8578"/>
    <x v="1"/>
    <n v="19989"/>
    <n v="3"/>
    <s v="Y"/>
    <x v="0"/>
    <n v="14"/>
    <n v="3"/>
    <n v="3"/>
    <n v="80"/>
    <n v="1"/>
    <n v="12"/>
    <n v="4"/>
    <x v="3"/>
    <x v="9"/>
    <x v="7"/>
    <n v="4"/>
  </r>
  <r>
    <s v="RM1328"/>
    <n v="46"/>
    <x v="3"/>
    <s v="No"/>
    <n v="0"/>
    <s v="Travel_Rarely"/>
    <n v="1319"/>
    <x v="1"/>
    <x v="0"/>
    <x v="0"/>
    <x v="3"/>
    <n v="1"/>
    <n v="1863"/>
    <x v="3"/>
    <x v="1"/>
    <n v="45"/>
    <n v="4"/>
    <x v="3"/>
    <x v="5"/>
    <x v="3"/>
    <x v="1"/>
    <n v="13225"/>
    <x v="2"/>
    <n v="7739"/>
    <n v="2"/>
    <s v="Y"/>
    <x v="0"/>
    <n v="12"/>
    <n v="3"/>
    <n v="4"/>
    <n v="80"/>
    <n v="1"/>
    <n v="25"/>
    <n v="5"/>
    <x v="0"/>
    <x v="19"/>
    <x v="17"/>
    <n v="2"/>
  </r>
  <r>
    <s v="RM1334"/>
    <n v="46"/>
    <x v="3"/>
    <s v="Yes"/>
    <n v="1"/>
    <s v="Travel_Rarely"/>
    <n v="1254"/>
    <x v="1"/>
    <x v="1"/>
    <x v="0"/>
    <x v="0"/>
    <n v="1"/>
    <n v="1869"/>
    <x v="0"/>
    <x v="1"/>
    <n v="64"/>
    <n v="3"/>
    <x v="2"/>
    <x v="5"/>
    <x v="1"/>
    <x v="2"/>
    <n v="7314"/>
    <x v="1"/>
    <n v="14011"/>
    <n v="5"/>
    <s v="Y"/>
    <x v="0"/>
    <n v="21"/>
    <n v="4"/>
    <n v="3"/>
    <n v="80"/>
    <n v="3"/>
    <n v="14"/>
    <n v="2"/>
    <x v="0"/>
    <x v="8"/>
    <x v="6"/>
    <n v="0"/>
  </r>
  <r>
    <s v="RM272"/>
    <n v="47"/>
    <x v="3"/>
    <s v="Yes"/>
    <n v="1"/>
    <s v="Non-Travel"/>
    <n v="666"/>
    <x v="0"/>
    <x v="26"/>
    <x v="3"/>
    <x v="0"/>
    <n v="1"/>
    <n v="376"/>
    <x v="3"/>
    <x v="0"/>
    <n v="88"/>
    <n v="3"/>
    <x v="2"/>
    <x v="8"/>
    <x v="1"/>
    <x v="2"/>
    <n v="11849"/>
    <x v="2"/>
    <n v="10268"/>
    <n v="1"/>
    <s v="Y"/>
    <x v="1"/>
    <n v="12"/>
    <n v="3"/>
    <n v="4"/>
    <n v="80"/>
    <n v="1"/>
    <n v="10"/>
    <n v="2"/>
    <x v="3"/>
    <x v="10"/>
    <x v="6"/>
    <n v="9"/>
  </r>
  <r>
    <s v="RM330"/>
    <n v="47"/>
    <x v="3"/>
    <s v="No"/>
    <n v="0"/>
    <s v="Travel_Rarely"/>
    <n v="1482"/>
    <x v="0"/>
    <x v="2"/>
    <x v="4"/>
    <x v="0"/>
    <n v="1"/>
    <n v="447"/>
    <x v="1"/>
    <x v="0"/>
    <n v="42"/>
    <n v="3"/>
    <x v="4"/>
    <x v="7"/>
    <x v="0"/>
    <x v="2"/>
    <n v="18300"/>
    <x v="3"/>
    <n v="16375"/>
    <n v="4"/>
    <s v="Y"/>
    <x v="0"/>
    <n v="11"/>
    <n v="3"/>
    <n v="2"/>
    <n v="80"/>
    <n v="1"/>
    <n v="21"/>
    <n v="2"/>
    <x v="0"/>
    <x v="3"/>
    <x v="2"/>
    <n v="1"/>
  </r>
  <r>
    <s v="RM348"/>
    <n v="47"/>
    <x v="3"/>
    <s v="No"/>
    <n v="0"/>
    <s v="Travel_Frequently"/>
    <n v="1309"/>
    <x v="1"/>
    <x v="12"/>
    <x v="2"/>
    <x v="1"/>
    <n v="1"/>
    <n v="467"/>
    <x v="2"/>
    <x v="0"/>
    <n v="99"/>
    <n v="3"/>
    <x v="1"/>
    <x v="1"/>
    <x v="0"/>
    <x v="0"/>
    <n v="2976"/>
    <x v="0"/>
    <n v="25751"/>
    <n v="3"/>
    <s v="Y"/>
    <x v="0"/>
    <n v="19"/>
    <n v="3"/>
    <n v="1"/>
    <n v="80"/>
    <n v="0"/>
    <n v="5"/>
    <n v="3"/>
    <x v="0"/>
    <x v="0"/>
    <x v="0"/>
    <n v="0"/>
  </r>
  <r>
    <s v="RM429"/>
    <n v="47"/>
    <x v="3"/>
    <s v="No"/>
    <n v="0"/>
    <s v="Travel_Rarely"/>
    <n v="983"/>
    <x v="0"/>
    <x v="7"/>
    <x v="1"/>
    <x v="1"/>
    <n v="1"/>
    <n v="574"/>
    <x v="3"/>
    <x v="1"/>
    <n v="65"/>
    <n v="3"/>
    <x v="1"/>
    <x v="4"/>
    <x v="2"/>
    <x v="1"/>
    <n v="5070"/>
    <x v="1"/>
    <n v="7389"/>
    <n v="5"/>
    <s v="Y"/>
    <x v="0"/>
    <n v="13"/>
    <n v="3"/>
    <n v="3"/>
    <n v="80"/>
    <n v="3"/>
    <n v="20"/>
    <n v="2"/>
    <x v="0"/>
    <x v="5"/>
    <x v="0"/>
    <n v="0"/>
  </r>
  <r>
    <s v="RM533"/>
    <n v="47"/>
    <x v="3"/>
    <s v="No"/>
    <n v="0"/>
    <s v="Travel_Rarely"/>
    <n v="703"/>
    <x v="1"/>
    <x v="5"/>
    <x v="3"/>
    <x v="2"/>
    <n v="1"/>
    <n v="728"/>
    <x v="1"/>
    <x v="0"/>
    <n v="42"/>
    <n v="3"/>
    <x v="1"/>
    <x v="5"/>
    <x v="3"/>
    <x v="0"/>
    <n v="4960"/>
    <x v="0"/>
    <n v="11825"/>
    <n v="2"/>
    <s v="Y"/>
    <x v="0"/>
    <n v="12"/>
    <n v="3"/>
    <n v="4"/>
    <n v="80"/>
    <n v="0"/>
    <n v="20"/>
    <n v="2"/>
    <x v="0"/>
    <x v="7"/>
    <x v="6"/>
    <n v="1"/>
  </r>
  <r>
    <s v="RM545"/>
    <n v="47"/>
    <x v="3"/>
    <s v="No"/>
    <n v="0"/>
    <s v="Travel_Frequently"/>
    <n v="217"/>
    <x v="1"/>
    <x v="0"/>
    <x v="0"/>
    <x v="1"/>
    <n v="1"/>
    <n v="746"/>
    <x v="1"/>
    <x v="1"/>
    <n v="49"/>
    <n v="3"/>
    <x v="3"/>
    <x v="5"/>
    <x v="0"/>
    <x v="1"/>
    <n v="13770"/>
    <x v="2"/>
    <n v="10225"/>
    <n v="9"/>
    <s v="Y"/>
    <x v="1"/>
    <n v="12"/>
    <n v="3"/>
    <n v="4"/>
    <n v="80"/>
    <n v="2"/>
    <n v="28"/>
    <n v="2"/>
    <x v="3"/>
    <x v="22"/>
    <x v="2"/>
    <n v="11"/>
  </r>
  <r>
    <s v="RM567"/>
    <n v="47"/>
    <x v="3"/>
    <s v="Yes"/>
    <n v="1"/>
    <s v="Travel_Frequently"/>
    <n v="719"/>
    <x v="1"/>
    <x v="28"/>
    <x v="1"/>
    <x v="0"/>
    <n v="1"/>
    <n v="785"/>
    <x v="2"/>
    <x v="1"/>
    <n v="77"/>
    <n v="4"/>
    <x v="1"/>
    <x v="5"/>
    <x v="0"/>
    <x v="0"/>
    <n v="6397"/>
    <x v="1"/>
    <n v="10339"/>
    <n v="4"/>
    <s v="Y"/>
    <x v="1"/>
    <n v="12"/>
    <n v="3"/>
    <n v="4"/>
    <n v="80"/>
    <n v="0"/>
    <n v="8"/>
    <n v="2"/>
    <x v="0"/>
    <x v="5"/>
    <x v="4"/>
    <n v="1"/>
  </r>
  <r>
    <s v="RM593"/>
    <n v="47"/>
    <x v="3"/>
    <s v="No"/>
    <n v="0"/>
    <s v="Travel_Rarely"/>
    <n v="202"/>
    <x v="0"/>
    <x v="7"/>
    <x v="1"/>
    <x v="4"/>
    <n v="1"/>
    <n v="820"/>
    <x v="0"/>
    <x v="1"/>
    <n v="33"/>
    <n v="3"/>
    <x v="3"/>
    <x v="8"/>
    <x v="2"/>
    <x v="2"/>
    <n v="16752"/>
    <x v="3"/>
    <n v="12982"/>
    <n v="1"/>
    <s v="Y"/>
    <x v="1"/>
    <n v="11"/>
    <n v="3"/>
    <n v="3"/>
    <n v="80"/>
    <n v="1"/>
    <n v="26"/>
    <n v="3"/>
    <x v="3"/>
    <x v="26"/>
    <x v="13"/>
    <n v="3"/>
  </r>
  <r>
    <s v="RM652"/>
    <n v="47"/>
    <x v="3"/>
    <s v="No"/>
    <n v="0"/>
    <s v="Travel_Rarely"/>
    <n v="249"/>
    <x v="1"/>
    <x v="7"/>
    <x v="1"/>
    <x v="2"/>
    <n v="1"/>
    <n v="903"/>
    <x v="0"/>
    <x v="1"/>
    <n v="35"/>
    <n v="3"/>
    <x v="1"/>
    <x v="5"/>
    <x v="2"/>
    <x v="2"/>
    <n v="4537"/>
    <x v="0"/>
    <n v="17783"/>
    <n v="0"/>
    <s v="Y"/>
    <x v="1"/>
    <n v="22"/>
    <n v="4"/>
    <n v="1"/>
    <n v="80"/>
    <n v="1"/>
    <n v="8"/>
    <n v="2"/>
    <x v="0"/>
    <x v="7"/>
    <x v="8"/>
    <n v="7"/>
  </r>
  <r>
    <s v="RM666"/>
    <n v="47"/>
    <x v="3"/>
    <s v="No"/>
    <n v="0"/>
    <s v="Travel_Rarely"/>
    <n v="1454"/>
    <x v="1"/>
    <x v="7"/>
    <x v="3"/>
    <x v="0"/>
    <n v="1"/>
    <n v="925"/>
    <x v="1"/>
    <x v="1"/>
    <n v="65"/>
    <n v="2"/>
    <x v="0"/>
    <x v="1"/>
    <x v="2"/>
    <x v="0"/>
    <n v="3294"/>
    <x v="0"/>
    <n v="13137"/>
    <n v="1"/>
    <s v="Y"/>
    <x v="1"/>
    <n v="18"/>
    <n v="3"/>
    <n v="1"/>
    <n v="80"/>
    <n v="0"/>
    <n v="3"/>
    <n v="3"/>
    <x v="3"/>
    <x v="3"/>
    <x v="2"/>
    <n v="1"/>
  </r>
  <r>
    <s v="RM708"/>
    <n v="47"/>
    <x v="3"/>
    <s v="No"/>
    <n v="0"/>
    <s v="Travel_Frequently"/>
    <n v="1379"/>
    <x v="0"/>
    <x v="18"/>
    <x v="3"/>
    <x v="1"/>
    <n v="1"/>
    <n v="987"/>
    <x v="0"/>
    <x v="0"/>
    <n v="64"/>
    <n v="4"/>
    <x v="1"/>
    <x v="4"/>
    <x v="0"/>
    <x v="1"/>
    <n v="5067"/>
    <x v="1"/>
    <n v="6759"/>
    <n v="1"/>
    <s v="Y"/>
    <x v="1"/>
    <n v="19"/>
    <n v="3"/>
    <n v="3"/>
    <n v="80"/>
    <n v="0"/>
    <n v="20"/>
    <n v="3"/>
    <x v="1"/>
    <x v="19"/>
    <x v="10"/>
    <n v="2"/>
  </r>
  <r>
    <s v="RM720"/>
    <n v="47"/>
    <x v="3"/>
    <s v="No"/>
    <n v="0"/>
    <s v="Travel_Rarely"/>
    <n v="955"/>
    <x v="1"/>
    <x v="12"/>
    <x v="1"/>
    <x v="0"/>
    <n v="1"/>
    <n v="1003"/>
    <x v="1"/>
    <x v="1"/>
    <n v="83"/>
    <n v="3"/>
    <x v="1"/>
    <x v="5"/>
    <x v="2"/>
    <x v="0"/>
    <n v="4163"/>
    <x v="0"/>
    <n v="8571"/>
    <n v="1"/>
    <s v="Y"/>
    <x v="1"/>
    <n v="17"/>
    <n v="3"/>
    <n v="3"/>
    <n v="80"/>
    <n v="0"/>
    <n v="9"/>
    <n v="0"/>
    <x v="0"/>
    <x v="9"/>
    <x v="0"/>
    <n v="0"/>
  </r>
  <r>
    <s v="RM1021"/>
    <n v="47"/>
    <x v="3"/>
    <s v="No"/>
    <n v="0"/>
    <s v="Travel_Rarely"/>
    <n v="465"/>
    <x v="0"/>
    <x v="4"/>
    <x v="0"/>
    <x v="3"/>
    <n v="1"/>
    <n v="1438"/>
    <x v="3"/>
    <x v="0"/>
    <n v="74"/>
    <n v="3"/>
    <x v="0"/>
    <x v="2"/>
    <x v="2"/>
    <x v="2"/>
    <n v="3420"/>
    <x v="0"/>
    <n v="10205"/>
    <n v="7"/>
    <s v="Y"/>
    <x v="0"/>
    <n v="12"/>
    <n v="3"/>
    <n v="3"/>
    <n v="80"/>
    <n v="1"/>
    <n v="17"/>
    <n v="2"/>
    <x v="3"/>
    <x v="6"/>
    <x v="5"/>
    <n v="1"/>
  </r>
  <r>
    <s v="RM1025"/>
    <n v="47"/>
    <x v="3"/>
    <s v="No"/>
    <n v="0"/>
    <s v="Travel_Rarely"/>
    <n v="359"/>
    <x v="0"/>
    <x v="7"/>
    <x v="3"/>
    <x v="1"/>
    <n v="1"/>
    <n v="1443"/>
    <x v="3"/>
    <x v="1"/>
    <n v="82"/>
    <n v="3"/>
    <x v="3"/>
    <x v="7"/>
    <x v="0"/>
    <x v="2"/>
    <n v="17169"/>
    <x v="3"/>
    <n v="26703"/>
    <n v="3"/>
    <s v="Y"/>
    <x v="0"/>
    <n v="19"/>
    <n v="3"/>
    <n v="2"/>
    <n v="80"/>
    <n v="2"/>
    <n v="26"/>
    <n v="2"/>
    <x v="1"/>
    <x v="20"/>
    <x v="17"/>
    <n v="5"/>
  </r>
  <r>
    <s v="RM1068"/>
    <n v="47"/>
    <x v="3"/>
    <s v="No"/>
    <n v="0"/>
    <s v="Travel_Rarely"/>
    <n v="571"/>
    <x v="1"/>
    <x v="5"/>
    <x v="0"/>
    <x v="1"/>
    <n v="1"/>
    <n v="1503"/>
    <x v="0"/>
    <x v="1"/>
    <n v="78"/>
    <n v="3"/>
    <x v="1"/>
    <x v="5"/>
    <x v="0"/>
    <x v="2"/>
    <n v="4591"/>
    <x v="0"/>
    <n v="24200"/>
    <n v="3"/>
    <s v="Y"/>
    <x v="1"/>
    <n v="17"/>
    <n v="3"/>
    <n v="3"/>
    <n v="80"/>
    <n v="1"/>
    <n v="11"/>
    <n v="4"/>
    <x v="3"/>
    <x v="5"/>
    <x v="4"/>
    <n v="1"/>
  </r>
  <r>
    <s v="RM1155"/>
    <n v="47"/>
    <x v="3"/>
    <s v="No"/>
    <n v="0"/>
    <s v="Travel_Rarely"/>
    <n v="1176"/>
    <x v="2"/>
    <x v="20"/>
    <x v="3"/>
    <x v="0"/>
    <n v="1"/>
    <n v="1625"/>
    <x v="1"/>
    <x v="1"/>
    <n v="98"/>
    <n v="3"/>
    <x v="4"/>
    <x v="8"/>
    <x v="0"/>
    <x v="2"/>
    <n v="19658"/>
    <x v="3"/>
    <n v="5220"/>
    <n v="3"/>
    <s v="Y"/>
    <x v="0"/>
    <n v="11"/>
    <n v="3"/>
    <n v="3"/>
    <n v="80"/>
    <n v="1"/>
    <n v="27"/>
    <n v="2"/>
    <x v="0"/>
    <x v="5"/>
    <x v="2"/>
    <n v="1"/>
  </r>
  <r>
    <s v="RM1195"/>
    <n v="47"/>
    <x v="3"/>
    <s v="No"/>
    <n v="0"/>
    <s v="Travel_Rarely"/>
    <n v="1225"/>
    <x v="1"/>
    <x v="7"/>
    <x v="3"/>
    <x v="0"/>
    <n v="1"/>
    <n v="1676"/>
    <x v="2"/>
    <x v="1"/>
    <n v="47"/>
    <n v="4"/>
    <x v="3"/>
    <x v="8"/>
    <x v="1"/>
    <x v="1"/>
    <n v="15972"/>
    <x v="3"/>
    <n v="21086"/>
    <n v="6"/>
    <s v="Y"/>
    <x v="0"/>
    <n v="14"/>
    <n v="3"/>
    <n v="3"/>
    <n v="80"/>
    <n v="3"/>
    <n v="29"/>
    <n v="2"/>
    <x v="0"/>
    <x v="3"/>
    <x v="2"/>
    <n v="1"/>
  </r>
  <r>
    <s v="RM1224"/>
    <n v="47"/>
    <x v="3"/>
    <s v="Yes"/>
    <n v="1"/>
    <s v="Travel_Frequently"/>
    <n v="1093"/>
    <x v="1"/>
    <x v="9"/>
    <x v="0"/>
    <x v="0"/>
    <n v="1"/>
    <n v="1716"/>
    <x v="0"/>
    <x v="0"/>
    <n v="82"/>
    <n v="1"/>
    <x v="3"/>
    <x v="5"/>
    <x v="0"/>
    <x v="2"/>
    <n v="12936"/>
    <x v="2"/>
    <n v="24164"/>
    <n v="7"/>
    <s v="Y"/>
    <x v="0"/>
    <n v="11"/>
    <n v="3"/>
    <n v="3"/>
    <n v="80"/>
    <n v="0"/>
    <n v="25"/>
    <n v="3"/>
    <x v="2"/>
    <x v="25"/>
    <x v="5"/>
    <n v="14"/>
  </r>
  <r>
    <s v="RM1235"/>
    <n v="47"/>
    <x v="3"/>
    <s v="No"/>
    <n v="0"/>
    <s v="Non-Travel"/>
    <n v="543"/>
    <x v="1"/>
    <x v="7"/>
    <x v="3"/>
    <x v="2"/>
    <n v="1"/>
    <n v="1731"/>
    <x v="0"/>
    <x v="0"/>
    <n v="87"/>
    <n v="3"/>
    <x v="1"/>
    <x v="5"/>
    <x v="1"/>
    <x v="2"/>
    <n v="4978"/>
    <x v="0"/>
    <n v="3536"/>
    <n v="7"/>
    <s v="Y"/>
    <x v="0"/>
    <n v="11"/>
    <n v="3"/>
    <n v="4"/>
    <n v="80"/>
    <n v="1"/>
    <n v="4"/>
    <n v="3"/>
    <x v="2"/>
    <x v="1"/>
    <x v="0"/>
    <n v="0"/>
  </r>
  <r>
    <s v="RM1304"/>
    <n v="47"/>
    <x v="3"/>
    <s v="No"/>
    <n v="0"/>
    <s v="Travel_Rarely"/>
    <n v="1001"/>
    <x v="0"/>
    <x v="12"/>
    <x v="0"/>
    <x v="0"/>
    <n v="1"/>
    <n v="1827"/>
    <x v="0"/>
    <x v="1"/>
    <n v="92"/>
    <n v="2"/>
    <x v="2"/>
    <x v="4"/>
    <x v="1"/>
    <x v="1"/>
    <n v="10333"/>
    <x v="2"/>
    <n v="19271"/>
    <n v="8"/>
    <s v="Y"/>
    <x v="1"/>
    <n v="12"/>
    <n v="3"/>
    <n v="3"/>
    <n v="80"/>
    <n v="1"/>
    <n v="28"/>
    <n v="4"/>
    <x v="0"/>
    <x v="22"/>
    <x v="14"/>
    <n v="14"/>
  </r>
  <r>
    <s v="RM1322"/>
    <n v="47"/>
    <x v="3"/>
    <s v="No"/>
    <n v="0"/>
    <s v="Travel_Rarely"/>
    <n v="207"/>
    <x v="0"/>
    <x v="9"/>
    <x v="3"/>
    <x v="0"/>
    <n v="1"/>
    <n v="1856"/>
    <x v="2"/>
    <x v="1"/>
    <n v="64"/>
    <n v="3"/>
    <x v="0"/>
    <x v="0"/>
    <x v="0"/>
    <x v="0"/>
    <n v="2105"/>
    <x v="0"/>
    <n v="5411"/>
    <n v="4"/>
    <s v="Y"/>
    <x v="0"/>
    <n v="12"/>
    <n v="3"/>
    <n v="3"/>
    <n v="80"/>
    <n v="0"/>
    <n v="7"/>
    <n v="2"/>
    <x v="0"/>
    <x v="2"/>
    <x v="2"/>
    <n v="2"/>
  </r>
  <r>
    <s v="RM1371"/>
    <n v="47"/>
    <x v="3"/>
    <s v="No"/>
    <n v="0"/>
    <s v="Non-Travel"/>
    <n v="1169"/>
    <x v="0"/>
    <x v="5"/>
    <x v="3"/>
    <x v="3"/>
    <n v="1"/>
    <n v="1934"/>
    <x v="0"/>
    <x v="0"/>
    <n v="64"/>
    <n v="3"/>
    <x v="1"/>
    <x v="2"/>
    <x v="1"/>
    <x v="2"/>
    <n v="5467"/>
    <x v="1"/>
    <n v="2125"/>
    <n v="8"/>
    <s v="Y"/>
    <x v="0"/>
    <n v="18"/>
    <n v="3"/>
    <n v="3"/>
    <n v="80"/>
    <n v="1"/>
    <n v="16"/>
    <n v="4"/>
    <x v="1"/>
    <x v="8"/>
    <x v="6"/>
    <n v="1"/>
  </r>
  <r>
    <s v="RM1415"/>
    <n v="47"/>
    <x v="3"/>
    <s v="No"/>
    <n v="0"/>
    <s v="Travel_Rarely"/>
    <n v="1180"/>
    <x v="0"/>
    <x v="10"/>
    <x v="0"/>
    <x v="1"/>
    <n v="1"/>
    <n v="1993"/>
    <x v="3"/>
    <x v="0"/>
    <n v="84"/>
    <n v="3"/>
    <x v="2"/>
    <x v="6"/>
    <x v="0"/>
    <x v="0"/>
    <n v="8633"/>
    <x v="1"/>
    <n v="13084"/>
    <n v="2"/>
    <s v="Y"/>
    <x v="0"/>
    <n v="23"/>
    <n v="4"/>
    <n v="2"/>
    <n v="80"/>
    <n v="0"/>
    <n v="25"/>
    <n v="3"/>
    <x v="0"/>
    <x v="17"/>
    <x v="13"/>
    <n v="12"/>
  </r>
  <r>
    <s v="RM1422"/>
    <n v="47"/>
    <x v="3"/>
    <s v="No"/>
    <n v="0"/>
    <s v="Non-Travel"/>
    <n v="1162"/>
    <x v="0"/>
    <x v="4"/>
    <x v="2"/>
    <x v="1"/>
    <n v="1"/>
    <n v="2000"/>
    <x v="0"/>
    <x v="1"/>
    <n v="98"/>
    <n v="3"/>
    <x v="2"/>
    <x v="7"/>
    <x v="1"/>
    <x v="2"/>
    <n v="11957"/>
    <x v="2"/>
    <n v="17231"/>
    <n v="0"/>
    <s v="Y"/>
    <x v="0"/>
    <n v="18"/>
    <n v="3"/>
    <n v="1"/>
    <n v="80"/>
    <n v="2"/>
    <n v="14"/>
    <n v="3"/>
    <x v="2"/>
    <x v="13"/>
    <x v="7"/>
    <n v="5"/>
  </r>
  <r>
    <s v="RM051"/>
    <n v="48"/>
    <x v="3"/>
    <s v="Yes"/>
    <n v="1"/>
    <s v="Travel_Rarely"/>
    <n v="626"/>
    <x v="0"/>
    <x v="4"/>
    <x v="1"/>
    <x v="0"/>
    <n v="1"/>
    <n v="64"/>
    <x v="3"/>
    <x v="0"/>
    <n v="98"/>
    <n v="2"/>
    <x v="2"/>
    <x v="0"/>
    <x v="0"/>
    <x v="0"/>
    <n v="5381"/>
    <x v="1"/>
    <n v="19294"/>
    <n v="9"/>
    <s v="Y"/>
    <x v="1"/>
    <n v="13"/>
    <n v="3"/>
    <n v="4"/>
    <n v="80"/>
    <n v="0"/>
    <n v="23"/>
    <n v="2"/>
    <x v="0"/>
    <x v="1"/>
    <x v="0"/>
    <n v="0"/>
  </r>
  <r>
    <s v="RM353"/>
    <n v="48"/>
    <x v="3"/>
    <s v="No"/>
    <n v="0"/>
    <s v="Travel_Rarely"/>
    <n v="530"/>
    <x v="1"/>
    <x v="26"/>
    <x v="2"/>
    <x v="1"/>
    <n v="1"/>
    <n v="473"/>
    <x v="3"/>
    <x v="1"/>
    <n v="91"/>
    <n v="3"/>
    <x v="2"/>
    <x v="8"/>
    <x v="0"/>
    <x v="2"/>
    <n v="12504"/>
    <x v="2"/>
    <n v="23978"/>
    <n v="3"/>
    <s v="Y"/>
    <x v="0"/>
    <n v="21"/>
    <n v="4"/>
    <n v="2"/>
    <n v="80"/>
    <n v="1"/>
    <n v="15"/>
    <n v="3"/>
    <x v="2"/>
    <x v="0"/>
    <x v="0"/>
    <n v="0"/>
  </r>
  <r>
    <s v="RM445"/>
    <n v="48"/>
    <x v="3"/>
    <s v="No"/>
    <n v="0"/>
    <s v="Travel_Rarely"/>
    <n v="163"/>
    <x v="1"/>
    <x v="7"/>
    <x v="4"/>
    <x v="2"/>
    <n v="1"/>
    <n v="595"/>
    <x v="2"/>
    <x v="1"/>
    <n v="37"/>
    <n v="3"/>
    <x v="1"/>
    <x v="5"/>
    <x v="2"/>
    <x v="2"/>
    <n v="4051"/>
    <x v="0"/>
    <n v="19658"/>
    <n v="2"/>
    <s v="Y"/>
    <x v="0"/>
    <n v="14"/>
    <n v="3"/>
    <n v="1"/>
    <n v="80"/>
    <n v="1"/>
    <n v="14"/>
    <n v="2"/>
    <x v="0"/>
    <x v="9"/>
    <x v="6"/>
    <n v="6"/>
  </r>
  <r>
    <s v="RM493"/>
    <n v="48"/>
    <x v="3"/>
    <s v="No"/>
    <n v="0"/>
    <s v="Travel_Rarely"/>
    <n v="1236"/>
    <x v="0"/>
    <x v="4"/>
    <x v="3"/>
    <x v="0"/>
    <n v="1"/>
    <n v="664"/>
    <x v="1"/>
    <x v="1"/>
    <n v="40"/>
    <n v="2"/>
    <x v="3"/>
    <x v="8"/>
    <x v="3"/>
    <x v="2"/>
    <n v="15402"/>
    <x v="3"/>
    <n v="17997"/>
    <n v="7"/>
    <s v="Y"/>
    <x v="0"/>
    <n v="11"/>
    <n v="3"/>
    <n v="1"/>
    <n v="80"/>
    <n v="1"/>
    <n v="21"/>
    <n v="3"/>
    <x v="2"/>
    <x v="3"/>
    <x v="2"/>
    <n v="0"/>
  </r>
  <r>
    <s v="RM521"/>
    <n v="48"/>
    <x v="3"/>
    <s v="No"/>
    <n v="0"/>
    <s v="Travel_Rarely"/>
    <n v="817"/>
    <x v="1"/>
    <x v="7"/>
    <x v="2"/>
    <x v="2"/>
    <n v="1"/>
    <n v="712"/>
    <x v="2"/>
    <x v="0"/>
    <n v="56"/>
    <n v="4"/>
    <x v="1"/>
    <x v="5"/>
    <x v="1"/>
    <x v="2"/>
    <n v="8120"/>
    <x v="1"/>
    <n v="18597"/>
    <n v="3"/>
    <s v="Y"/>
    <x v="0"/>
    <n v="12"/>
    <n v="3"/>
    <n v="4"/>
    <n v="80"/>
    <n v="0"/>
    <n v="12"/>
    <n v="3"/>
    <x v="0"/>
    <x v="2"/>
    <x v="2"/>
    <n v="2"/>
  </r>
  <r>
    <s v="RM679"/>
    <n v="48"/>
    <x v="3"/>
    <s v="No"/>
    <n v="0"/>
    <s v="Travel_Rarely"/>
    <n v="1469"/>
    <x v="0"/>
    <x v="21"/>
    <x v="3"/>
    <x v="1"/>
    <n v="1"/>
    <n v="945"/>
    <x v="1"/>
    <x v="0"/>
    <n v="51"/>
    <n v="3"/>
    <x v="0"/>
    <x v="2"/>
    <x v="0"/>
    <x v="2"/>
    <n v="2259"/>
    <x v="0"/>
    <n v="5543"/>
    <n v="4"/>
    <s v="Y"/>
    <x v="0"/>
    <n v="17"/>
    <n v="3"/>
    <n v="1"/>
    <n v="80"/>
    <n v="2"/>
    <n v="13"/>
    <n v="2"/>
    <x v="3"/>
    <x v="0"/>
    <x v="0"/>
    <n v="0"/>
  </r>
  <r>
    <s v="RM736"/>
    <n v="48"/>
    <x v="3"/>
    <s v="No"/>
    <n v="0"/>
    <s v="Travel_Rarely"/>
    <n v="277"/>
    <x v="0"/>
    <x v="11"/>
    <x v="0"/>
    <x v="0"/>
    <n v="1"/>
    <n v="1022"/>
    <x v="3"/>
    <x v="0"/>
    <n v="97"/>
    <n v="2"/>
    <x v="1"/>
    <x v="6"/>
    <x v="0"/>
    <x v="0"/>
    <n v="4240"/>
    <x v="0"/>
    <n v="13119"/>
    <n v="2"/>
    <s v="Y"/>
    <x v="0"/>
    <n v="13"/>
    <n v="3"/>
    <n v="4"/>
    <n v="80"/>
    <n v="0"/>
    <n v="19"/>
    <n v="0"/>
    <x v="0"/>
    <x v="2"/>
    <x v="2"/>
    <n v="2"/>
  </r>
  <r>
    <s v="RM737"/>
    <n v="48"/>
    <x v="3"/>
    <s v="No"/>
    <n v="0"/>
    <s v="Travel_Rarely"/>
    <n v="1355"/>
    <x v="0"/>
    <x v="12"/>
    <x v="3"/>
    <x v="0"/>
    <n v="1"/>
    <n v="1024"/>
    <x v="0"/>
    <x v="0"/>
    <n v="78"/>
    <n v="2"/>
    <x v="2"/>
    <x v="6"/>
    <x v="0"/>
    <x v="0"/>
    <n v="10999"/>
    <x v="2"/>
    <n v="22245"/>
    <n v="7"/>
    <s v="Y"/>
    <x v="0"/>
    <n v="14"/>
    <n v="3"/>
    <n v="2"/>
    <n v="80"/>
    <n v="0"/>
    <n v="27"/>
    <n v="3"/>
    <x v="0"/>
    <x v="15"/>
    <x v="14"/>
    <n v="4"/>
  </r>
  <r>
    <s v="RM805"/>
    <n v="48"/>
    <x v="3"/>
    <s v="No"/>
    <n v="0"/>
    <s v="Non-Travel"/>
    <n v="1262"/>
    <x v="0"/>
    <x v="4"/>
    <x v="3"/>
    <x v="1"/>
    <n v="1"/>
    <n v="1116"/>
    <x v="3"/>
    <x v="0"/>
    <n v="35"/>
    <n v="4"/>
    <x v="3"/>
    <x v="8"/>
    <x v="2"/>
    <x v="0"/>
    <n v="16885"/>
    <x v="3"/>
    <n v="16154"/>
    <n v="2"/>
    <s v="Y"/>
    <x v="0"/>
    <n v="22"/>
    <n v="4"/>
    <n v="3"/>
    <n v="80"/>
    <n v="0"/>
    <n v="27"/>
    <n v="3"/>
    <x v="3"/>
    <x v="5"/>
    <x v="4"/>
    <n v="2"/>
  </r>
  <r>
    <s v="RM902"/>
    <n v="48"/>
    <x v="3"/>
    <s v="No"/>
    <n v="0"/>
    <s v="Travel_Rarely"/>
    <n v="969"/>
    <x v="0"/>
    <x v="7"/>
    <x v="1"/>
    <x v="3"/>
    <n v="1"/>
    <n v="1258"/>
    <x v="1"/>
    <x v="0"/>
    <n v="76"/>
    <n v="4"/>
    <x v="0"/>
    <x v="0"/>
    <x v="1"/>
    <x v="0"/>
    <n v="2559"/>
    <x v="0"/>
    <n v="16620"/>
    <n v="5"/>
    <s v="Y"/>
    <x v="0"/>
    <n v="11"/>
    <n v="3"/>
    <n v="3"/>
    <n v="80"/>
    <n v="0"/>
    <n v="7"/>
    <n v="4"/>
    <x v="3"/>
    <x v="1"/>
    <x v="0"/>
    <n v="0"/>
  </r>
  <r>
    <s v="RM905"/>
    <n v="48"/>
    <x v="3"/>
    <s v="No"/>
    <n v="0"/>
    <s v="Travel_Rarely"/>
    <n v="715"/>
    <x v="0"/>
    <x v="4"/>
    <x v="0"/>
    <x v="0"/>
    <n v="1"/>
    <n v="1263"/>
    <x v="1"/>
    <x v="0"/>
    <n v="76"/>
    <n v="2"/>
    <x v="4"/>
    <x v="7"/>
    <x v="2"/>
    <x v="0"/>
    <n v="18265"/>
    <x v="3"/>
    <n v="8733"/>
    <n v="6"/>
    <s v="Y"/>
    <x v="0"/>
    <n v="12"/>
    <n v="3"/>
    <n v="3"/>
    <n v="80"/>
    <n v="0"/>
    <n v="25"/>
    <n v="3"/>
    <x v="1"/>
    <x v="1"/>
    <x v="0"/>
    <n v="0"/>
  </r>
  <r>
    <s v="RM970"/>
    <n v="48"/>
    <x v="3"/>
    <s v="No"/>
    <n v="0"/>
    <s v="Travel_Rarely"/>
    <n v="855"/>
    <x v="0"/>
    <x v="12"/>
    <x v="0"/>
    <x v="0"/>
    <n v="1"/>
    <n v="1363"/>
    <x v="1"/>
    <x v="0"/>
    <n v="54"/>
    <n v="3"/>
    <x v="2"/>
    <x v="4"/>
    <x v="2"/>
    <x v="0"/>
    <n v="7898"/>
    <x v="1"/>
    <n v="18706"/>
    <n v="1"/>
    <s v="Y"/>
    <x v="0"/>
    <n v="11"/>
    <n v="3"/>
    <n v="3"/>
    <n v="80"/>
    <n v="0"/>
    <n v="11"/>
    <n v="2"/>
    <x v="0"/>
    <x v="10"/>
    <x v="9"/>
    <n v="0"/>
  </r>
  <r>
    <s v="RM1039"/>
    <n v="48"/>
    <x v="3"/>
    <s v="No"/>
    <n v="0"/>
    <s v="Travel_Rarely"/>
    <n v="1221"/>
    <x v="1"/>
    <x v="17"/>
    <x v="0"/>
    <x v="2"/>
    <n v="1"/>
    <n v="1466"/>
    <x v="0"/>
    <x v="0"/>
    <n v="96"/>
    <n v="3"/>
    <x v="1"/>
    <x v="5"/>
    <x v="3"/>
    <x v="1"/>
    <n v="5486"/>
    <x v="1"/>
    <n v="24795"/>
    <n v="4"/>
    <s v="Y"/>
    <x v="0"/>
    <n v="11"/>
    <n v="3"/>
    <n v="1"/>
    <n v="80"/>
    <n v="3"/>
    <n v="15"/>
    <n v="3"/>
    <x v="0"/>
    <x v="2"/>
    <x v="2"/>
    <n v="2"/>
  </r>
  <r>
    <s v="RM1104"/>
    <n v="48"/>
    <x v="3"/>
    <s v="No"/>
    <n v="0"/>
    <s v="Travel_Rarely"/>
    <n v="492"/>
    <x v="1"/>
    <x v="18"/>
    <x v="3"/>
    <x v="0"/>
    <n v="1"/>
    <n v="1557"/>
    <x v="0"/>
    <x v="1"/>
    <n v="96"/>
    <n v="3"/>
    <x v="1"/>
    <x v="5"/>
    <x v="0"/>
    <x v="1"/>
    <n v="6439"/>
    <x v="1"/>
    <n v="13693"/>
    <n v="8"/>
    <s v="Y"/>
    <x v="0"/>
    <n v="14"/>
    <n v="3"/>
    <n v="3"/>
    <n v="80"/>
    <n v="1"/>
    <n v="18"/>
    <n v="2"/>
    <x v="0"/>
    <x v="8"/>
    <x v="6"/>
    <n v="7"/>
  </r>
  <r>
    <s v="RM1115"/>
    <n v="48"/>
    <x v="3"/>
    <s v="No"/>
    <n v="0"/>
    <s v="Travel_Rarely"/>
    <n v="1108"/>
    <x v="0"/>
    <x v="14"/>
    <x v="3"/>
    <x v="4"/>
    <n v="1"/>
    <n v="1576"/>
    <x v="0"/>
    <x v="1"/>
    <n v="65"/>
    <n v="3"/>
    <x v="0"/>
    <x v="2"/>
    <x v="3"/>
    <x v="2"/>
    <n v="2367"/>
    <x v="0"/>
    <n v="16530"/>
    <n v="8"/>
    <s v="Y"/>
    <x v="0"/>
    <n v="12"/>
    <n v="3"/>
    <n v="4"/>
    <n v="80"/>
    <n v="1"/>
    <n v="10"/>
    <n v="3"/>
    <x v="3"/>
    <x v="8"/>
    <x v="2"/>
    <n v="7"/>
  </r>
  <r>
    <s v="RM1167"/>
    <n v="48"/>
    <x v="3"/>
    <s v="No"/>
    <n v="0"/>
    <s v="Travel_Frequently"/>
    <n v="365"/>
    <x v="0"/>
    <x v="12"/>
    <x v="4"/>
    <x v="1"/>
    <n v="1"/>
    <n v="1644"/>
    <x v="0"/>
    <x v="0"/>
    <n v="89"/>
    <n v="2"/>
    <x v="3"/>
    <x v="8"/>
    <x v="2"/>
    <x v="2"/>
    <n v="15202"/>
    <x v="3"/>
    <n v="5602"/>
    <n v="2"/>
    <s v="Y"/>
    <x v="0"/>
    <n v="25"/>
    <n v="4"/>
    <n v="2"/>
    <n v="80"/>
    <n v="1"/>
    <n v="23"/>
    <n v="3"/>
    <x v="0"/>
    <x v="2"/>
    <x v="2"/>
    <n v="2"/>
  </r>
  <r>
    <s v="RM1205"/>
    <n v="48"/>
    <x v="3"/>
    <s v="Yes"/>
    <n v="1"/>
    <s v="Travel_Frequently"/>
    <n v="708"/>
    <x v="1"/>
    <x v="17"/>
    <x v="1"/>
    <x v="1"/>
    <n v="1"/>
    <n v="1691"/>
    <x v="1"/>
    <x v="1"/>
    <n v="95"/>
    <n v="3"/>
    <x v="0"/>
    <x v="1"/>
    <x v="0"/>
    <x v="2"/>
    <n v="2655"/>
    <x v="0"/>
    <n v="11740"/>
    <n v="2"/>
    <s v="Y"/>
    <x v="1"/>
    <n v="11"/>
    <n v="3"/>
    <n v="3"/>
    <n v="80"/>
    <n v="2"/>
    <n v="19"/>
    <n v="3"/>
    <x v="0"/>
    <x v="9"/>
    <x v="6"/>
    <n v="7"/>
  </r>
  <r>
    <s v="RM1332"/>
    <n v="48"/>
    <x v="3"/>
    <s v="No"/>
    <n v="0"/>
    <s v="Travel_Rarely"/>
    <n v="1224"/>
    <x v="0"/>
    <x v="1"/>
    <x v="0"/>
    <x v="0"/>
    <n v="1"/>
    <n v="1867"/>
    <x v="1"/>
    <x v="0"/>
    <n v="91"/>
    <n v="2"/>
    <x v="4"/>
    <x v="7"/>
    <x v="1"/>
    <x v="2"/>
    <n v="19665"/>
    <x v="3"/>
    <n v="13583"/>
    <n v="4"/>
    <s v="Y"/>
    <x v="0"/>
    <n v="12"/>
    <n v="3"/>
    <n v="4"/>
    <n v="80"/>
    <n v="0"/>
    <n v="29"/>
    <n v="3"/>
    <x v="0"/>
    <x v="22"/>
    <x v="10"/>
    <n v="12"/>
  </r>
  <r>
    <s v="RM1352"/>
    <n v="48"/>
    <x v="3"/>
    <s v="No"/>
    <n v="0"/>
    <s v="Travel_Frequently"/>
    <n v="117"/>
    <x v="0"/>
    <x v="6"/>
    <x v="0"/>
    <x v="1"/>
    <n v="1"/>
    <n v="1900"/>
    <x v="1"/>
    <x v="1"/>
    <n v="58"/>
    <n v="3"/>
    <x v="3"/>
    <x v="8"/>
    <x v="2"/>
    <x v="1"/>
    <n v="17174"/>
    <x v="3"/>
    <n v="2437"/>
    <n v="3"/>
    <s v="Y"/>
    <x v="0"/>
    <n v="11"/>
    <n v="3"/>
    <n v="2"/>
    <n v="80"/>
    <n v="1"/>
    <n v="24"/>
    <n v="3"/>
    <x v="0"/>
    <x v="22"/>
    <x v="17"/>
    <n v="4"/>
  </r>
  <r>
    <s v="RM002"/>
    <n v="49"/>
    <x v="3"/>
    <s v="No"/>
    <n v="0"/>
    <s v="Travel_Frequently"/>
    <n v="279"/>
    <x v="0"/>
    <x v="3"/>
    <x v="2"/>
    <x v="0"/>
    <n v="1"/>
    <n v="2"/>
    <x v="0"/>
    <x v="0"/>
    <n v="61"/>
    <n v="2"/>
    <x v="1"/>
    <x v="2"/>
    <x v="1"/>
    <x v="2"/>
    <n v="5130"/>
    <x v="1"/>
    <n v="24907"/>
    <n v="1"/>
    <s v="Y"/>
    <x v="0"/>
    <n v="23"/>
    <n v="4"/>
    <n v="4"/>
    <n v="80"/>
    <n v="1"/>
    <n v="10"/>
    <n v="3"/>
    <x v="0"/>
    <x v="10"/>
    <x v="6"/>
    <n v="1"/>
  </r>
  <r>
    <s v="RM130"/>
    <n v="49"/>
    <x v="3"/>
    <s v="No"/>
    <n v="0"/>
    <s v="Travel_Rarely"/>
    <n v="470"/>
    <x v="0"/>
    <x v="21"/>
    <x v="3"/>
    <x v="1"/>
    <n v="1"/>
    <n v="170"/>
    <x v="0"/>
    <x v="1"/>
    <n v="96"/>
    <n v="3"/>
    <x v="1"/>
    <x v="4"/>
    <x v="3"/>
    <x v="2"/>
    <n v="6567"/>
    <x v="1"/>
    <n v="5549"/>
    <n v="1"/>
    <s v="Y"/>
    <x v="0"/>
    <n v="14"/>
    <n v="3"/>
    <n v="3"/>
    <n v="80"/>
    <n v="0"/>
    <n v="16"/>
    <n v="2"/>
    <x v="3"/>
    <x v="15"/>
    <x v="14"/>
    <n v="5"/>
  </r>
  <r>
    <s v="RM202"/>
    <n v="49"/>
    <x v="3"/>
    <s v="No"/>
    <n v="0"/>
    <s v="Non-Travel"/>
    <n v="1002"/>
    <x v="0"/>
    <x v="16"/>
    <x v="3"/>
    <x v="0"/>
    <n v="1"/>
    <n v="275"/>
    <x v="1"/>
    <x v="0"/>
    <n v="92"/>
    <n v="3"/>
    <x v="1"/>
    <x v="4"/>
    <x v="2"/>
    <x v="1"/>
    <n v="6804"/>
    <x v="1"/>
    <n v="23793"/>
    <n v="1"/>
    <s v="Y"/>
    <x v="1"/>
    <n v="15"/>
    <n v="3"/>
    <n v="1"/>
    <n v="80"/>
    <n v="2"/>
    <n v="7"/>
    <n v="0"/>
    <x v="0"/>
    <x v="7"/>
    <x v="6"/>
    <n v="1"/>
  </r>
  <r>
    <s v="RM291"/>
    <n v="49"/>
    <x v="3"/>
    <s v="No"/>
    <n v="0"/>
    <s v="Travel_Frequently"/>
    <n v="636"/>
    <x v="0"/>
    <x v="1"/>
    <x v="3"/>
    <x v="0"/>
    <n v="1"/>
    <n v="396"/>
    <x v="0"/>
    <x v="1"/>
    <n v="35"/>
    <n v="3"/>
    <x v="4"/>
    <x v="7"/>
    <x v="3"/>
    <x v="0"/>
    <n v="18665"/>
    <x v="3"/>
    <n v="25594"/>
    <n v="9"/>
    <s v="Y"/>
    <x v="1"/>
    <n v="11"/>
    <n v="3"/>
    <n v="4"/>
    <n v="80"/>
    <n v="0"/>
    <n v="22"/>
    <n v="4"/>
    <x v="0"/>
    <x v="3"/>
    <x v="2"/>
    <n v="1"/>
  </r>
  <r>
    <s v="RM317"/>
    <n v="49"/>
    <x v="3"/>
    <s v="No"/>
    <n v="0"/>
    <s v="Travel_Rarely"/>
    <n v="1091"/>
    <x v="0"/>
    <x v="4"/>
    <x v="1"/>
    <x v="3"/>
    <n v="1"/>
    <n v="431"/>
    <x v="0"/>
    <x v="1"/>
    <n v="90"/>
    <n v="2"/>
    <x v="3"/>
    <x v="6"/>
    <x v="0"/>
    <x v="0"/>
    <n v="13964"/>
    <x v="2"/>
    <n v="17810"/>
    <n v="7"/>
    <s v="Y"/>
    <x v="1"/>
    <n v="12"/>
    <n v="3"/>
    <n v="4"/>
    <n v="80"/>
    <n v="0"/>
    <n v="25"/>
    <n v="2"/>
    <x v="0"/>
    <x v="7"/>
    <x v="1"/>
    <n v="0"/>
  </r>
  <r>
    <s v="RM376"/>
    <n v="49"/>
    <x v="3"/>
    <s v="No"/>
    <n v="0"/>
    <s v="Travel_Rarely"/>
    <n v="1261"/>
    <x v="0"/>
    <x v="17"/>
    <x v="0"/>
    <x v="4"/>
    <n v="1"/>
    <n v="499"/>
    <x v="2"/>
    <x v="0"/>
    <n v="31"/>
    <n v="2"/>
    <x v="2"/>
    <x v="6"/>
    <x v="0"/>
    <x v="0"/>
    <n v="10965"/>
    <x v="2"/>
    <n v="12066"/>
    <n v="8"/>
    <s v="Y"/>
    <x v="0"/>
    <n v="24"/>
    <n v="4"/>
    <n v="3"/>
    <n v="80"/>
    <n v="0"/>
    <n v="26"/>
    <n v="2"/>
    <x v="0"/>
    <x v="5"/>
    <x v="2"/>
    <n v="0"/>
  </r>
  <r>
    <s v="RM474"/>
    <n v="49"/>
    <x v="3"/>
    <s v="No"/>
    <n v="0"/>
    <s v="Travel_Rarely"/>
    <n v="1245"/>
    <x v="0"/>
    <x v="16"/>
    <x v="3"/>
    <x v="0"/>
    <n v="1"/>
    <n v="638"/>
    <x v="1"/>
    <x v="0"/>
    <n v="58"/>
    <n v="2"/>
    <x v="4"/>
    <x v="7"/>
    <x v="0"/>
    <x v="1"/>
    <n v="19502"/>
    <x v="3"/>
    <n v="2125"/>
    <n v="1"/>
    <s v="Y"/>
    <x v="1"/>
    <n v="17"/>
    <n v="3"/>
    <n v="3"/>
    <n v="80"/>
    <n v="1"/>
    <n v="31"/>
    <n v="5"/>
    <x v="0"/>
    <x v="27"/>
    <x v="9"/>
    <n v="0"/>
  </r>
  <r>
    <s v="RM608"/>
    <n v="49"/>
    <x v="3"/>
    <s v="Yes"/>
    <n v="1"/>
    <s v="Travel_Rarely"/>
    <n v="1184"/>
    <x v="1"/>
    <x v="13"/>
    <x v="0"/>
    <x v="2"/>
    <n v="1"/>
    <n v="840"/>
    <x v="0"/>
    <x v="1"/>
    <n v="43"/>
    <n v="3"/>
    <x v="2"/>
    <x v="5"/>
    <x v="2"/>
    <x v="2"/>
    <n v="7654"/>
    <x v="1"/>
    <n v="5860"/>
    <n v="1"/>
    <s v="Y"/>
    <x v="0"/>
    <n v="18"/>
    <n v="3"/>
    <n v="1"/>
    <n v="80"/>
    <n v="2"/>
    <n v="9"/>
    <n v="3"/>
    <x v="1"/>
    <x v="9"/>
    <x v="7"/>
    <n v="7"/>
  </r>
  <r>
    <s v="RM640"/>
    <n v="49"/>
    <x v="3"/>
    <s v="No"/>
    <n v="0"/>
    <s v="Travel_Rarely"/>
    <n v="1418"/>
    <x v="0"/>
    <x v="4"/>
    <x v="0"/>
    <x v="3"/>
    <n v="1"/>
    <n v="887"/>
    <x v="0"/>
    <x v="1"/>
    <n v="36"/>
    <n v="3"/>
    <x v="0"/>
    <x v="2"/>
    <x v="3"/>
    <x v="2"/>
    <n v="3580"/>
    <x v="0"/>
    <n v="10554"/>
    <n v="2"/>
    <s v="Y"/>
    <x v="0"/>
    <n v="16"/>
    <n v="3"/>
    <n v="2"/>
    <n v="80"/>
    <n v="1"/>
    <n v="7"/>
    <n v="2"/>
    <x v="0"/>
    <x v="4"/>
    <x v="2"/>
    <n v="0"/>
  </r>
  <r>
    <s v="RM678"/>
    <n v="49"/>
    <x v="3"/>
    <s v="No"/>
    <n v="0"/>
    <s v="Travel_Rarely"/>
    <n v="527"/>
    <x v="0"/>
    <x v="3"/>
    <x v="1"/>
    <x v="4"/>
    <n v="1"/>
    <n v="944"/>
    <x v="3"/>
    <x v="1"/>
    <n v="51"/>
    <n v="3"/>
    <x v="2"/>
    <x v="0"/>
    <x v="1"/>
    <x v="2"/>
    <n v="7403"/>
    <x v="1"/>
    <n v="22477"/>
    <n v="4"/>
    <s v="Y"/>
    <x v="0"/>
    <n v="11"/>
    <n v="3"/>
    <n v="3"/>
    <n v="80"/>
    <n v="1"/>
    <n v="29"/>
    <n v="3"/>
    <x v="3"/>
    <x v="26"/>
    <x v="9"/>
    <n v="1"/>
  </r>
  <r>
    <s v="RM822"/>
    <n v="49"/>
    <x v="3"/>
    <s v="No"/>
    <n v="0"/>
    <s v="Travel_Rarely"/>
    <n v="174"/>
    <x v="1"/>
    <x v="3"/>
    <x v="3"/>
    <x v="3"/>
    <n v="1"/>
    <n v="1138"/>
    <x v="1"/>
    <x v="0"/>
    <n v="56"/>
    <n v="2"/>
    <x v="3"/>
    <x v="5"/>
    <x v="1"/>
    <x v="2"/>
    <n v="13120"/>
    <x v="2"/>
    <n v="11879"/>
    <n v="6"/>
    <s v="Y"/>
    <x v="0"/>
    <n v="17"/>
    <n v="3"/>
    <n v="2"/>
    <n v="80"/>
    <n v="1"/>
    <n v="22"/>
    <n v="3"/>
    <x v="0"/>
    <x v="9"/>
    <x v="7"/>
    <n v="2"/>
  </r>
  <r>
    <s v="RM900"/>
    <n v="49"/>
    <x v="3"/>
    <s v="No"/>
    <n v="0"/>
    <s v="Travel_Rarely"/>
    <n v="1098"/>
    <x v="0"/>
    <x v="12"/>
    <x v="1"/>
    <x v="1"/>
    <n v="1"/>
    <n v="1256"/>
    <x v="3"/>
    <x v="0"/>
    <n v="85"/>
    <n v="2"/>
    <x v="4"/>
    <x v="8"/>
    <x v="0"/>
    <x v="2"/>
    <n v="18711"/>
    <x v="3"/>
    <n v="12124"/>
    <n v="2"/>
    <s v="Y"/>
    <x v="0"/>
    <n v="13"/>
    <n v="3"/>
    <n v="3"/>
    <n v="80"/>
    <n v="1"/>
    <n v="23"/>
    <n v="2"/>
    <x v="1"/>
    <x v="1"/>
    <x v="0"/>
    <n v="0"/>
  </r>
  <r>
    <s v="RM1007"/>
    <n v="49"/>
    <x v="3"/>
    <s v="Yes"/>
    <n v="1"/>
    <s v="Travel_Frequently"/>
    <n v="1475"/>
    <x v="0"/>
    <x v="27"/>
    <x v="1"/>
    <x v="0"/>
    <n v="1"/>
    <n v="1420"/>
    <x v="3"/>
    <x v="0"/>
    <n v="97"/>
    <n v="2"/>
    <x v="1"/>
    <x v="0"/>
    <x v="3"/>
    <x v="0"/>
    <n v="4284"/>
    <x v="0"/>
    <n v="22710"/>
    <n v="3"/>
    <s v="Y"/>
    <x v="0"/>
    <n v="20"/>
    <n v="4"/>
    <n v="1"/>
    <n v="80"/>
    <n v="0"/>
    <n v="20"/>
    <n v="2"/>
    <x v="0"/>
    <x v="4"/>
    <x v="3"/>
    <n v="1"/>
  </r>
  <r>
    <s v="RM1045"/>
    <n v="49"/>
    <x v="3"/>
    <s v="No"/>
    <n v="0"/>
    <s v="Travel_Rarely"/>
    <n v="1495"/>
    <x v="0"/>
    <x v="2"/>
    <x v="3"/>
    <x v="3"/>
    <n v="1"/>
    <n v="1473"/>
    <x v="3"/>
    <x v="0"/>
    <n v="96"/>
    <n v="3"/>
    <x v="1"/>
    <x v="6"/>
    <x v="0"/>
    <x v="2"/>
    <n v="6651"/>
    <x v="1"/>
    <n v="21534"/>
    <n v="2"/>
    <s v="Y"/>
    <x v="0"/>
    <n v="14"/>
    <n v="3"/>
    <n v="2"/>
    <n v="80"/>
    <n v="1"/>
    <n v="20"/>
    <n v="0"/>
    <x v="3"/>
    <x v="3"/>
    <x v="2"/>
    <n v="1"/>
  </r>
  <r>
    <s v="RM1055"/>
    <n v="49"/>
    <x v="3"/>
    <s v="No"/>
    <n v="0"/>
    <s v="Travel_Rarely"/>
    <n v="1490"/>
    <x v="0"/>
    <x v="17"/>
    <x v="3"/>
    <x v="0"/>
    <n v="1"/>
    <n v="1484"/>
    <x v="0"/>
    <x v="0"/>
    <n v="35"/>
    <n v="3"/>
    <x v="2"/>
    <x v="6"/>
    <x v="1"/>
    <x v="1"/>
    <n v="10466"/>
    <x v="2"/>
    <n v="20948"/>
    <n v="3"/>
    <s v="Y"/>
    <x v="0"/>
    <n v="14"/>
    <n v="3"/>
    <n v="2"/>
    <n v="80"/>
    <n v="2"/>
    <n v="29"/>
    <n v="3"/>
    <x v="0"/>
    <x v="8"/>
    <x v="6"/>
    <n v="0"/>
  </r>
  <r>
    <s v="RM1072"/>
    <n v="49"/>
    <x v="3"/>
    <s v="No"/>
    <n v="0"/>
    <s v="Travel_Rarely"/>
    <n v="271"/>
    <x v="0"/>
    <x v="0"/>
    <x v="1"/>
    <x v="1"/>
    <n v="1"/>
    <n v="1509"/>
    <x v="0"/>
    <x v="1"/>
    <n v="43"/>
    <n v="2"/>
    <x v="1"/>
    <x v="0"/>
    <x v="3"/>
    <x v="2"/>
    <n v="4789"/>
    <x v="0"/>
    <n v="23070"/>
    <n v="4"/>
    <s v="Y"/>
    <x v="0"/>
    <n v="25"/>
    <n v="4"/>
    <n v="1"/>
    <n v="80"/>
    <n v="1"/>
    <n v="10"/>
    <n v="3"/>
    <x v="0"/>
    <x v="3"/>
    <x v="2"/>
    <n v="1"/>
  </r>
  <r>
    <s v="RM1148"/>
    <n v="49"/>
    <x v="3"/>
    <s v="No"/>
    <n v="0"/>
    <s v="Travel_Rarely"/>
    <n v="722"/>
    <x v="0"/>
    <x v="10"/>
    <x v="3"/>
    <x v="0"/>
    <n v="1"/>
    <n v="1617"/>
    <x v="0"/>
    <x v="1"/>
    <n v="84"/>
    <n v="3"/>
    <x v="0"/>
    <x v="0"/>
    <x v="3"/>
    <x v="2"/>
    <n v="3211"/>
    <x v="0"/>
    <n v="22102"/>
    <n v="1"/>
    <s v="Y"/>
    <x v="0"/>
    <n v="14"/>
    <n v="3"/>
    <n v="4"/>
    <n v="80"/>
    <n v="1"/>
    <n v="10"/>
    <n v="3"/>
    <x v="3"/>
    <x v="9"/>
    <x v="8"/>
    <n v="1"/>
  </r>
  <r>
    <s v="RM1177"/>
    <n v="49"/>
    <x v="3"/>
    <s v="No"/>
    <n v="0"/>
    <s v="Travel_Rarely"/>
    <n v="301"/>
    <x v="0"/>
    <x v="6"/>
    <x v="3"/>
    <x v="4"/>
    <n v="1"/>
    <n v="1655"/>
    <x v="3"/>
    <x v="1"/>
    <n v="72"/>
    <n v="3"/>
    <x v="3"/>
    <x v="7"/>
    <x v="1"/>
    <x v="2"/>
    <n v="16413"/>
    <x v="3"/>
    <n v="3498"/>
    <n v="3"/>
    <s v="Y"/>
    <x v="0"/>
    <n v="16"/>
    <n v="3"/>
    <n v="2"/>
    <n v="80"/>
    <n v="2"/>
    <n v="27"/>
    <n v="2"/>
    <x v="0"/>
    <x v="4"/>
    <x v="2"/>
    <n v="1"/>
  </r>
  <r>
    <s v="RM1182"/>
    <n v="49"/>
    <x v="3"/>
    <s v="No"/>
    <n v="0"/>
    <s v="Travel_Rarely"/>
    <n v="465"/>
    <x v="0"/>
    <x v="11"/>
    <x v="2"/>
    <x v="0"/>
    <n v="1"/>
    <n v="1661"/>
    <x v="0"/>
    <x v="1"/>
    <n v="41"/>
    <n v="2"/>
    <x v="3"/>
    <x v="6"/>
    <x v="0"/>
    <x v="2"/>
    <n v="13966"/>
    <x v="2"/>
    <n v="11652"/>
    <n v="2"/>
    <s v="Y"/>
    <x v="1"/>
    <n v="19"/>
    <n v="3"/>
    <n v="2"/>
    <n v="80"/>
    <n v="1"/>
    <n v="30"/>
    <n v="3"/>
    <x v="0"/>
    <x v="15"/>
    <x v="14"/>
    <n v="2"/>
  </r>
  <r>
    <s v="RM1193"/>
    <n v="49"/>
    <x v="3"/>
    <s v="No"/>
    <n v="0"/>
    <s v="Travel_Rarely"/>
    <n v="464"/>
    <x v="0"/>
    <x v="18"/>
    <x v="0"/>
    <x v="1"/>
    <n v="1"/>
    <n v="1674"/>
    <x v="1"/>
    <x v="1"/>
    <n v="74"/>
    <n v="3"/>
    <x v="0"/>
    <x v="0"/>
    <x v="3"/>
    <x v="1"/>
    <n v="2587"/>
    <x v="0"/>
    <n v="24941"/>
    <n v="4"/>
    <s v="Y"/>
    <x v="1"/>
    <n v="16"/>
    <n v="3"/>
    <n v="2"/>
    <n v="80"/>
    <n v="1"/>
    <n v="17"/>
    <n v="2"/>
    <x v="3"/>
    <x v="2"/>
    <x v="2"/>
    <n v="2"/>
  </r>
  <r>
    <s v="RM1196"/>
    <n v="49"/>
    <x v="3"/>
    <s v="No"/>
    <n v="0"/>
    <s v="Travel_Rarely"/>
    <n v="809"/>
    <x v="0"/>
    <x v="4"/>
    <x v="0"/>
    <x v="0"/>
    <n v="1"/>
    <n v="1677"/>
    <x v="0"/>
    <x v="0"/>
    <n v="36"/>
    <n v="3"/>
    <x v="3"/>
    <x v="8"/>
    <x v="0"/>
    <x v="0"/>
    <n v="15379"/>
    <x v="3"/>
    <n v="22384"/>
    <n v="4"/>
    <s v="Y"/>
    <x v="0"/>
    <n v="14"/>
    <n v="3"/>
    <n v="1"/>
    <n v="80"/>
    <n v="0"/>
    <n v="23"/>
    <n v="2"/>
    <x v="0"/>
    <x v="8"/>
    <x v="6"/>
    <n v="0"/>
  </r>
  <r>
    <s v="RM1255"/>
    <n v="49"/>
    <x v="3"/>
    <s v="No"/>
    <n v="0"/>
    <s v="Travel_Rarely"/>
    <n v="1313"/>
    <x v="1"/>
    <x v="13"/>
    <x v="3"/>
    <x v="2"/>
    <n v="1"/>
    <n v="1757"/>
    <x v="1"/>
    <x v="1"/>
    <n v="80"/>
    <n v="3"/>
    <x v="1"/>
    <x v="5"/>
    <x v="2"/>
    <x v="0"/>
    <n v="4507"/>
    <x v="0"/>
    <n v="8191"/>
    <n v="3"/>
    <s v="Y"/>
    <x v="0"/>
    <n v="12"/>
    <n v="3"/>
    <n v="3"/>
    <n v="80"/>
    <n v="0"/>
    <n v="8"/>
    <n v="1"/>
    <x v="1"/>
    <x v="5"/>
    <x v="1"/>
    <n v="0"/>
  </r>
  <r>
    <s v="RM1378"/>
    <n v="49"/>
    <x v="3"/>
    <s v="No"/>
    <n v="0"/>
    <s v="Travel_Frequently"/>
    <n v="1064"/>
    <x v="0"/>
    <x v="7"/>
    <x v="2"/>
    <x v="0"/>
    <n v="1"/>
    <n v="1941"/>
    <x v="2"/>
    <x v="0"/>
    <n v="42"/>
    <n v="3"/>
    <x v="4"/>
    <x v="7"/>
    <x v="2"/>
    <x v="2"/>
    <n v="19161"/>
    <x v="3"/>
    <n v="13738"/>
    <n v="3"/>
    <s v="Y"/>
    <x v="0"/>
    <n v="15"/>
    <n v="3"/>
    <n v="4"/>
    <n v="80"/>
    <n v="0"/>
    <n v="28"/>
    <n v="3"/>
    <x v="0"/>
    <x v="5"/>
    <x v="4"/>
    <n v="4"/>
  </r>
  <r>
    <s v="RM1469"/>
    <n v="49"/>
    <x v="3"/>
    <s v="No"/>
    <n v="0"/>
    <s v="Travel_Frequently"/>
    <n v="1023"/>
    <x v="1"/>
    <x v="7"/>
    <x v="0"/>
    <x v="1"/>
    <n v="1"/>
    <n v="2065"/>
    <x v="1"/>
    <x v="0"/>
    <n v="63"/>
    <n v="2"/>
    <x v="1"/>
    <x v="5"/>
    <x v="1"/>
    <x v="2"/>
    <n v="5390"/>
    <x v="1"/>
    <n v="13243"/>
    <n v="2"/>
    <s v="Y"/>
    <x v="0"/>
    <n v="14"/>
    <n v="3"/>
    <n v="4"/>
    <n v="80"/>
    <n v="0"/>
    <n v="17"/>
    <n v="3"/>
    <x v="3"/>
    <x v="9"/>
    <x v="8"/>
    <n v="0"/>
  </r>
  <r>
    <s v="RM037"/>
    <n v="50"/>
    <x v="3"/>
    <s v="Yes"/>
    <n v="1"/>
    <s v="Travel_Rarely"/>
    <n v="869"/>
    <x v="1"/>
    <x v="0"/>
    <x v="1"/>
    <x v="2"/>
    <n v="1"/>
    <n v="47"/>
    <x v="3"/>
    <x v="0"/>
    <n v="86"/>
    <n v="2"/>
    <x v="0"/>
    <x v="1"/>
    <x v="0"/>
    <x v="2"/>
    <n v="2683"/>
    <x v="0"/>
    <n v="3810"/>
    <n v="1"/>
    <s v="Y"/>
    <x v="1"/>
    <n v="14"/>
    <n v="3"/>
    <n v="3"/>
    <n v="80"/>
    <n v="0"/>
    <n v="3"/>
    <n v="2"/>
    <x v="0"/>
    <x v="3"/>
    <x v="2"/>
    <n v="0"/>
  </r>
  <r>
    <s v="RM063"/>
    <n v="50"/>
    <x v="3"/>
    <s v="No"/>
    <n v="0"/>
    <s v="Travel_Rarely"/>
    <n v="989"/>
    <x v="0"/>
    <x v="17"/>
    <x v="1"/>
    <x v="1"/>
    <n v="1"/>
    <n v="80"/>
    <x v="2"/>
    <x v="1"/>
    <n v="43"/>
    <n v="2"/>
    <x v="4"/>
    <x v="7"/>
    <x v="0"/>
    <x v="1"/>
    <n v="18740"/>
    <x v="3"/>
    <n v="16701"/>
    <n v="5"/>
    <s v="Y"/>
    <x v="1"/>
    <n v="12"/>
    <n v="3"/>
    <n v="4"/>
    <n v="80"/>
    <n v="1"/>
    <n v="29"/>
    <n v="2"/>
    <x v="3"/>
    <x v="28"/>
    <x v="3"/>
    <n v="13"/>
  </r>
  <r>
    <s v="RM107"/>
    <n v="50"/>
    <x v="3"/>
    <s v="No"/>
    <n v="0"/>
    <s v="Travel_Frequently"/>
    <n v="1115"/>
    <x v="0"/>
    <x v="4"/>
    <x v="0"/>
    <x v="0"/>
    <n v="1"/>
    <n v="141"/>
    <x v="3"/>
    <x v="1"/>
    <n v="73"/>
    <n v="3"/>
    <x v="4"/>
    <x v="7"/>
    <x v="1"/>
    <x v="2"/>
    <n v="18172"/>
    <x v="3"/>
    <n v="9755"/>
    <n v="3"/>
    <s v="Y"/>
    <x v="1"/>
    <n v="19"/>
    <n v="3"/>
    <n v="1"/>
    <n v="80"/>
    <n v="0"/>
    <n v="28"/>
    <n v="1"/>
    <x v="3"/>
    <x v="8"/>
    <x v="3"/>
    <n v="0"/>
  </r>
  <r>
    <s v="RM132"/>
    <n v="50"/>
    <x v="3"/>
    <s v="No"/>
    <n v="0"/>
    <s v="Travel_Frequently"/>
    <n v="809"/>
    <x v="1"/>
    <x v="15"/>
    <x v="0"/>
    <x v="2"/>
    <n v="1"/>
    <n v="174"/>
    <x v="0"/>
    <x v="1"/>
    <n v="77"/>
    <n v="3"/>
    <x v="2"/>
    <x v="5"/>
    <x v="2"/>
    <x v="0"/>
    <n v="9208"/>
    <x v="1"/>
    <n v="6645"/>
    <n v="4"/>
    <s v="Y"/>
    <x v="0"/>
    <n v="11"/>
    <n v="3"/>
    <n v="4"/>
    <n v="80"/>
    <n v="0"/>
    <n v="16"/>
    <n v="3"/>
    <x v="0"/>
    <x v="2"/>
    <x v="2"/>
    <n v="2"/>
  </r>
  <r>
    <s v="RM166"/>
    <n v="50"/>
    <x v="3"/>
    <s v="No"/>
    <n v="0"/>
    <s v="Travel_Rarely"/>
    <n v="1452"/>
    <x v="0"/>
    <x v="13"/>
    <x v="0"/>
    <x v="0"/>
    <n v="1"/>
    <n v="226"/>
    <x v="0"/>
    <x v="1"/>
    <n v="53"/>
    <n v="3"/>
    <x v="4"/>
    <x v="8"/>
    <x v="1"/>
    <x v="0"/>
    <n v="19926"/>
    <x v="3"/>
    <n v="17053"/>
    <n v="3"/>
    <s v="Y"/>
    <x v="0"/>
    <n v="15"/>
    <n v="3"/>
    <n v="2"/>
    <n v="80"/>
    <n v="0"/>
    <n v="21"/>
    <n v="5"/>
    <x v="0"/>
    <x v="5"/>
    <x v="4"/>
    <n v="4"/>
  </r>
  <r>
    <s v="RM184"/>
    <n v="50"/>
    <x v="3"/>
    <s v="No"/>
    <n v="0"/>
    <s v="Travel_Rarely"/>
    <n v="328"/>
    <x v="0"/>
    <x v="4"/>
    <x v="0"/>
    <x v="1"/>
    <n v="1"/>
    <n v="249"/>
    <x v="0"/>
    <x v="0"/>
    <n v="86"/>
    <n v="2"/>
    <x v="0"/>
    <x v="0"/>
    <x v="0"/>
    <x v="2"/>
    <n v="3690"/>
    <x v="0"/>
    <n v="3425"/>
    <n v="2"/>
    <s v="Y"/>
    <x v="0"/>
    <n v="15"/>
    <n v="3"/>
    <n v="4"/>
    <n v="80"/>
    <n v="1"/>
    <n v="5"/>
    <n v="2"/>
    <x v="3"/>
    <x v="3"/>
    <x v="2"/>
    <n v="0"/>
  </r>
  <r>
    <s v="RM234"/>
    <n v="50"/>
    <x v="3"/>
    <s v="No"/>
    <n v="0"/>
    <s v="Travel_Rarely"/>
    <n v="854"/>
    <x v="1"/>
    <x v="4"/>
    <x v="3"/>
    <x v="1"/>
    <n v="1"/>
    <n v="323"/>
    <x v="1"/>
    <x v="1"/>
    <n v="68"/>
    <n v="3"/>
    <x v="4"/>
    <x v="8"/>
    <x v="2"/>
    <x v="1"/>
    <n v="19517"/>
    <x v="3"/>
    <n v="24118"/>
    <n v="3"/>
    <s v="Y"/>
    <x v="0"/>
    <n v="11"/>
    <n v="3"/>
    <n v="3"/>
    <n v="80"/>
    <n v="1"/>
    <n v="32"/>
    <n v="3"/>
    <x v="3"/>
    <x v="7"/>
    <x v="0"/>
    <n v="0"/>
  </r>
  <r>
    <s v="RM280"/>
    <n v="50"/>
    <x v="3"/>
    <s v="No"/>
    <n v="0"/>
    <s v="Travel_Rarely"/>
    <n v="797"/>
    <x v="0"/>
    <x v="12"/>
    <x v="2"/>
    <x v="0"/>
    <n v="1"/>
    <n v="385"/>
    <x v="3"/>
    <x v="0"/>
    <n v="96"/>
    <n v="3"/>
    <x v="4"/>
    <x v="7"/>
    <x v="1"/>
    <x v="1"/>
    <n v="19144"/>
    <x v="3"/>
    <n v="15815"/>
    <n v="3"/>
    <s v="Y"/>
    <x v="0"/>
    <n v="14"/>
    <n v="3"/>
    <n v="1"/>
    <n v="80"/>
    <n v="2"/>
    <n v="28"/>
    <n v="4"/>
    <x v="3"/>
    <x v="10"/>
    <x v="4"/>
    <n v="1"/>
  </r>
  <r>
    <s v="RM368"/>
    <n v="50"/>
    <x v="3"/>
    <s v="No"/>
    <n v="0"/>
    <s v="Travel_Rarely"/>
    <n v="1046"/>
    <x v="0"/>
    <x v="1"/>
    <x v="0"/>
    <x v="3"/>
    <n v="1"/>
    <n v="491"/>
    <x v="1"/>
    <x v="0"/>
    <n v="100"/>
    <n v="2"/>
    <x v="2"/>
    <x v="6"/>
    <x v="2"/>
    <x v="0"/>
    <n v="10496"/>
    <x v="2"/>
    <n v="2755"/>
    <n v="6"/>
    <s v="Y"/>
    <x v="0"/>
    <n v="15"/>
    <n v="3"/>
    <n v="4"/>
    <n v="80"/>
    <n v="0"/>
    <n v="20"/>
    <n v="2"/>
    <x v="0"/>
    <x v="4"/>
    <x v="3"/>
    <n v="1"/>
  </r>
  <r>
    <s v="RM426"/>
    <n v="50"/>
    <x v="3"/>
    <s v="No"/>
    <n v="0"/>
    <s v="Travel_Rarely"/>
    <n v="1099"/>
    <x v="0"/>
    <x v="26"/>
    <x v="3"/>
    <x v="0"/>
    <n v="1"/>
    <n v="569"/>
    <x v="2"/>
    <x v="0"/>
    <n v="88"/>
    <n v="2"/>
    <x v="3"/>
    <x v="8"/>
    <x v="0"/>
    <x v="2"/>
    <n v="17046"/>
    <x v="3"/>
    <n v="9314"/>
    <n v="0"/>
    <s v="Y"/>
    <x v="0"/>
    <n v="15"/>
    <n v="3"/>
    <n v="2"/>
    <n v="80"/>
    <n v="1"/>
    <n v="28"/>
    <n v="2"/>
    <x v="0"/>
    <x v="28"/>
    <x v="10"/>
    <n v="15"/>
  </r>
  <r>
    <s v="RM478"/>
    <n v="50"/>
    <x v="3"/>
    <s v="No"/>
    <n v="0"/>
    <s v="Travel_Frequently"/>
    <n v="1246"/>
    <x v="2"/>
    <x v="0"/>
    <x v="0"/>
    <x v="1"/>
    <n v="1"/>
    <n v="644"/>
    <x v="3"/>
    <x v="0"/>
    <n v="99"/>
    <n v="3"/>
    <x v="4"/>
    <x v="8"/>
    <x v="1"/>
    <x v="2"/>
    <n v="18200"/>
    <x v="3"/>
    <n v="7999"/>
    <n v="1"/>
    <s v="Y"/>
    <x v="0"/>
    <n v="11"/>
    <n v="3"/>
    <n v="3"/>
    <n v="80"/>
    <n v="1"/>
    <n v="32"/>
    <n v="2"/>
    <x v="0"/>
    <x v="29"/>
    <x v="5"/>
    <n v="10"/>
  </r>
  <r>
    <s v="RM524"/>
    <n v="50"/>
    <x v="3"/>
    <s v="No"/>
    <n v="0"/>
    <s v="Travel_Rarely"/>
    <n v="1207"/>
    <x v="0"/>
    <x v="27"/>
    <x v="2"/>
    <x v="1"/>
    <n v="1"/>
    <n v="716"/>
    <x v="1"/>
    <x v="0"/>
    <n v="74"/>
    <n v="4"/>
    <x v="0"/>
    <x v="0"/>
    <x v="0"/>
    <x v="2"/>
    <n v="3221"/>
    <x v="0"/>
    <n v="3297"/>
    <n v="1"/>
    <s v="Y"/>
    <x v="1"/>
    <n v="11"/>
    <n v="3"/>
    <n v="3"/>
    <n v="80"/>
    <n v="3"/>
    <n v="20"/>
    <n v="3"/>
    <x v="0"/>
    <x v="20"/>
    <x v="7"/>
    <n v="3"/>
  </r>
  <r>
    <s v="RM529"/>
    <n v="50"/>
    <x v="3"/>
    <s v="Yes"/>
    <n v="1"/>
    <s v="Travel_Frequently"/>
    <n v="562"/>
    <x v="1"/>
    <x v="3"/>
    <x v="1"/>
    <x v="3"/>
    <n v="1"/>
    <n v="723"/>
    <x v="2"/>
    <x v="0"/>
    <n v="50"/>
    <n v="3"/>
    <x v="1"/>
    <x v="5"/>
    <x v="0"/>
    <x v="2"/>
    <n v="6796"/>
    <x v="1"/>
    <n v="23452"/>
    <n v="3"/>
    <s v="Y"/>
    <x v="1"/>
    <n v="14"/>
    <n v="3"/>
    <n v="1"/>
    <n v="80"/>
    <n v="1"/>
    <n v="18"/>
    <n v="4"/>
    <x v="0"/>
    <x v="4"/>
    <x v="3"/>
    <n v="1"/>
  </r>
  <r>
    <s v="RM540"/>
    <n v="50"/>
    <x v="3"/>
    <s v="No"/>
    <n v="0"/>
    <s v="Travel_Rarely"/>
    <n v="316"/>
    <x v="1"/>
    <x v="3"/>
    <x v="3"/>
    <x v="2"/>
    <n v="1"/>
    <n v="738"/>
    <x v="1"/>
    <x v="0"/>
    <n v="54"/>
    <n v="3"/>
    <x v="0"/>
    <x v="1"/>
    <x v="1"/>
    <x v="2"/>
    <n v="3875"/>
    <x v="0"/>
    <n v="9983"/>
    <n v="7"/>
    <s v="Y"/>
    <x v="0"/>
    <n v="15"/>
    <n v="3"/>
    <n v="4"/>
    <n v="80"/>
    <n v="1"/>
    <n v="4"/>
    <n v="2"/>
    <x v="0"/>
    <x v="2"/>
    <x v="2"/>
    <n v="2"/>
  </r>
  <r>
    <s v="RM589"/>
    <n v="50"/>
    <x v="3"/>
    <s v="No"/>
    <n v="0"/>
    <s v="Travel_Rarely"/>
    <n v="691"/>
    <x v="0"/>
    <x v="7"/>
    <x v="0"/>
    <x v="1"/>
    <n v="1"/>
    <n v="815"/>
    <x v="0"/>
    <x v="0"/>
    <n v="64"/>
    <n v="3"/>
    <x v="3"/>
    <x v="7"/>
    <x v="0"/>
    <x v="2"/>
    <n v="17639"/>
    <x v="3"/>
    <n v="6881"/>
    <n v="5"/>
    <s v="Y"/>
    <x v="0"/>
    <n v="16"/>
    <n v="3"/>
    <n v="4"/>
    <n v="80"/>
    <n v="0"/>
    <n v="30"/>
    <n v="3"/>
    <x v="0"/>
    <x v="4"/>
    <x v="3"/>
    <n v="0"/>
  </r>
  <r>
    <s v="RM654"/>
    <n v="50"/>
    <x v="3"/>
    <s v="No"/>
    <n v="0"/>
    <s v="Non-Travel"/>
    <n v="881"/>
    <x v="0"/>
    <x v="7"/>
    <x v="3"/>
    <x v="0"/>
    <n v="1"/>
    <n v="905"/>
    <x v="3"/>
    <x v="0"/>
    <n v="98"/>
    <n v="3"/>
    <x v="3"/>
    <x v="8"/>
    <x v="3"/>
    <x v="1"/>
    <n v="17924"/>
    <x v="3"/>
    <n v="4544"/>
    <n v="1"/>
    <s v="Y"/>
    <x v="0"/>
    <n v="11"/>
    <n v="3"/>
    <n v="4"/>
    <n v="80"/>
    <n v="1"/>
    <n v="31"/>
    <n v="3"/>
    <x v="0"/>
    <x v="27"/>
    <x v="8"/>
    <n v="14"/>
  </r>
  <r>
    <s v="RM715"/>
    <n v="50"/>
    <x v="3"/>
    <s v="No"/>
    <n v="0"/>
    <s v="Travel_Rarely"/>
    <n v="1126"/>
    <x v="0"/>
    <x v="4"/>
    <x v="1"/>
    <x v="1"/>
    <n v="1"/>
    <n v="997"/>
    <x v="1"/>
    <x v="0"/>
    <n v="66"/>
    <n v="3"/>
    <x v="3"/>
    <x v="7"/>
    <x v="2"/>
    <x v="1"/>
    <n v="17399"/>
    <x v="3"/>
    <n v="6615"/>
    <n v="9"/>
    <s v="Y"/>
    <x v="0"/>
    <n v="22"/>
    <n v="4"/>
    <n v="3"/>
    <n v="80"/>
    <n v="1"/>
    <n v="32"/>
    <n v="1"/>
    <x v="3"/>
    <x v="5"/>
    <x v="4"/>
    <n v="1"/>
  </r>
  <r>
    <s v="RM722"/>
    <n v="50"/>
    <x v="3"/>
    <s v="No"/>
    <n v="0"/>
    <s v="Travel_Rarely"/>
    <n v="939"/>
    <x v="0"/>
    <x v="22"/>
    <x v="0"/>
    <x v="0"/>
    <n v="1"/>
    <n v="1005"/>
    <x v="1"/>
    <x v="0"/>
    <n v="95"/>
    <n v="3"/>
    <x v="3"/>
    <x v="4"/>
    <x v="0"/>
    <x v="2"/>
    <n v="13973"/>
    <x v="2"/>
    <n v="4161"/>
    <n v="3"/>
    <s v="Y"/>
    <x v="1"/>
    <n v="18"/>
    <n v="3"/>
    <n v="4"/>
    <n v="80"/>
    <n v="1"/>
    <n v="22"/>
    <n v="2"/>
    <x v="0"/>
    <x v="12"/>
    <x v="14"/>
    <n v="1"/>
  </r>
  <r>
    <s v="RM743"/>
    <n v="50"/>
    <x v="3"/>
    <s v="No"/>
    <n v="0"/>
    <s v="Travel_Rarely"/>
    <n v="804"/>
    <x v="0"/>
    <x v="9"/>
    <x v="0"/>
    <x v="0"/>
    <n v="1"/>
    <n v="1030"/>
    <x v="3"/>
    <x v="0"/>
    <n v="64"/>
    <n v="3"/>
    <x v="0"/>
    <x v="0"/>
    <x v="2"/>
    <x v="2"/>
    <n v="2380"/>
    <x v="0"/>
    <n v="20165"/>
    <n v="4"/>
    <s v="Y"/>
    <x v="0"/>
    <n v="18"/>
    <n v="3"/>
    <n v="2"/>
    <n v="80"/>
    <n v="0"/>
    <n v="8"/>
    <n v="5"/>
    <x v="0"/>
    <x v="1"/>
    <x v="0"/>
    <n v="0"/>
  </r>
  <r>
    <s v="RM752"/>
    <n v="50"/>
    <x v="3"/>
    <s v="No"/>
    <n v="0"/>
    <s v="Non-Travel"/>
    <n v="145"/>
    <x v="1"/>
    <x v="4"/>
    <x v="0"/>
    <x v="0"/>
    <n v="1"/>
    <n v="1040"/>
    <x v="1"/>
    <x v="1"/>
    <n v="95"/>
    <n v="3"/>
    <x v="1"/>
    <x v="5"/>
    <x v="0"/>
    <x v="2"/>
    <n v="6347"/>
    <x v="1"/>
    <n v="24920"/>
    <n v="0"/>
    <s v="Y"/>
    <x v="0"/>
    <n v="12"/>
    <n v="3"/>
    <n v="1"/>
    <n v="80"/>
    <n v="1"/>
    <n v="19"/>
    <n v="3"/>
    <x v="0"/>
    <x v="18"/>
    <x v="6"/>
    <n v="0"/>
  </r>
  <r>
    <s v="RM767"/>
    <n v="50"/>
    <x v="3"/>
    <s v="No"/>
    <n v="0"/>
    <s v="Travel_Rarely"/>
    <n v="1464"/>
    <x v="0"/>
    <x v="7"/>
    <x v="3"/>
    <x v="1"/>
    <n v="1"/>
    <n v="1061"/>
    <x v="2"/>
    <x v="0"/>
    <n v="62"/>
    <n v="3"/>
    <x v="4"/>
    <x v="7"/>
    <x v="0"/>
    <x v="2"/>
    <n v="19237"/>
    <x v="3"/>
    <n v="12853"/>
    <n v="2"/>
    <s v="Y"/>
    <x v="1"/>
    <n v="11"/>
    <n v="3"/>
    <n v="4"/>
    <n v="80"/>
    <n v="1"/>
    <n v="29"/>
    <n v="2"/>
    <x v="3"/>
    <x v="8"/>
    <x v="1"/>
    <n v="7"/>
  </r>
  <r>
    <s v="RM802"/>
    <n v="50"/>
    <x v="3"/>
    <s v="Yes"/>
    <n v="1"/>
    <s v="Travel_Frequently"/>
    <n v="959"/>
    <x v="1"/>
    <x v="4"/>
    <x v="3"/>
    <x v="4"/>
    <n v="1"/>
    <n v="1113"/>
    <x v="1"/>
    <x v="0"/>
    <n v="81"/>
    <n v="3"/>
    <x v="1"/>
    <x v="5"/>
    <x v="0"/>
    <x v="0"/>
    <n v="4728"/>
    <x v="0"/>
    <n v="17251"/>
    <n v="3"/>
    <s v="Y"/>
    <x v="1"/>
    <n v="14"/>
    <n v="3"/>
    <n v="4"/>
    <n v="80"/>
    <n v="0"/>
    <n v="5"/>
    <n v="4"/>
    <x v="0"/>
    <x v="0"/>
    <x v="0"/>
    <n v="0"/>
  </r>
  <r>
    <s v="RM868"/>
    <n v="50"/>
    <x v="3"/>
    <s v="No"/>
    <n v="0"/>
    <s v="Travel_Frequently"/>
    <n v="1421"/>
    <x v="0"/>
    <x v="7"/>
    <x v="0"/>
    <x v="1"/>
    <n v="1"/>
    <n v="1215"/>
    <x v="1"/>
    <x v="1"/>
    <n v="30"/>
    <n v="3"/>
    <x v="3"/>
    <x v="8"/>
    <x v="3"/>
    <x v="2"/>
    <n v="17856"/>
    <x v="3"/>
    <n v="9490"/>
    <n v="2"/>
    <s v="Y"/>
    <x v="0"/>
    <n v="22"/>
    <n v="4"/>
    <n v="3"/>
    <n v="80"/>
    <n v="1"/>
    <n v="32"/>
    <n v="3"/>
    <x v="0"/>
    <x v="2"/>
    <x v="2"/>
    <n v="2"/>
  </r>
  <r>
    <s v="RM946"/>
    <n v="50"/>
    <x v="3"/>
    <s v="No"/>
    <n v="0"/>
    <s v="Travel_Rarely"/>
    <n v="1322"/>
    <x v="0"/>
    <x v="27"/>
    <x v="0"/>
    <x v="0"/>
    <n v="1"/>
    <n v="1317"/>
    <x v="1"/>
    <x v="1"/>
    <n v="43"/>
    <n v="3"/>
    <x v="3"/>
    <x v="7"/>
    <x v="3"/>
    <x v="2"/>
    <n v="16880"/>
    <x v="3"/>
    <n v="22422"/>
    <n v="4"/>
    <s v="Y"/>
    <x v="1"/>
    <n v="11"/>
    <n v="3"/>
    <n v="2"/>
    <n v="80"/>
    <n v="0"/>
    <n v="25"/>
    <n v="2"/>
    <x v="0"/>
    <x v="3"/>
    <x v="2"/>
    <n v="1"/>
  </r>
  <r>
    <s v="RM1087"/>
    <n v="50"/>
    <x v="3"/>
    <s v="No"/>
    <n v="0"/>
    <s v="Travel_Frequently"/>
    <n v="333"/>
    <x v="0"/>
    <x v="6"/>
    <x v="4"/>
    <x v="1"/>
    <n v="1"/>
    <n v="1539"/>
    <x v="0"/>
    <x v="0"/>
    <n v="88"/>
    <n v="1"/>
    <x v="3"/>
    <x v="7"/>
    <x v="2"/>
    <x v="0"/>
    <n v="14411"/>
    <x v="2"/>
    <n v="24450"/>
    <n v="1"/>
    <s v="Y"/>
    <x v="1"/>
    <n v="13"/>
    <n v="3"/>
    <n v="4"/>
    <n v="80"/>
    <n v="0"/>
    <n v="32"/>
    <n v="2"/>
    <x v="0"/>
    <x v="29"/>
    <x v="8"/>
    <n v="13"/>
  </r>
  <r>
    <s v="RM1127"/>
    <n v="50"/>
    <x v="3"/>
    <s v="No"/>
    <n v="0"/>
    <s v="Travel_Rarely"/>
    <n v="264"/>
    <x v="1"/>
    <x v="9"/>
    <x v="0"/>
    <x v="2"/>
    <n v="1"/>
    <n v="1591"/>
    <x v="0"/>
    <x v="0"/>
    <n v="59"/>
    <n v="3"/>
    <x v="4"/>
    <x v="8"/>
    <x v="0"/>
    <x v="2"/>
    <n v="19331"/>
    <x v="3"/>
    <n v="19519"/>
    <n v="4"/>
    <s v="Y"/>
    <x v="1"/>
    <n v="16"/>
    <n v="3"/>
    <n v="3"/>
    <n v="80"/>
    <n v="1"/>
    <n v="27"/>
    <n v="2"/>
    <x v="0"/>
    <x v="1"/>
    <x v="0"/>
    <n v="0"/>
  </r>
  <r>
    <s v="RM1139"/>
    <n v="50"/>
    <x v="3"/>
    <s v="No"/>
    <n v="0"/>
    <s v="Travel_Frequently"/>
    <n v="1234"/>
    <x v="0"/>
    <x v="21"/>
    <x v="4"/>
    <x v="1"/>
    <n v="1"/>
    <n v="1606"/>
    <x v="2"/>
    <x v="0"/>
    <n v="41"/>
    <n v="3"/>
    <x v="3"/>
    <x v="6"/>
    <x v="0"/>
    <x v="2"/>
    <n v="11245"/>
    <x v="2"/>
    <n v="20689"/>
    <n v="2"/>
    <s v="Y"/>
    <x v="1"/>
    <n v="15"/>
    <n v="3"/>
    <n v="3"/>
    <n v="80"/>
    <n v="1"/>
    <n v="32"/>
    <n v="3"/>
    <x v="0"/>
    <x v="30"/>
    <x v="7"/>
    <n v="12"/>
  </r>
  <r>
    <s v="RM1178"/>
    <n v="50"/>
    <x v="3"/>
    <s v="No"/>
    <n v="0"/>
    <s v="Travel_Rarely"/>
    <n v="813"/>
    <x v="0"/>
    <x v="24"/>
    <x v="4"/>
    <x v="0"/>
    <n v="1"/>
    <n v="1656"/>
    <x v="1"/>
    <x v="1"/>
    <n v="50"/>
    <n v="2"/>
    <x v="2"/>
    <x v="7"/>
    <x v="3"/>
    <x v="1"/>
    <n v="13269"/>
    <x v="2"/>
    <n v="21981"/>
    <n v="5"/>
    <s v="Y"/>
    <x v="0"/>
    <n v="15"/>
    <n v="3"/>
    <n v="3"/>
    <n v="80"/>
    <n v="3"/>
    <n v="19"/>
    <n v="3"/>
    <x v="0"/>
    <x v="14"/>
    <x v="14"/>
    <n v="1"/>
  </r>
  <r>
    <s v="RM1453"/>
    <n v="50"/>
    <x v="3"/>
    <s v="Yes"/>
    <n v="1"/>
    <s v="Travel_Frequently"/>
    <n v="878"/>
    <x v="1"/>
    <x v="4"/>
    <x v="3"/>
    <x v="0"/>
    <n v="1"/>
    <n v="2044"/>
    <x v="2"/>
    <x v="0"/>
    <n v="94"/>
    <n v="3"/>
    <x v="1"/>
    <x v="5"/>
    <x v="0"/>
    <x v="1"/>
    <n v="6728"/>
    <x v="1"/>
    <n v="14255"/>
    <n v="7"/>
    <s v="Y"/>
    <x v="0"/>
    <n v="12"/>
    <n v="3"/>
    <n v="4"/>
    <n v="80"/>
    <n v="2"/>
    <n v="12"/>
    <n v="3"/>
    <x v="0"/>
    <x v="6"/>
    <x v="3"/>
    <n v="0"/>
  </r>
  <r>
    <s v="RM1462"/>
    <n v="50"/>
    <x v="3"/>
    <s v="Yes"/>
    <n v="1"/>
    <s v="Travel_Rarely"/>
    <n v="410"/>
    <x v="1"/>
    <x v="27"/>
    <x v="0"/>
    <x v="2"/>
    <n v="1"/>
    <n v="2055"/>
    <x v="1"/>
    <x v="0"/>
    <n v="39"/>
    <n v="2"/>
    <x v="2"/>
    <x v="5"/>
    <x v="3"/>
    <x v="1"/>
    <n v="10854"/>
    <x v="2"/>
    <n v="16586"/>
    <n v="4"/>
    <s v="Y"/>
    <x v="1"/>
    <n v="13"/>
    <n v="3"/>
    <n v="2"/>
    <n v="80"/>
    <n v="1"/>
    <n v="20"/>
    <n v="3"/>
    <x v="0"/>
    <x v="3"/>
    <x v="2"/>
    <n v="2"/>
  </r>
  <r>
    <s v="RM088"/>
    <n v="51"/>
    <x v="3"/>
    <s v="No"/>
    <n v="0"/>
    <s v="Travel_Rarely"/>
    <n v="432"/>
    <x v="0"/>
    <x v="9"/>
    <x v="3"/>
    <x v="0"/>
    <n v="1"/>
    <n v="116"/>
    <x v="1"/>
    <x v="0"/>
    <n v="96"/>
    <n v="3"/>
    <x v="0"/>
    <x v="0"/>
    <x v="2"/>
    <x v="2"/>
    <n v="2075"/>
    <x v="0"/>
    <n v="18725"/>
    <n v="3"/>
    <s v="Y"/>
    <x v="0"/>
    <n v="23"/>
    <n v="4"/>
    <n v="2"/>
    <n v="80"/>
    <n v="2"/>
    <n v="10"/>
    <n v="4"/>
    <x v="0"/>
    <x v="4"/>
    <x v="2"/>
    <n v="0"/>
  </r>
  <r>
    <s v="RM092"/>
    <n v="51"/>
    <x v="3"/>
    <s v="No"/>
    <n v="0"/>
    <s v="Travel_Rarely"/>
    <n v="632"/>
    <x v="1"/>
    <x v="8"/>
    <x v="3"/>
    <x v="2"/>
    <n v="1"/>
    <n v="120"/>
    <x v="0"/>
    <x v="0"/>
    <n v="71"/>
    <n v="3"/>
    <x v="1"/>
    <x v="5"/>
    <x v="2"/>
    <x v="0"/>
    <n v="5441"/>
    <x v="1"/>
    <n v="8423"/>
    <n v="0"/>
    <s v="Y"/>
    <x v="1"/>
    <n v="22"/>
    <n v="4"/>
    <n v="4"/>
    <n v="80"/>
    <n v="0"/>
    <n v="11"/>
    <n v="2"/>
    <x v="2"/>
    <x v="10"/>
    <x v="6"/>
    <n v="1"/>
  </r>
  <r>
    <s v="RM111"/>
    <n v="51"/>
    <x v="3"/>
    <s v="No"/>
    <n v="0"/>
    <s v="Travel_Frequently"/>
    <n v="1456"/>
    <x v="0"/>
    <x v="4"/>
    <x v="3"/>
    <x v="1"/>
    <n v="1"/>
    <n v="145"/>
    <x v="3"/>
    <x v="1"/>
    <n v="30"/>
    <n v="2"/>
    <x v="2"/>
    <x v="6"/>
    <x v="3"/>
    <x v="0"/>
    <n v="7484"/>
    <x v="1"/>
    <n v="25796"/>
    <n v="3"/>
    <s v="Y"/>
    <x v="0"/>
    <n v="20"/>
    <n v="4"/>
    <n v="3"/>
    <n v="80"/>
    <n v="0"/>
    <n v="23"/>
    <n v="1"/>
    <x v="3"/>
    <x v="13"/>
    <x v="11"/>
    <n v="12"/>
  </r>
  <r>
    <s v="RM124"/>
    <n v="51"/>
    <x v="3"/>
    <s v="No"/>
    <n v="0"/>
    <s v="Travel_Rarely"/>
    <n v="684"/>
    <x v="0"/>
    <x v="11"/>
    <x v="0"/>
    <x v="0"/>
    <n v="1"/>
    <n v="162"/>
    <x v="3"/>
    <x v="0"/>
    <n v="51"/>
    <n v="3"/>
    <x v="4"/>
    <x v="7"/>
    <x v="0"/>
    <x v="0"/>
    <n v="19537"/>
    <x v="3"/>
    <n v="6462"/>
    <n v="7"/>
    <s v="Y"/>
    <x v="0"/>
    <n v="13"/>
    <n v="3"/>
    <n v="3"/>
    <n v="80"/>
    <n v="0"/>
    <n v="23"/>
    <n v="5"/>
    <x v="0"/>
    <x v="20"/>
    <x v="18"/>
    <n v="15"/>
  </r>
  <r>
    <s v="RM137"/>
    <n v="51"/>
    <x v="3"/>
    <s v="Yes"/>
    <n v="1"/>
    <s v="Travel_Frequently"/>
    <n v="1150"/>
    <x v="0"/>
    <x v="3"/>
    <x v="3"/>
    <x v="0"/>
    <n v="1"/>
    <n v="179"/>
    <x v="3"/>
    <x v="0"/>
    <n v="53"/>
    <n v="1"/>
    <x v="2"/>
    <x v="4"/>
    <x v="2"/>
    <x v="0"/>
    <n v="10650"/>
    <x v="2"/>
    <n v="25150"/>
    <n v="2"/>
    <s v="Y"/>
    <x v="0"/>
    <n v="15"/>
    <n v="3"/>
    <n v="4"/>
    <n v="80"/>
    <n v="0"/>
    <n v="18"/>
    <n v="2"/>
    <x v="0"/>
    <x v="4"/>
    <x v="2"/>
    <n v="0"/>
  </r>
  <r>
    <s v="RM157"/>
    <n v="51"/>
    <x v="3"/>
    <s v="No"/>
    <n v="0"/>
    <s v="Travel_Rarely"/>
    <n v="1169"/>
    <x v="0"/>
    <x v="17"/>
    <x v="3"/>
    <x v="1"/>
    <n v="1"/>
    <n v="211"/>
    <x v="2"/>
    <x v="0"/>
    <n v="34"/>
    <n v="2"/>
    <x v="1"/>
    <x v="4"/>
    <x v="0"/>
    <x v="2"/>
    <n v="6132"/>
    <x v="1"/>
    <n v="13983"/>
    <n v="2"/>
    <s v="Y"/>
    <x v="0"/>
    <n v="17"/>
    <n v="3"/>
    <n v="3"/>
    <n v="80"/>
    <n v="0"/>
    <n v="10"/>
    <n v="2"/>
    <x v="0"/>
    <x v="1"/>
    <x v="0"/>
    <n v="0"/>
  </r>
  <r>
    <s v="RM190"/>
    <n v="51"/>
    <x v="3"/>
    <s v="No"/>
    <n v="0"/>
    <s v="Travel_Rarely"/>
    <n v="313"/>
    <x v="0"/>
    <x v="0"/>
    <x v="0"/>
    <x v="1"/>
    <n v="1"/>
    <n v="258"/>
    <x v="1"/>
    <x v="1"/>
    <n v="98"/>
    <n v="3"/>
    <x v="3"/>
    <x v="6"/>
    <x v="1"/>
    <x v="0"/>
    <n v="13734"/>
    <x v="2"/>
    <n v="7192"/>
    <n v="3"/>
    <s v="Y"/>
    <x v="0"/>
    <n v="18"/>
    <n v="3"/>
    <n v="3"/>
    <n v="80"/>
    <n v="0"/>
    <n v="21"/>
    <n v="6"/>
    <x v="0"/>
    <x v="7"/>
    <x v="6"/>
    <n v="1"/>
  </r>
  <r>
    <s v="RM214"/>
    <n v="51"/>
    <x v="3"/>
    <s v="No"/>
    <n v="0"/>
    <s v="Travel_Rarely"/>
    <n v="1469"/>
    <x v="0"/>
    <x v="3"/>
    <x v="3"/>
    <x v="0"/>
    <n v="1"/>
    <n v="296"/>
    <x v="2"/>
    <x v="0"/>
    <n v="81"/>
    <n v="2"/>
    <x v="2"/>
    <x v="7"/>
    <x v="1"/>
    <x v="2"/>
    <n v="12490"/>
    <x v="2"/>
    <n v="15736"/>
    <n v="5"/>
    <s v="Y"/>
    <x v="0"/>
    <n v="16"/>
    <n v="3"/>
    <n v="4"/>
    <n v="80"/>
    <n v="2"/>
    <n v="16"/>
    <n v="5"/>
    <x v="2"/>
    <x v="10"/>
    <x v="9"/>
    <n v="4"/>
  </r>
  <r>
    <s v="RM259"/>
    <n v="51"/>
    <x v="3"/>
    <s v="No"/>
    <n v="0"/>
    <s v="Travel_Rarely"/>
    <n v="833"/>
    <x v="0"/>
    <x v="4"/>
    <x v="0"/>
    <x v="0"/>
    <n v="1"/>
    <n v="353"/>
    <x v="0"/>
    <x v="0"/>
    <n v="96"/>
    <n v="3"/>
    <x v="0"/>
    <x v="2"/>
    <x v="2"/>
    <x v="2"/>
    <n v="2723"/>
    <x v="0"/>
    <n v="23231"/>
    <n v="1"/>
    <s v="Y"/>
    <x v="0"/>
    <n v="11"/>
    <n v="3"/>
    <n v="2"/>
    <n v="80"/>
    <n v="0"/>
    <n v="1"/>
    <n v="0"/>
    <x v="3"/>
    <x v="1"/>
    <x v="0"/>
    <n v="0"/>
  </r>
  <r>
    <s v="RM300"/>
    <n v="51"/>
    <x v="3"/>
    <s v="No"/>
    <n v="0"/>
    <s v="Travel_Rarely"/>
    <n v="1302"/>
    <x v="0"/>
    <x v="7"/>
    <x v="0"/>
    <x v="1"/>
    <n v="1"/>
    <n v="408"/>
    <x v="1"/>
    <x v="0"/>
    <n v="84"/>
    <n v="1"/>
    <x v="1"/>
    <x v="4"/>
    <x v="1"/>
    <x v="1"/>
    <n v="5482"/>
    <x v="1"/>
    <n v="16321"/>
    <n v="5"/>
    <s v="Y"/>
    <x v="0"/>
    <n v="18"/>
    <n v="3"/>
    <n v="4"/>
    <n v="80"/>
    <n v="1"/>
    <n v="13"/>
    <n v="3"/>
    <x v="0"/>
    <x v="4"/>
    <x v="1"/>
    <n v="1"/>
  </r>
  <r>
    <s v="RM377"/>
    <n v="51"/>
    <x v="3"/>
    <s v="No"/>
    <n v="0"/>
    <s v="Travel_Rarely"/>
    <n v="1178"/>
    <x v="1"/>
    <x v="5"/>
    <x v="1"/>
    <x v="0"/>
    <n v="1"/>
    <n v="500"/>
    <x v="0"/>
    <x v="1"/>
    <n v="87"/>
    <n v="3"/>
    <x v="1"/>
    <x v="5"/>
    <x v="2"/>
    <x v="2"/>
    <n v="4936"/>
    <x v="0"/>
    <n v="14862"/>
    <n v="4"/>
    <s v="Y"/>
    <x v="0"/>
    <n v="11"/>
    <n v="3"/>
    <n v="3"/>
    <n v="80"/>
    <n v="1"/>
    <n v="18"/>
    <n v="2"/>
    <x v="3"/>
    <x v="7"/>
    <x v="6"/>
    <n v="0"/>
  </r>
  <r>
    <s v="RM617"/>
    <n v="51"/>
    <x v="3"/>
    <s v="No"/>
    <n v="0"/>
    <s v="Travel_Rarely"/>
    <n v="1318"/>
    <x v="1"/>
    <x v="20"/>
    <x v="3"/>
    <x v="2"/>
    <n v="1"/>
    <n v="851"/>
    <x v="3"/>
    <x v="1"/>
    <n v="66"/>
    <n v="3"/>
    <x v="3"/>
    <x v="8"/>
    <x v="0"/>
    <x v="2"/>
    <n v="16307"/>
    <x v="3"/>
    <n v="5594"/>
    <n v="2"/>
    <s v="Y"/>
    <x v="0"/>
    <n v="14"/>
    <n v="3"/>
    <n v="3"/>
    <n v="80"/>
    <n v="1"/>
    <n v="29"/>
    <n v="2"/>
    <x v="3"/>
    <x v="20"/>
    <x v="8"/>
    <n v="4"/>
  </r>
  <r>
    <s v="RM780"/>
    <n v="51"/>
    <x v="3"/>
    <s v="Yes"/>
    <n v="1"/>
    <s v="Travel_Rarely"/>
    <n v="1323"/>
    <x v="0"/>
    <x v="12"/>
    <x v="3"/>
    <x v="0"/>
    <n v="1"/>
    <n v="1081"/>
    <x v="3"/>
    <x v="0"/>
    <n v="34"/>
    <n v="3"/>
    <x v="0"/>
    <x v="2"/>
    <x v="0"/>
    <x v="2"/>
    <n v="2461"/>
    <x v="0"/>
    <n v="10332"/>
    <n v="9"/>
    <s v="Y"/>
    <x v="1"/>
    <n v="12"/>
    <n v="3"/>
    <n v="3"/>
    <n v="80"/>
    <n v="3"/>
    <n v="18"/>
    <n v="2"/>
    <x v="1"/>
    <x v="10"/>
    <x v="0"/>
    <n v="2"/>
  </r>
  <r>
    <s v="RM919"/>
    <n v="51"/>
    <x v="3"/>
    <s v="No"/>
    <n v="0"/>
    <s v="Travel_Frequently"/>
    <n v="237"/>
    <x v="1"/>
    <x v="9"/>
    <x v="0"/>
    <x v="0"/>
    <n v="1"/>
    <n v="1282"/>
    <x v="1"/>
    <x v="0"/>
    <n v="83"/>
    <n v="3"/>
    <x v="4"/>
    <x v="8"/>
    <x v="1"/>
    <x v="1"/>
    <n v="19847"/>
    <x v="3"/>
    <n v="19196"/>
    <n v="4"/>
    <s v="Y"/>
    <x v="1"/>
    <n v="24"/>
    <n v="4"/>
    <n v="1"/>
    <n v="80"/>
    <n v="1"/>
    <n v="31"/>
    <n v="5"/>
    <x v="3"/>
    <x v="31"/>
    <x v="10"/>
    <n v="11"/>
  </r>
  <r>
    <s v="RM931"/>
    <n v="51"/>
    <x v="3"/>
    <s v="No"/>
    <n v="0"/>
    <s v="Travel_Frequently"/>
    <n v="968"/>
    <x v="0"/>
    <x v="11"/>
    <x v="1"/>
    <x v="1"/>
    <n v="1"/>
    <n v="1297"/>
    <x v="2"/>
    <x v="1"/>
    <n v="40"/>
    <n v="2"/>
    <x v="0"/>
    <x v="0"/>
    <x v="0"/>
    <x v="0"/>
    <n v="2838"/>
    <x v="0"/>
    <n v="4257"/>
    <n v="0"/>
    <s v="Y"/>
    <x v="0"/>
    <n v="14"/>
    <n v="3"/>
    <n v="2"/>
    <n v="80"/>
    <n v="0"/>
    <n v="8"/>
    <n v="6"/>
    <x v="3"/>
    <x v="7"/>
    <x v="0"/>
    <n v="7"/>
  </r>
  <r>
    <s v="RM963"/>
    <n v="51"/>
    <x v="3"/>
    <s v="No"/>
    <n v="0"/>
    <s v="Travel_Rarely"/>
    <n v="770"/>
    <x v="2"/>
    <x v="2"/>
    <x v="0"/>
    <x v="0"/>
    <n v="1"/>
    <n v="1352"/>
    <x v="0"/>
    <x v="0"/>
    <n v="84"/>
    <n v="3"/>
    <x v="3"/>
    <x v="8"/>
    <x v="1"/>
    <x v="1"/>
    <n v="14026"/>
    <x v="2"/>
    <n v="17588"/>
    <n v="1"/>
    <s v="Y"/>
    <x v="1"/>
    <n v="11"/>
    <n v="3"/>
    <n v="2"/>
    <n v="80"/>
    <n v="1"/>
    <n v="33"/>
    <n v="2"/>
    <x v="0"/>
    <x v="32"/>
    <x v="9"/>
    <n v="0"/>
  </r>
  <r>
    <s v="RM972"/>
    <n v="51"/>
    <x v="3"/>
    <s v="No"/>
    <n v="0"/>
    <s v="Travel_Rarely"/>
    <n v="1405"/>
    <x v="0"/>
    <x v="13"/>
    <x v="1"/>
    <x v="3"/>
    <n v="1"/>
    <n v="1367"/>
    <x v="1"/>
    <x v="1"/>
    <n v="82"/>
    <n v="2"/>
    <x v="3"/>
    <x v="4"/>
    <x v="1"/>
    <x v="0"/>
    <n v="13142"/>
    <x v="2"/>
    <n v="24439"/>
    <n v="3"/>
    <s v="Y"/>
    <x v="0"/>
    <n v="16"/>
    <n v="3"/>
    <n v="2"/>
    <n v="80"/>
    <n v="0"/>
    <n v="29"/>
    <n v="1"/>
    <x v="3"/>
    <x v="5"/>
    <x v="2"/>
    <n v="0"/>
  </r>
  <r>
    <s v="RM988"/>
    <n v="51"/>
    <x v="3"/>
    <s v="No"/>
    <n v="0"/>
    <s v="Travel_Frequently"/>
    <n v="541"/>
    <x v="1"/>
    <x v="7"/>
    <x v="0"/>
    <x v="2"/>
    <n v="1"/>
    <n v="1391"/>
    <x v="2"/>
    <x v="0"/>
    <n v="52"/>
    <n v="3"/>
    <x v="2"/>
    <x v="5"/>
    <x v="1"/>
    <x v="2"/>
    <n v="10596"/>
    <x v="2"/>
    <n v="15395"/>
    <n v="2"/>
    <s v="Y"/>
    <x v="0"/>
    <n v="11"/>
    <n v="3"/>
    <n v="2"/>
    <n v="80"/>
    <n v="0"/>
    <n v="14"/>
    <n v="5"/>
    <x v="0"/>
    <x v="4"/>
    <x v="2"/>
    <n v="3"/>
  </r>
  <r>
    <s v="RM1276"/>
    <n v="51"/>
    <x v="3"/>
    <s v="No"/>
    <n v="0"/>
    <s v="Travel_Rarely"/>
    <n v="942"/>
    <x v="0"/>
    <x v="0"/>
    <x v="0"/>
    <x v="3"/>
    <n v="1"/>
    <n v="1786"/>
    <x v="3"/>
    <x v="1"/>
    <n v="53"/>
    <n v="3"/>
    <x v="2"/>
    <x v="8"/>
    <x v="0"/>
    <x v="2"/>
    <n v="13116"/>
    <x v="2"/>
    <n v="22984"/>
    <n v="2"/>
    <s v="Y"/>
    <x v="0"/>
    <n v="11"/>
    <n v="3"/>
    <n v="4"/>
    <n v="80"/>
    <n v="0"/>
    <n v="15"/>
    <n v="2"/>
    <x v="0"/>
    <x v="2"/>
    <x v="2"/>
    <n v="2"/>
  </r>
  <r>
    <s v="RM191"/>
    <n v="52"/>
    <x v="3"/>
    <s v="No"/>
    <n v="0"/>
    <s v="Travel_Rarely"/>
    <n v="699"/>
    <x v="0"/>
    <x v="4"/>
    <x v="3"/>
    <x v="0"/>
    <n v="1"/>
    <n v="259"/>
    <x v="0"/>
    <x v="0"/>
    <n v="65"/>
    <n v="2"/>
    <x v="4"/>
    <x v="8"/>
    <x v="0"/>
    <x v="2"/>
    <n v="19999"/>
    <x v="3"/>
    <n v="5678"/>
    <n v="0"/>
    <s v="Y"/>
    <x v="0"/>
    <n v="14"/>
    <n v="3"/>
    <n v="1"/>
    <n v="80"/>
    <n v="1"/>
    <n v="34"/>
    <n v="5"/>
    <x v="0"/>
    <x v="32"/>
    <x v="18"/>
    <n v="11"/>
  </r>
  <r>
    <s v="RM231"/>
    <n v="52"/>
    <x v="3"/>
    <s v="No"/>
    <n v="0"/>
    <s v="Travel_Rarely"/>
    <n v="1323"/>
    <x v="0"/>
    <x v="7"/>
    <x v="0"/>
    <x v="0"/>
    <n v="1"/>
    <n v="316"/>
    <x v="0"/>
    <x v="1"/>
    <n v="89"/>
    <n v="2"/>
    <x v="0"/>
    <x v="0"/>
    <x v="2"/>
    <x v="0"/>
    <n v="3212"/>
    <x v="0"/>
    <n v="3300"/>
    <n v="7"/>
    <s v="Y"/>
    <x v="0"/>
    <n v="15"/>
    <n v="3"/>
    <n v="2"/>
    <n v="80"/>
    <n v="0"/>
    <n v="6"/>
    <n v="3"/>
    <x v="3"/>
    <x v="2"/>
    <x v="2"/>
    <n v="2"/>
  </r>
  <r>
    <s v="RM238"/>
    <n v="52"/>
    <x v="3"/>
    <s v="No"/>
    <n v="0"/>
    <s v="Non-Travel"/>
    <n v="771"/>
    <x v="1"/>
    <x v="7"/>
    <x v="3"/>
    <x v="0"/>
    <n v="1"/>
    <n v="329"/>
    <x v="3"/>
    <x v="0"/>
    <n v="79"/>
    <n v="2"/>
    <x v="4"/>
    <x v="8"/>
    <x v="0"/>
    <x v="0"/>
    <n v="19068"/>
    <x v="3"/>
    <n v="21030"/>
    <n v="1"/>
    <s v="Y"/>
    <x v="1"/>
    <n v="18"/>
    <n v="3"/>
    <n v="4"/>
    <n v="80"/>
    <n v="0"/>
    <n v="33"/>
    <n v="2"/>
    <x v="1"/>
    <x v="32"/>
    <x v="6"/>
    <n v="15"/>
  </r>
  <r>
    <s v="RM318"/>
    <n v="52"/>
    <x v="3"/>
    <s v="Yes"/>
    <n v="1"/>
    <s v="Travel_Rarely"/>
    <n v="723"/>
    <x v="0"/>
    <x v="3"/>
    <x v="3"/>
    <x v="1"/>
    <n v="1"/>
    <n v="433"/>
    <x v="0"/>
    <x v="0"/>
    <n v="85"/>
    <n v="2"/>
    <x v="1"/>
    <x v="2"/>
    <x v="1"/>
    <x v="2"/>
    <n v="4941"/>
    <x v="0"/>
    <n v="17747"/>
    <n v="2"/>
    <s v="Y"/>
    <x v="0"/>
    <n v="15"/>
    <n v="3"/>
    <n v="1"/>
    <n v="80"/>
    <n v="0"/>
    <n v="11"/>
    <n v="3"/>
    <x v="3"/>
    <x v="8"/>
    <x v="2"/>
    <n v="7"/>
  </r>
  <r>
    <s v="RM407"/>
    <n v="52"/>
    <x v="3"/>
    <s v="No"/>
    <n v="0"/>
    <s v="Travel_Rarely"/>
    <n v="319"/>
    <x v="0"/>
    <x v="0"/>
    <x v="0"/>
    <x v="1"/>
    <n v="1"/>
    <n v="543"/>
    <x v="1"/>
    <x v="0"/>
    <n v="39"/>
    <n v="2"/>
    <x v="2"/>
    <x v="4"/>
    <x v="0"/>
    <x v="2"/>
    <n v="7969"/>
    <x v="1"/>
    <n v="19609"/>
    <n v="2"/>
    <s v="Y"/>
    <x v="1"/>
    <n v="14"/>
    <n v="3"/>
    <n v="3"/>
    <n v="80"/>
    <n v="0"/>
    <n v="28"/>
    <n v="4"/>
    <x v="0"/>
    <x v="5"/>
    <x v="4"/>
    <n v="0"/>
  </r>
  <r>
    <s v="RM409"/>
    <n v="52"/>
    <x v="3"/>
    <s v="No"/>
    <n v="0"/>
    <s v="Travel_Rarely"/>
    <n v="1490"/>
    <x v="0"/>
    <x v="12"/>
    <x v="1"/>
    <x v="0"/>
    <n v="1"/>
    <n v="546"/>
    <x v="1"/>
    <x v="1"/>
    <n v="30"/>
    <n v="3"/>
    <x v="3"/>
    <x v="8"/>
    <x v="2"/>
    <x v="2"/>
    <n v="16555"/>
    <x v="3"/>
    <n v="10310"/>
    <n v="2"/>
    <s v="Y"/>
    <x v="0"/>
    <n v="13"/>
    <n v="3"/>
    <n v="4"/>
    <n v="80"/>
    <n v="0"/>
    <n v="31"/>
    <n v="2"/>
    <x v="2"/>
    <x v="5"/>
    <x v="2"/>
    <n v="1"/>
  </r>
  <r>
    <s v="RM469"/>
    <n v="52"/>
    <x v="3"/>
    <s v="No"/>
    <n v="0"/>
    <s v="Travel_Rarely"/>
    <n v="956"/>
    <x v="0"/>
    <x v="11"/>
    <x v="1"/>
    <x v="3"/>
    <n v="1"/>
    <n v="630"/>
    <x v="1"/>
    <x v="0"/>
    <n v="78"/>
    <n v="3"/>
    <x v="1"/>
    <x v="2"/>
    <x v="3"/>
    <x v="1"/>
    <n v="5577"/>
    <x v="1"/>
    <n v="22087"/>
    <n v="3"/>
    <s v="Y"/>
    <x v="1"/>
    <n v="12"/>
    <n v="3"/>
    <n v="2"/>
    <n v="80"/>
    <n v="2"/>
    <n v="18"/>
    <n v="3"/>
    <x v="0"/>
    <x v="10"/>
    <x v="9"/>
    <n v="6"/>
  </r>
  <r>
    <s v="RM562"/>
    <n v="52"/>
    <x v="3"/>
    <s v="No"/>
    <n v="0"/>
    <s v="Travel_Rarely"/>
    <n v="621"/>
    <x v="1"/>
    <x v="0"/>
    <x v="3"/>
    <x v="2"/>
    <n v="1"/>
    <n v="776"/>
    <x v="0"/>
    <x v="0"/>
    <n v="31"/>
    <n v="2"/>
    <x v="3"/>
    <x v="8"/>
    <x v="3"/>
    <x v="2"/>
    <n v="16856"/>
    <x v="3"/>
    <n v="10084"/>
    <n v="1"/>
    <s v="Y"/>
    <x v="0"/>
    <n v="11"/>
    <n v="3"/>
    <n v="1"/>
    <n v="80"/>
    <n v="0"/>
    <n v="34"/>
    <n v="3"/>
    <x v="1"/>
    <x v="33"/>
    <x v="8"/>
    <n v="1"/>
  </r>
  <r>
    <s v="RM571"/>
    <n v="52"/>
    <x v="3"/>
    <s v="No"/>
    <n v="0"/>
    <s v="Non-Travel"/>
    <n v="715"/>
    <x v="0"/>
    <x v="19"/>
    <x v="3"/>
    <x v="1"/>
    <n v="1"/>
    <n v="791"/>
    <x v="1"/>
    <x v="0"/>
    <n v="41"/>
    <n v="3"/>
    <x v="0"/>
    <x v="2"/>
    <x v="2"/>
    <x v="2"/>
    <n v="4258"/>
    <x v="0"/>
    <n v="26589"/>
    <n v="0"/>
    <s v="Y"/>
    <x v="0"/>
    <n v="18"/>
    <n v="3"/>
    <n v="1"/>
    <n v="80"/>
    <n v="1"/>
    <n v="5"/>
    <n v="3"/>
    <x v="0"/>
    <x v="4"/>
    <x v="3"/>
    <n v="1"/>
  </r>
  <r>
    <s v="RM588"/>
    <n v="52"/>
    <x v="3"/>
    <s v="No"/>
    <n v="0"/>
    <s v="Travel_Rarely"/>
    <n v="1325"/>
    <x v="0"/>
    <x v="13"/>
    <x v="3"/>
    <x v="0"/>
    <n v="1"/>
    <n v="813"/>
    <x v="1"/>
    <x v="1"/>
    <n v="82"/>
    <n v="3"/>
    <x v="1"/>
    <x v="0"/>
    <x v="0"/>
    <x v="2"/>
    <n v="3149"/>
    <x v="0"/>
    <n v="21821"/>
    <n v="8"/>
    <s v="Y"/>
    <x v="0"/>
    <n v="20"/>
    <n v="4"/>
    <n v="2"/>
    <n v="80"/>
    <n v="1"/>
    <n v="9"/>
    <n v="3"/>
    <x v="0"/>
    <x v="5"/>
    <x v="2"/>
    <n v="1"/>
  </r>
  <r>
    <s v="RM628"/>
    <n v="52"/>
    <x v="3"/>
    <s v="No"/>
    <n v="0"/>
    <s v="Travel_Frequently"/>
    <n v="890"/>
    <x v="0"/>
    <x v="10"/>
    <x v="3"/>
    <x v="1"/>
    <n v="1"/>
    <n v="867"/>
    <x v="0"/>
    <x v="1"/>
    <n v="81"/>
    <n v="2"/>
    <x v="3"/>
    <x v="4"/>
    <x v="2"/>
    <x v="2"/>
    <n v="13826"/>
    <x v="2"/>
    <n v="19028"/>
    <n v="3"/>
    <s v="Y"/>
    <x v="0"/>
    <n v="22"/>
    <n v="4"/>
    <n v="3"/>
    <n v="80"/>
    <n v="0"/>
    <n v="31"/>
    <n v="3"/>
    <x v="0"/>
    <x v="9"/>
    <x v="7"/>
    <n v="0"/>
  </r>
  <r>
    <s v="RM700"/>
    <n v="52"/>
    <x v="3"/>
    <s v="No"/>
    <n v="0"/>
    <s v="Travel_Rarely"/>
    <n v="1053"/>
    <x v="0"/>
    <x v="4"/>
    <x v="1"/>
    <x v="0"/>
    <n v="1"/>
    <n v="976"/>
    <x v="1"/>
    <x v="0"/>
    <n v="70"/>
    <n v="3"/>
    <x v="3"/>
    <x v="8"/>
    <x v="2"/>
    <x v="2"/>
    <n v="17099"/>
    <x v="3"/>
    <n v="13829"/>
    <n v="2"/>
    <s v="Y"/>
    <x v="0"/>
    <n v="15"/>
    <n v="3"/>
    <n v="2"/>
    <n v="80"/>
    <n v="1"/>
    <n v="26"/>
    <n v="2"/>
    <x v="3"/>
    <x v="9"/>
    <x v="7"/>
    <n v="7"/>
  </r>
  <r>
    <s v="RM750"/>
    <n v="52"/>
    <x v="3"/>
    <s v="Yes"/>
    <n v="1"/>
    <s v="Travel_Rarely"/>
    <n v="266"/>
    <x v="1"/>
    <x v="7"/>
    <x v="2"/>
    <x v="2"/>
    <n v="1"/>
    <n v="1038"/>
    <x v="3"/>
    <x v="1"/>
    <n v="57"/>
    <n v="1"/>
    <x v="4"/>
    <x v="8"/>
    <x v="2"/>
    <x v="2"/>
    <n v="19845"/>
    <x v="3"/>
    <n v="25846"/>
    <n v="1"/>
    <s v="Y"/>
    <x v="0"/>
    <n v="15"/>
    <n v="3"/>
    <n v="4"/>
    <n v="80"/>
    <n v="1"/>
    <n v="33"/>
    <n v="3"/>
    <x v="0"/>
    <x v="29"/>
    <x v="13"/>
    <n v="6"/>
  </r>
  <r>
    <s v="RM807"/>
    <n v="52"/>
    <x v="3"/>
    <s v="No"/>
    <n v="0"/>
    <s v="Travel_Rarely"/>
    <n v="994"/>
    <x v="0"/>
    <x v="17"/>
    <x v="3"/>
    <x v="0"/>
    <n v="1"/>
    <n v="1118"/>
    <x v="2"/>
    <x v="0"/>
    <n v="87"/>
    <n v="3"/>
    <x v="2"/>
    <x v="6"/>
    <x v="1"/>
    <x v="0"/>
    <n v="10445"/>
    <x v="2"/>
    <n v="15322"/>
    <n v="7"/>
    <s v="Y"/>
    <x v="0"/>
    <n v="19"/>
    <n v="3"/>
    <n v="4"/>
    <n v="80"/>
    <n v="0"/>
    <n v="18"/>
    <n v="4"/>
    <x v="0"/>
    <x v="8"/>
    <x v="8"/>
    <n v="4"/>
  </r>
  <r>
    <s v="RM948"/>
    <n v="52"/>
    <x v="3"/>
    <s v="Yes"/>
    <n v="1"/>
    <s v="Travel_Rarely"/>
    <n v="1030"/>
    <x v="1"/>
    <x v="2"/>
    <x v="0"/>
    <x v="0"/>
    <n v="1"/>
    <n v="1319"/>
    <x v="2"/>
    <x v="0"/>
    <n v="64"/>
    <n v="3"/>
    <x v="2"/>
    <x v="5"/>
    <x v="1"/>
    <x v="0"/>
    <n v="8446"/>
    <x v="1"/>
    <n v="21534"/>
    <n v="9"/>
    <s v="Y"/>
    <x v="1"/>
    <n v="19"/>
    <n v="3"/>
    <n v="3"/>
    <n v="80"/>
    <n v="0"/>
    <n v="10"/>
    <n v="2"/>
    <x v="3"/>
    <x v="8"/>
    <x v="6"/>
    <n v="7"/>
  </r>
  <r>
    <s v="RM995"/>
    <n v="52"/>
    <x v="3"/>
    <s v="No"/>
    <n v="0"/>
    <s v="Travel_Frequently"/>
    <n v="322"/>
    <x v="0"/>
    <x v="27"/>
    <x v="1"/>
    <x v="1"/>
    <n v="1"/>
    <n v="1401"/>
    <x v="1"/>
    <x v="1"/>
    <n v="59"/>
    <n v="4"/>
    <x v="3"/>
    <x v="4"/>
    <x v="0"/>
    <x v="2"/>
    <n v="13247"/>
    <x v="2"/>
    <n v="9731"/>
    <n v="2"/>
    <s v="Y"/>
    <x v="1"/>
    <n v="11"/>
    <n v="3"/>
    <n v="2"/>
    <n v="80"/>
    <n v="1"/>
    <n v="24"/>
    <n v="3"/>
    <x v="3"/>
    <x v="5"/>
    <x v="3"/>
    <n v="0"/>
  </r>
  <r>
    <s v="RM1001"/>
    <n v="52"/>
    <x v="3"/>
    <s v="No"/>
    <n v="0"/>
    <s v="Travel_Rarely"/>
    <n v="258"/>
    <x v="0"/>
    <x v="3"/>
    <x v="3"/>
    <x v="4"/>
    <n v="1"/>
    <n v="1409"/>
    <x v="0"/>
    <x v="1"/>
    <n v="54"/>
    <n v="3"/>
    <x v="0"/>
    <x v="0"/>
    <x v="3"/>
    <x v="2"/>
    <n v="2950"/>
    <x v="0"/>
    <n v="17363"/>
    <n v="9"/>
    <s v="Y"/>
    <x v="0"/>
    <n v="13"/>
    <n v="3"/>
    <n v="3"/>
    <n v="80"/>
    <n v="0"/>
    <n v="12"/>
    <n v="2"/>
    <x v="2"/>
    <x v="5"/>
    <x v="4"/>
    <n v="0"/>
  </r>
  <r>
    <s v="RM1435"/>
    <n v="52"/>
    <x v="3"/>
    <s v="No"/>
    <n v="0"/>
    <s v="Non-Travel"/>
    <n v="585"/>
    <x v="1"/>
    <x v="26"/>
    <x v="3"/>
    <x v="0"/>
    <n v="1"/>
    <n v="2019"/>
    <x v="3"/>
    <x v="0"/>
    <n v="40"/>
    <n v="3"/>
    <x v="0"/>
    <x v="1"/>
    <x v="2"/>
    <x v="1"/>
    <n v="3482"/>
    <x v="0"/>
    <n v="19788"/>
    <n v="2"/>
    <s v="Y"/>
    <x v="0"/>
    <n v="15"/>
    <n v="3"/>
    <n v="2"/>
    <n v="80"/>
    <n v="2"/>
    <n v="16"/>
    <n v="3"/>
    <x v="3"/>
    <x v="9"/>
    <x v="7"/>
    <n v="0"/>
  </r>
  <r>
    <s v="RM019"/>
    <n v="53"/>
    <x v="3"/>
    <s v="No"/>
    <n v="0"/>
    <s v="Travel_Rarely"/>
    <n v="1219"/>
    <x v="1"/>
    <x v="7"/>
    <x v="3"/>
    <x v="0"/>
    <n v="1"/>
    <n v="23"/>
    <x v="3"/>
    <x v="1"/>
    <n v="78"/>
    <n v="2"/>
    <x v="3"/>
    <x v="8"/>
    <x v="2"/>
    <x v="2"/>
    <n v="15427"/>
    <x v="3"/>
    <n v="22021"/>
    <n v="2"/>
    <s v="Y"/>
    <x v="0"/>
    <n v="16"/>
    <n v="3"/>
    <n v="3"/>
    <n v="80"/>
    <n v="0"/>
    <n v="31"/>
    <n v="3"/>
    <x v="0"/>
    <x v="24"/>
    <x v="7"/>
    <n v="3"/>
  </r>
  <r>
    <s v="RM026"/>
    <n v="53"/>
    <x v="3"/>
    <s v="No"/>
    <n v="0"/>
    <s v="Travel_Rarely"/>
    <n v="1282"/>
    <x v="0"/>
    <x v="2"/>
    <x v="0"/>
    <x v="4"/>
    <n v="1"/>
    <n v="32"/>
    <x v="0"/>
    <x v="1"/>
    <n v="58"/>
    <n v="3"/>
    <x v="4"/>
    <x v="8"/>
    <x v="0"/>
    <x v="1"/>
    <n v="19094"/>
    <x v="3"/>
    <n v="10735"/>
    <n v="4"/>
    <s v="Y"/>
    <x v="0"/>
    <n v="11"/>
    <n v="3"/>
    <n v="4"/>
    <n v="80"/>
    <n v="1"/>
    <n v="26"/>
    <n v="3"/>
    <x v="3"/>
    <x v="14"/>
    <x v="12"/>
    <n v="4"/>
  </r>
  <r>
    <s v="RM153"/>
    <n v="53"/>
    <x v="3"/>
    <s v="No"/>
    <n v="0"/>
    <s v="Travel_Rarely"/>
    <n v="1436"/>
    <x v="1"/>
    <x v="11"/>
    <x v="1"/>
    <x v="2"/>
    <n v="1"/>
    <n v="205"/>
    <x v="2"/>
    <x v="0"/>
    <n v="34"/>
    <n v="3"/>
    <x v="1"/>
    <x v="1"/>
    <x v="0"/>
    <x v="2"/>
    <n v="2306"/>
    <x v="0"/>
    <n v="16047"/>
    <n v="2"/>
    <s v="Y"/>
    <x v="1"/>
    <n v="20"/>
    <n v="4"/>
    <n v="4"/>
    <n v="80"/>
    <n v="1"/>
    <n v="13"/>
    <n v="3"/>
    <x v="2"/>
    <x v="7"/>
    <x v="6"/>
    <n v="4"/>
  </r>
  <r>
    <s v="RM185"/>
    <n v="53"/>
    <x v="3"/>
    <s v="No"/>
    <n v="0"/>
    <s v="Travel_Rarely"/>
    <n v="1084"/>
    <x v="0"/>
    <x v="25"/>
    <x v="1"/>
    <x v="1"/>
    <n v="1"/>
    <n v="250"/>
    <x v="1"/>
    <x v="1"/>
    <n v="57"/>
    <n v="4"/>
    <x v="1"/>
    <x v="4"/>
    <x v="3"/>
    <x v="1"/>
    <n v="4450"/>
    <x v="0"/>
    <n v="26250"/>
    <n v="1"/>
    <s v="Y"/>
    <x v="0"/>
    <n v="11"/>
    <n v="3"/>
    <n v="3"/>
    <n v="80"/>
    <n v="2"/>
    <n v="5"/>
    <n v="3"/>
    <x v="0"/>
    <x v="4"/>
    <x v="2"/>
    <n v="1"/>
  </r>
  <r>
    <s v="RM281"/>
    <n v="53"/>
    <x v="3"/>
    <s v="No"/>
    <n v="0"/>
    <s v="Travel_Rarely"/>
    <n v="1070"/>
    <x v="0"/>
    <x v="0"/>
    <x v="3"/>
    <x v="1"/>
    <n v="1"/>
    <n v="386"/>
    <x v="0"/>
    <x v="0"/>
    <n v="45"/>
    <n v="3"/>
    <x v="3"/>
    <x v="7"/>
    <x v="0"/>
    <x v="2"/>
    <n v="17584"/>
    <x v="3"/>
    <n v="21016"/>
    <n v="3"/>
    <s v="Y"/>
    <x v="1"/>
    <n v="16"/>
    <n v="3"/>
    <n v="4"/>
    <n v="80"/>
    <n v="3"/>
    <n v="21"/>
    <n v="5"/>
    <x v="3"/>
    <x v="5"/>
    <x v="3"/>
    <n v="1"/>
  </r>
  <r>
    <s v="RM503"/>
    <n v="53"/>
    <x v="3"/>
    <s v="No"/>
    <n v="0"/>
    <s v="Travel_Rarely"/>
    <n v="238"/>
    <x v="1"/>
    <x v="4"/>
    <x v="2"/>
    <x v="1"/>
    <n v="1"/>
    <n v="682"/>
    <x v="1"/>
    <x v="1"/>
    <n v="34"/>
    <n v="3"/>
    <x v="1"/>
    <x v="5"/>
    <x v="3"/>
    <x v="0"/>
    <n v="8381"/>
    <x v="1"/>
    <n v="7507"/>
    <n v="7"/>
    <s v="Y"/>
    <x v="0"/>
    <n v="20"/>
    <n v="4"/>
    <n v="4"/>
    <n v="80"/>
    <n v="0"/>
    <n v="18"/>
    <n v="2"/>
    <x v="1"/>
    <x v="14"/>
    <x v="6"/>
    <n v="8"/>
  </r>
  <r>
    <s v="RM535"/>
    <n v="53"/>
    <x v="3"/>
    <s v="No"/>
    <n v="0"/>
    <s v="Travel_Rarely"/>
    <n v="970"/>
    <x v="0"/>
    <x v="17"/>
    <x v="0"/>
    <x v="0"/>
    <n v="1"/>
    <n v="730"/>
    <x v="0"/>
    <x v="0"/>
    <n v="59"/>
    <n v="4"/>
    <x v="3"/>
    <x v="7"/>
    <x v="0"/>
    <x v="2"/>
    <n v="14814"/>
    <x v="2"/>
    <n v="13514"/>
    <n v="3"/>
    <s v="Y"/>
    <x v="0"/>
    <n v="19"/>
    <n v="3"/>
    <n v="3"/>
    <n v="80"/>
    <n v="0"/>
    <n v="32"/>
    <n v="3"/>
    <x v="0"/>
    <x v="5"/>
    <x v="1"/>
    <n v="1"/>
  </r>
  <r>
    <s v="RM557"/>
    <n v="53"/>
    <x v="3"/>
    <s v="No"/>
    <n v="0"/>
    <s v="Travel_Rarely"/>
    <n v="346"/>
    <x v="0"/>
    <x v="11"/>
    <x v="0"/>
    <x v="0"/>
    <n v="1"/>
    <n v="769"/>
    <x v="1"/>
    <x v="0"/>
    <n v="86"/>
    <n v="3"/>
    <x v="1"/>
    <x v="0"/>
    <x v="2"/>
    <x v="0"/>
    <n v="2450"/>
    <x v="0"/>
    <n v="10919"/>
    <n v="2"/>
    <s v="Y"/>
    <x v="0"/>
    <n v="17"/>
    <n v="3"/>
    <n v="4"/>
    <n v="80"/>
    <n v="0"/>
    <n v="19"/>
    <n v="4"/>
    <x v="0"/>
    <x v="2"/>
    <x v="2"/>
    <n v="2"/>
  </r>
  <r>
    <s v="RM625"/>
    <n v="53"/>
    <x v="3"/>
    <s v="No"/>
    <n v="0"/>
    <s v="Travel_Rarely"/>
    <n v="661"/>
    <x v="1"/>
    <x v="17"/>
    <x v="1"/>
    <x v="2"/>
    <n v="1"/>
    <n v="862"/>
    <x v="3"/>
    <x v="1"/>
    <n v="78"/>
    <n v="2"/>
    <x v="2"/>
    <x v="5"/>
    <x v="2"/>
    <x v="2"/>
    <n v="10934"/>
    <x v="2"/>
    <n v="20715"/>
    <n v="7"/>
    <s v="Y"/>
    <x v="1"/>
    <n v="18"/>
    <n v="3"/>
    <n v="4"/>
    <n v="80"/>
    <n v="1"/>
    <n v="35"/>
    <n v="3"/>
    <x v="0"/>
    <x v="5"/>
    <x v="2"/>
    <n v="0"/>
  </r>
  <r>
    <s v="RM647"/>
    <n v="53"/>
    <x v="3"/>
    <s v="No"/>
    <n v="0"/>
    <s v="Travel_Rarely"/>
    <n v="868"/>
    <x v="1"/>
    <x v="3"/>
    <x v="0"/>
    <x v="2"/>
    <n v="1"/>
    <n v="897"/>
    <x v="3"/>
    <x v="0"/>
    <n v="73"/>
    <n v="3"/>
    <x v="3"/>
    <x v="5"/>
    <x v="2"/>
    <x v="2"/>
    <n v="11836"/>
    <x v="2"/>
    <n v="22789"/>
    <n v="5"/>
    <s v="Y"/>
    <x v="0"/>
    <n v="14"/>
    <n v="3"/>
    <n v="3"/>
    <n v="80"/>
    <n v="1"/>
    <n v="28"/>
    <n v="3"/>
    <x v="0"/>
    <x v="2"/>
    <x v="0"/>
    <n v="2"/>
  </r>
  <r>
    <s v="RM650"/>
    <n v="53"/>
    <x v="3"/>
    <s v="No"/>
    <n v="0"/>
    <s v="Travel_Rarely"/>
    <n v="102"/>
    <x v="0"/>
    <x v="23"/>
    <x v="3"/>
    <x v="0"/>
    <n v="1"/>
    <n v="901"/>
    <x v="1"/>
    <x v="1"/>
    <n v="72"/>
    <n v="3"/>
    <x v="3"/>
    <x v="7"/>
    <x v="2"/>
    <x v="0"/>
    <n v="14275"/>
    <x v="2"/>
    <n v="20206"/>
    <n v="6"/>
    <s v="Y"/>
    <x v="0"/>
    <n v="18"/>
    <n v="3"/>
    <n v="3"/>
    <n v="80"/>
    <n v="0"/>
    <n v="33"/>
    <n v="0"/>
    <x v="0"/>
    <x v="12"/>
    <x v="9"/>
    <n v="3"/>
  </r>
  <r>
    <s v="RM702"/>
    <n v="53"/>
    <x v="3"/>
    <s v="No"/>
    <n v="0"/>
    <s v="Travel_Rarely"/>
    <n v="1376"/>
    <x v="1"/>
    <x v="7"/>
    <x v="1"/>
    <x v="1"/>
    <n v="1"/>
    <n v="981"/>
    <x v="0"/>
    <x v="0"/>
    <n v="45"/>
    <n v="3"/>
    <x v="3"/>
    <x v="8"/>
    <x v="0"/>
    <x v="1"/>
    <n v="14852"/>
    <x v="2"/>
    <n v="13938"/>
    <n v="6"/>
    <s v="Y"/>
    <x v="0"/>
    <n v="13"/>
    <n v="3"/>
    <n v="3"/>
    <n v="80"/>
    <n v="1"/>
    <n v="22"/>
    <n v="3"/>
    <x v="1"/>
    <x v="17"/>
    <x v="12"/>
    <n v="15"/>
  </r>
  <r>
    <s v="RM761"/>
    <n v="53"/>
    <x v="3"/>
    <s v="No"/>
    <n v="0"/>
    <s v="Travel_Frequently"/>
    <n v="124"/>
    <x v="1"/>
    <x v="7"/>
    <x v="0"/>
    <x v="2"/>
    <n v="1"/>
    <n v="1050"/>
    <x v="0"/>
    <x v="1"/>
    <n v="38"/>
    <n v="2"/>
    <x v="2"/>
    <x v="5"/>
    <x v="1"/>
    <x v="2"/>
    <n v="7525"/>
    <x v="1"/>
    <n v="23537"/>
    <n v="2"/>
    <s v="Y"/>
    <x v="0"/>
    <n v="12"/>
    <n v="3"/>
    <n v="1"/>
    <n v="80"/>
    <n v="1"/>
    <n v="30"/>
    <n v="2"/>
    <x v="0"/>
    <x v="15"/>
    <x v="6"/>
    <n v="6"/>
  </r>
  <r>
    <s v="RM859"/>
    <n v="53"/>
    <x v="3"/>
    <s v="No"/>
    <n v="0"/>
    <s v="Travel_Rarely"/>
    <n v="1223"/>
    <x v="0"/>
    <x v="17"/>
    <x v="1"/>
    <x v="1"/>
    <n v="1"/>
    <n v="1201"/>
    <x v="1"/>
    <x v="1"/>
    <n v="50"/>
    <n v="3"/>
    <x v="4"/>
    <x v="8"/>
    <x v="0"/>
    <x v="1"/>
    <n v="18606"/>
    <x v="3"/>
    <n v="18640"/>
    <n v="3"/>
    <s v="Y"/>
    <x v="0"/>
    <n v="18"/>
    <n v="3"/>
    <n v="2"/>
    <n v="80"/>
    <n v="1"/>
    <n v="26"/>
    <n v="6"/>
    <x v="0"/>
    <x v="7"/>
    <x v="6"/>
    <n v="4"/>
  </r>
  <r>
    <s v="RM1044"/>
    <n v="53"/>
    <x v="3"/>
    <s v="No"/>
    <n v="0"/>
    <s v="Travel_Rarely"/>
    <n v="447"/>
    <x v="0"/>
    <x v="7"/>
    <x v="0"/>
    <x v="1"/>
    <n v="1"/>
    <n v="1472"/>
    <x v="1"/>
    <x v="0"/>
    <n v="39"/>
    <n v="4"/>
    <x v="3"/>
    <x v="7"/>
    <x v="1"/>
    <x v="0"/>
    <n v="16598"/>
    <x v="3"/>
    <n v="19764"/>
    <n v="4"/>
    <s v="Y"/>
    <x v="0"/>
    <n v="12"/>
    <n v="3"/>
    <n v="2"/>
    <n v="80"/>
    <n v="0"/>
    <n v="35"/>
    <n v="2"/>
    <x v="3"/>
    <x v="9"/>
    <x v="7"/>
    <n v="8"/>
  </r>
  <r>
    <s v="RM1112"/>
    <n v="53"/>
    <x v="3"/>
    <s v="Yes"/>
    <n v="1"/>
    <s v="Travel_Rarely"/>
    <n v="607"/>
    <x v="0"/>
    <x v="7"/>
    <x v="4"/>
    <x v="3"/>
    <n v="1"/>
    <n v="1572"/>
    <x v="0"/>
    <x v="1"/>
    <n v="78"/>
    <n v="2"/>
    <x v="2"/>
    <x v="4"/>
    <x v="2"/>
    <x v="2"/>
    <n v="10169"/>
    <x v="2"/>
    <n v="14618"/>
    <n v="0"/>
    <s v="Y"/>
    <x v="0"/>
    <n v="16"/>
    <n v="3"/>
    <n v="2"/>
    <n v="80"/>
    <n v="1"/>
    <n v="34"/>
    <n v="4"/>
    <x v="0"/>
    <x v="32"/>
    <x v="6"/>
    <n v="1"/>
  </r>
  <r>
    <s v="RM1204"/>
    <n v="53"/>
    <x v="3"/>
    <s v="No"/>
    <n v="0"/>
    <s v="Travel_Rarely"/>
    <n v="1395"/>
    <x v="0"/>
    <x v="22"/>
    <x v="3"/>
    <x v="1"/>
    <n v="1"/>
    <n v="1689"/>
    <x v="2"/>
    <x v="0"/>
    <n v="48"/>
    <n v="4"/>
    <x v="2"/>
    <x v="6"/>
    <x v="2"/>
    <x v="2"/>
    <n v="7005"/>
    <x v="1"/>
    <n v="3458"/>
    <n v="3"/>
    <s v="Y"/>
    <x v="0"/>
    <n v="15"/>
    <n v="3"/>
    <n v="3"/>
    <n v="80"/>
    <n v="0"/>
    <n v="11"/>
    <n v="2"/>
    <x v="0"/>
    <x v="4"/>
    <x v="3"/>
    <n v="1"/>
  </r>
  <r>
    <s v="RM1269"/>
    <n v="53"/>
    <x v="3"/>
    <s v="No"/>
    <n v="0"/>
    <s v="Non-Travel"/>
    <n v="661"/>
    <x v="0"/>
    <x v="4"/>
    <x v="3"/>
    <x v="1"/>
    <n v="1"/>
    <n v="1775"/>
    <x v="3"/>
    <x v="1"/>
    <n v="60"/>
    <n v="2"/>
    <x v="3"/>
    <x v="4"/>
    <x v="0"/>
    <x v="2"/>
    <n v="12965"/>
    <x v="2"/>
    <n v="22308"/>
    <n v="4"/>
    <s v="Y"/>
    <x v="1"/>
    <n v="20"/>
    <n v="4"/>
    <n v="4"/>
    <n v="80"/>
    <n v="3"/>
    <n v="27"/>
    <n v="2"/>
    <x v="3"/>
    <x v="3"/>
    <x v="2"/>
    <n v="0"/>
  </r>
  <r>
    <s v="RM1397"/>
    <n v="53"/>
    <x v="3"/>
    <s v="Yes"/>
    <n v="1"/>
    <s v="Travel_Rarely"/>
    <n v="1168"/>
    <x v="1"/>
    <x v="22"/>
    <x v="3"/>
    <x v="0"/>
    <n v="1"/>
    <n v="1968"/>
    <x v="3"/>
    <x v="0"/>
    <n v="66"/>
    <n v="3"/>
    <x v="2"/>
    <x v="5"/>
    <x v="3"/>
    <x v="0"/>
    <n v="10448"/>
    <x v="2"/>
    <n v="5843"/>
    <n v="6"/>
    <s v="Y"/>
    <x v="1"/>
    <n v="13"/>
    <n v="3"/>
    <n v="2"/>
    <n v="80"/>
    <n v="0"/>
    <n v="15"/>
    <n v="2"/>
    <x v="3"/>
    <x v="2"/>
    <x v="2"/>
    <n v="2"/>
  </r>
  <r>
    <s v="RM096"/>
    <n v="54"/>
    <x v="3"/>
    <s v="No"/>
    <n v="0"/>
    <s v="Travel_Rarely"/>
    <n v="1217"/>
    <x v="0"/>
    <x v="7"/>
    <x v="3"/>
    <x v="3"/>
    <n v="1"/>
    <n v="126"/>
    <x v="3"/>
    <x v="1"/>
    <n v="60"/>
    <n v="3"/>
    <x v="2"/>
    <x v="7"/>
    <x v="0"/>
    <x v="2"/>
    <n v="13549"/>
    <x v="2"/>
    <n v="24001"/>
    <n v="9"/>
    <s v="Y"/>
    <x v="0"/>
    <n v="12"/>
    <n v="3"/>
    <n v="1"/>
    <n v="80"/>
    <n v="1"/>
    <n v="16"/>
    <n v="5"/>
    <x v="2"/>
    <x v="4"/>
    <x v="3"/>
    <n v="0"/>
  </r>
  <r>
    <s v="RM113"/>
    <n v="54"/>
    <x v="3"/>
    <s v="No"/>
    <n v="0"/>
    <s v="Non-Travel"/>
    <n v="142"/>
    <x v="2"/>
    <x v="20"/>
    <x v="0"/>
    <x v="5"/>
    <n v="1"/>
    <n v="148"/>
    <x v="1"/>
    <x v="1"/>
    <n v="30"/>
    <n v="4"/>
    <x v="3"/>
    <x v="8"/>
    <x v="2"/>
    <x v="0"/>
    <n v="17328"/>
    <x v="3"/>
    <n v="13871"/>
    <n v="2"/>
    <s v="Y"/>
    <x v="1"/>
    <n v="12"/>
    <n v="3"/>
    <n v="3"/>
    <n v="80"/>
    <n v="0"/>
    <n v="23"/>
    <n v="3"/>
    <x v="0"/>
    <x v="5"/>
    <x v="3"/>
    <n v="4"/>
  </r>
  <r>
    <s v="RM220"/>
    <n v="54"/>
    <x v="3"/>
    <s v="No"/>
    <n v="0"/>
    <s v="Travel_Rarely"/>
    <n v="1147"/>
    <x v="1"/>
    <x v="0"/>
    <x v="0"/>
    <x v="2"/>
    <n v="1"/>
    <n v="303"/>
    <x v="1"/>
    <x v="1"/>
    <n v="52"/>
    <n v="3"/>
    <x v="1"/>
    <x v="5"/>
    <x v="3"/>
    <x v="2"/>
    <n v="5940"/>
    <x v="1"/>
    <n v="17011"/>
    <n v="2"/>
    <s v="Y"/>
    <x v="0"/>
    <n v="14"/>
    <n v="3"/>
    <n v="4"/>
    <n v="80"/>
    <n v="1"/>
    <n v="16"/>
    <n v="4"/>
    <x v="0"/>
    <x v="6"/>
    <x v="2"/>
    <n v="0"/>
  </r>
  <r>
    <s v="RM333"/>
    <n v="54"/>
    <x v="3"/>
    <s v="No"/>
    <n v="0"/>
    <s v="Travel_Frequently"/>
    <n v="928"/>
    <x v="0"/>
    <x v="21"/>
    <x v="3"/>
    <x v="0"/>
    <n v="1"/>
    <n v="450"/>
    <x v="1"/>
    <x v="1"/>
    <n v="31"/>
    <n v="3"/>
    <x v="1"/>
    <x v="2"/>
    <x v="0"/>
    <x v="0"/>
    <n v="4869"/>
    <x v="0"/>
    <n v="16885"/>
    <n v="3"/>
    <s v="Y"/>
    <x v="0"/>
    <n v="12"/>
    <n v="3"/>
    <n v="4"/>
    <n v="80"/>
    <n v="0"/>
    <n v="20"/>
    <n v="4"/>
    <x v="3"/>
    <x v="4"/>
    <x v="3"/>
    <n v="0"/>
  </r>
  <r>
    <s v="RM393"/>
    <n v="54"/>
    <x v="3"/>
    <s v="No"/>
    <n v="0"/>
    <s v="Travel_Rarely"/>
    <n v="821"/>
    <x v="0"/>
    <x v="2"/>
    <x v="1"/>
    <x v="1"/>
    <n v="1"/>
    <n v="522"/>
    <x v="3"/>
    <x v="0"/>
    <n v="86"/>
    <n v="3"/>
    <x v="4"/>
    <x v="7"/>
    <x v="3"/>
    <x v="2"/>
    <n v="19406"/>
    <x v="3"/>
    <n v="8509"/>
    <n v="4"/>
    <s v="Y"/>
    <x v="0"/>
    <n v="11"/>
    <n v="3"/>
    <n v="3"/>
    <n v="80"/>
    <n v="1"/>
    <n v="24"/>
    <n v="4"/>
    <x v="3"/>
    <x v="4"/>
    <x v="2"/>
    <n v="1"/>
  </r>
  <r>
    <s v="RM432"/>
    <n v="54"/>
    <x v="3"/>
    <s v="No"/>
    <n v="0"/>
    <s v="Travel_Rarely"/>
    <n v="548"/>
    <x v="0"/>
    <x v="3"/>
    <x v="3"/>
    <x v="0"/>
    <n v="1"/>
    <n v="578"/>
    <x v="0"/>
    <x v="1"/>
    <n v="42"/>
    <n v="3"/>
    <x v="1"/>
    <x v="0"/>
    <x v="0"/>
    <x v="0"/>
    <n v="3780"/>
    <x v="0"/>
    <n v="23428"/>
    <n v="7"/>
    <s v="Y"/>
    <x v="0"/>
    <n v="11"/>
    <n v="3"/>
    <n v="3"/>
    <n v="80"/>
    <n v="0"/>
    <n v="19"/>
    <n v="3"/>
    <x v="0"/>
    <x v="1"/>
    <x v="0"/>
    <n v="0"/>
  </r>
  <r>
    <s v="RM511"/>
    <n v="54"/>
    <x v="3"/>
    <s v="No"/>
    <n v="0"/>
    <s v="Travel_Rarely"/>
    <n v="397"/>
    <x v="2"/>
    <x v="19"/>
    <x v="3"/>
    <x v="1"/>
    <n v="1"/>
    <n v="698"/>
    <x v="0"/>
    <x v="0"/>
    <n v="88"/>
    <n v="3"/>
    <x v="2"/>
    <x v="3"/>
    <x v="1"/>
    <x v="2"/>
    <n v="10725"/>
    <x v="2"/>
    <n v="6729"/>
    <n v="2"/>
    <s v="Y"/>
    <x v="0"/>
    <n v="15"/>
    <n v="3"/>
    <n v="3"/>
    <n v="80"/>
    <n v="1"/>
    <n v="16"/>
    <n v="1"/>
    <x v="1"/>
    <x v="9"/>
    <x v="6"/>
    <n v="7"/>
  </r>
  <r>
    <s v="RM576"/>
    <n v="54"/>
    <x v="3"/>
    <s v="No"/>
    <n v="0"/>
    <s v="Travel_Rarely"/>
    <n v="376"/>
    <x v="0"/>
    <x v="19"/>
    <x v="3"/>
    <x v="1"/>
    <n v="1"/>
    <n v="799"/>
    <x v="1"/>
    <x v="1"/>
    <n v="95"/>
    <n v="3"/>
    <x v="1"/>
    <x v="4"/>
    <x v="3"/>
    <x v="1"/>
    <n v="5485"/>
    <x v="1"/>
    <n v="22670"/>
    <n v="9"/>
    <s v="Y"/>
    <x v="1"/>
    <n v="11"/>
    <n v="3"/>
    <n v="2"/>
    <n v="80"/>
    <n v="2"/>
    <n v="9"/>
    <n v="4"/>
    <x v="0"/>
    <x v="5"/>
    <x v="3"/>
    <n v="1"/>
  </r>
  <r>
    <s v="RM729"/>
    <n v="54"/>
    <x v="3"/>
    <s v="No"/>
    <n v="0"/>
    <s v="Travel_Rarely"/>
    <n v="1441"/>
    <x v="0"/>
    <x v="24"/>
    <x v="0"/>
    <x v="3"/>
    <n v="1"/>
    <n v="1013"/>
    <x v="0"/>
    <x v="1"/>
    <n v="56"/>
    <n v="3"/>
    <x v="2"/>
    <x v="4"/>
    <x v="0"/>
    <x v="2"/>
    <n v="10739"/>
    <x v="2"/>
    <n v="13943"/>
    <n v="8"/>
    <s v="Y"/>
    <x v="0"/>
    <n v="11"/>
    <n v="3"/>
    <n v="3"/>
    <n v="80"/>
    <n v="1"/>
    <n v="22"/>
    <n v="2"/>
    <x v="0"/>
    <x v="10"/>
    <x v="6"/>
    <n v="0"/>
  </r>
  <r>
    <s v="RM772"/>
    <n v="54"/>
    <x v="3"/>
    <s v="No"/>
    <n v="0"/>
    <s v="Travel_Rarely"/>
    <n v="1082"/>
    <x v="1"/>
    <x v="7"/>
    <x v="3"/>
    <x v="0"/>
    <n v="1"/>
    <n v="1070"/>
    <x v="0"/>
    <x v="1"/>
    <n v="41"/>
    <n v="2"/>
    <x v="2"/>
    <x v="5"/>
    <x v="0"/>
    <x v="2"/>
    <n v="10686"/>
    <x v="2"/>
    <n v="8392"/>
    <n v="6"/>
    <s v="Y"/>
    <x v="0"/>
    <n v="11"/>
    <n v="3"/>
    <n v="2"/>
    <n v="80"/>
    <n v="1"/>
    <n v="13"/>
    <n v="4"/>
    <x v="0"/>
    <x v="9"/>
    <x v="4"/>
    <n v="7"/>
  </r>
  <r>
    <s v="RM891"/>
    <n v="54"/>
    <x v="3"/>
    <s v="No"/>
    <n v="0"/>
    <s v="Travel_Frequently"/>
    <n v="966"/>
    <x v="0"/>
    <x v="4"/>
    <x v="3"/>
    <x v="0"/>
    <n v="1"/>
    <n v="1245"/>
    <x v="1"/>
    <x v="1"/>
    <n v="53"/>
    <n v="3"/>
    <x v="2"/>
    <x v="4"/>
    <x v="0"/>
    <x v="1"/>
    <n v="10502"/>
    <x v="2"/>
    <n v="9659"/>
    <n v="7"/>
    <s v="Y"/>
    <x v="0"/>
    <n v="17"/>
    <n v="3"/>
    <n v="1"/>
    <n v="80"/>
    <n v="1"/>
    <n v="33"/>
    <n v="2"/>
    <x v="2"/>
    <x v="5"/>
    <x v="4"/>
    <n v="1"/>
  </r>
  <r>
    <s v="RM895"/>
    <n v="54"/>
    <x v="3"/>
    <s v="No"/>
    <n v="0"/>
    <s v="Travel_Rarely"/>
    <n v="685"/>
    <x v="0"/>
    <x v="0"/>
    <x v="0"/>
    <x v="0"/>
    <n v="1"/>
    <n v="1250"/>
    <x v="1"/>
    <x v="0"/>
    <n v="85"/>
    <n v="3"/>
    <x v="3"/>
    <x v="7"/>
    <x v="2"/>
    <x v="2"/>
    <n v="17779"/>
    <x v="3"/>
    <n v="23474"/>
    <n v="3"/>
    <s v="Y"/>
    <x v="0"/>
    <n v="14"/>
    <n v="3"/>
    <n v="1"/>
    <n v="80"/>
    <n v="0"/>
    <n v="36"/>
    <n v="2"/>
    <x v="0"/>
    <x v="10"/>
    <x v="9"/>
    <n v="0"/>
  </r>
  <r>
    <s v="RM1009"/>
    <n v="54"/>
    <x v="3"/>
    <s v="No"/>
    <n v="0"/>
    <s v="Travel_Rarely"/>
    <n v="971"/>
    <x v="0"/>
    <x v="4"/>
    <x v="0"/>
    <x v="1"/>
    <n v="1"/>
    <n v="1422"/>
    <x v="1"/>
    <x v="1"/>
    <n v="54"/>
    <n v="3"/>
    <x v="3"/>
    <x v="7"/>
    <x v="2"/>
    <x v="0"/>
    <n v="17328"/>
    <x v="3"/>
    <n v="5652"/>
    <n v="6"/>
    <s v="Y"/>
    <x v="0"/>
    <n v="19"/>
    <n v="3"/>
    <n v="4"/>
    <n v="80"/>
    <n v="0"/>
    <n v="29"/>
    <n v="3"/>
    <x v="3"/>
    <x v="20"/>
    <x v="6"/>
    <n v="12"/>
  </r>
  <r>
    <s v="RM1077"/>
    <n v="54"/>
    <x v="3"/>
    <s v="No"/>
    <n v="0"/>
    <s v="Travel_Frequently"/>
    <n v="1050"/>
    <x v="0"/>
    <x v="13"/>
    <x v="3"/>
    <x v="1"/>
    <n v="1"/>
    <n v="1520"/>
    <x v="2"/>
    <x v="1"/>
    <n v="87"/>
    <n v="3"/>
    <x v="3"/>
    <x v="8"/>
    <x v="2"/>
    <x v="1"/>
    <n v="16032"/>
    <x v="3"/>
    <n v="24456"/>
    <n v="3"/>
    <s v="Y"/>
    <x v="0"/>
    <n v="20"/>
    <n v="4"/>
    <n v="1"/>
    <n v="80"/>
    <n v="1"/>
    <n v="26"/>
    <n v="2"/>
    <x v="0"/>
    <x v="14"/>
    <x v="9"/>
    <n v="1"/>
  </r>
  <r>
    <s v="RM1185"/>
    <n v="54"/>
    <x v="3"/>
    <s v="No"/>
    <n v="0"/>
    <s v="Travel_Rarely"/>
    <n v="584"/>
    <x v="0"/>
    <x v="6"/>
    <x v="4"/>
    <x v="1"/>
    <n v="1"/>
    <n v="1665"/>
    <x v="2"/>
    <x v="1"/>
    <n v="91"/>
    <n v="3"/>
    <x v="3"/>
    <x v="8"/>
    <x v="0"/>
    <x v="2"/>
    <n v="17426"/>
    <x v="3"/>
    <n v="18685"/>
    <n v="3"/>
    <s v="Y"/>
    <x v="0"/>
    <n v="25"/>
    <n v="4"/>
    <n v="3"/>
    <n v="80"/>
    <n v="1"/>
    <n v="36"/>
    <n v="6"/>
    <x v="0"/>
    <x v="10"/>
    <x v="7"/>
    <n v="4"/>
  </r>
  <r>
    <s v="RM1306"/>
    <n v="54"/>
    <x v="3"/>
    <s v="No"/>
    <n v="0"/>
    <s v="Travel_Rarely"/>
    <n v="431"/>
    <x v="0"/>
    <x v="17"/>
    <x v="3"/>
    <x v="1"/>
    <n v="1"/>
    <n v="1830"/>
    <x v="1"/>
    <x v="1"/>
    <n v="68"/>
    <n v="3"/>
    <x v="1"/>
    <x v="2"/>
    <x v="2"/>
    <x v="2"/>
    <n v="6854"/>
    <x v="1"/>
    <n v="15696"/>
    <n v="4"/>
    <s v="Y"/>
    <x v="0"/>
    <n v="15"/>
    <n v="3"/>
    <n v="2"/>
    <n v="80"/>
    <n v="1"/>
    <n v="14"/>
    <n v="2"/>
    <x v="3"/>
    <x v="7"/>
    <x v="1"/>
    <n v="1"/>
  </r>
  <r>
    <s v="RM1398"/>
    <n v="54"/>
    <x v="3"/>
    <s v="No"/>
    <n v="0"/>
    <s v="Travel_Rarely"/>
    <n v="155"/>
    <x v="0"/>
    <x v="9"/>
    <x v="1"/>
    <x v="0"/>
    <n v="1"/>
    <n v="1969"/>
    <x v="3"/>
    <x v="1"/>
    <n v="67"/>
    <n v="3"/>
    <x v="1"/>
    <x v="2"/>
    <x v="0"/>
    <x v="2"/>
    <n v="2897"/>
    <x v="0"/>
    <n v="22474"/>
    <n v="3"/>
    <s v="Y"/>
    <x v="0"/>
    <n v="11"/>
    <n v="3"/>
    <n v="3"/>
    <n v="80"/>
    <n v="2"/>
    <n v="9"/>
    <n v="6"/>
    <x v="3"/>
    <x v="4"/>
    <x v="3"/>
    <n v="2"/>
  </r>
  <r>
    <s v="RM1407"/>
    <n v="54"/>
    <x v="3"/>
    <s v="No"/>
    <n v="0"/>
    <s v="Travel_Rarely"/>
    <n v="157"/>
    <x v="0"/>
    <x v="1"/>
    <x v="0"/>
    <x v="1"/>
    <n v="1"/>
    <n v="1980"/>
    <x v="0"/>
    <x v="1"/>
    <n v="77"/>
    <n v="3"/>
    <x v="1"/>
    <x v="4"/>
    <x v="3"/>
    <x v="0"/>
    <n v="4440"/>
    <x v="0"/>
    <n v="25198"/>
    <n v="6"/>
    <s v="Y"/>
    <x v="1"/>
    <n v="19"/>
    <n v="3"/>
    <n v="4"/>
    <n v="80"/>
    <n v="0"/>
    <n v="9"/>
    <n v="3"/>
    <x v="0"/>
    <x v="5"/>
    <x v="2"/>
    <n v="1"/>
  </r>
  <r>
    <s v="RM066"/>
    <n v="55"/>
    <x v="3"/>
    <s v="No"/>
    <n v="0"/>
    <s v="Travel_Rarely"/>
    <n v="836"/>
    <x v="0"/>
    <x v="3"/>
    <x v="0"/>
    <x v="1"/>
    <n v="1"/>
    <n v="84"/>
    <x v="1"/>
    <x v="1"/>
    <n v="33"/>
    <n v="3"/>
    <x v="3"/>
    <x v="8"/>
    <x v="0"/>
    <x v="1"/>
    <n v="14756"/>
    <x v="2"/>
    <n v="19730"/>
    <n v="2"/>
    <s v="Y"/>
    <x v="1"/>
    <n v="14"/>
    <n v="3"/>
    <n v="3"/>
    <n v="80"/>
    <n v="3"/>
    <n v="21"/>
    <n v="2"/>
    <x v="0"/>
    <x v="5"/>
    <x v="0"/>
    <n v="0"/>
  </r>
  <r>
    <s v="RM083"/>
    <n v="55"/>
    <x v="3"/>
    <s v="No"/>
    <n v="0"/>
    <s v="Travel_Rarely"/>
    <n v="111"/>
    <x v="1"/>
    <x v="4"/>
    <x v="1"/>
    <x v="0"/>
    <n v="1"/>
    <n v="106"/>
    <x v="3"/>
    <x v="0"/>
    <n v="70"/>
    <n v="3"/>
    <x v="2"/>
    <x v="5"/>
    <x v="2"/>
    <x v="2"/>
    <n v="10239"/>
    <x v="2"/>
    <n v="18092"/>
    <n v="3"/>
    <s v="Y"/>
    <x v="0"/>
    <n v="14"/>
    <n v="3"/>
    <n v="4"/>
    <n v="80"/>
    <n v="1"/>
    <n v="24"/>
    <n v="4"/>
    <x v="0"/>
    <x v="1"/>
    <x v="0"/>
    <n v="1"/>
  </r>
  <r>
    <s v="RM188"/>
    <n v="55"/>
    <x v="3"/>
    <s v="No"/>
    <n v="0"/>
    <s v="Travel_Rarely"/>
    <n v="692"/>
    <x v="0"/>
    <x v="5"/>
    <x v="3"/>
    <x v="1"/>
    <n v="1"/>
    <n v="254"/>
    <x v="0"/>
    <x v="0"/>
    <n v="61"/>
    <n v="4"/>
    <x v="4"/>
    <x v="7"/>
    <x v="1"/>
    <x v="0"/>
    <n v="18722"/>
    <x v="3"/>
    <n v="13339"/>
    <n v="8"/>
    <s v="Y"/>
    <x v="0"/>
    <n v="11"/>
    <n v="3"/>
    <n v="4"/>
    <n v="80"/>
    <n v="0"/>
    <n v="36"/>
    <n v="3"/>
    <x v="0"/>
    <x v="23"/>
    <x v="15"/>
    <n v="2"/>
  </r>
  <r>
    <s v="RM271"/>
    <n v="55"/>
    <x v="3"/>
    <s v="No"/>
    <n v="0"/>
    <s v="Travel_Rarely"/>
    <n v="452"/>
    <x v="0"/>
    <x v="4"/>
    <x v="0"/>
    <x v="1"/>
    <n v="1"/>
    <n v="374"/>
    <x v="1"/>
    <x v="0"/>
    <n v="81"/>
    <n v="3"/>
    <x v="4"/>
    <x v="8"/>
    <x v="3"/>
    <x v="0"/>
    <n v="19045"/>
    <x v="3"/>
    <n v="18938"/>
    <n v="0"/>
    <s v="Y"/>
    <x v="1"/>
    <n v="14"/>
    <n v="3"/>
    <n v="3"/>
    <n v="80"/>
    <n v="0"/>
    <n v="37"/>
    <n v="2"/>
    <x v="0"/>
    <x v="34"/>
    <x v="10"/>
    <n v="4"/>
  </r>
  <r>
    <s v="RM284"/>
    <n v="55"/>
    <x v="3"/>
    <s v="No"/>
    <n v="0"/>
    <s v="Travel_Rarely"/>
    <n v="147"/>
    <x v="0"/>
    <x v="21"/>
    <x v="1"/>
    <x v="3"/>
    <n v="1"/>
    <n v="389"/>
    <x v="2"/>
    <x v="0"/>
    <n v="37"/>
    <n v="3"/>
    <x v="1"/>
    <x v="0"/>
    <x v="2"/>
    <x v="2"/>
    <n v="5415"/>
    <x v="1"/>
    <n v="15972"/>
    <n v="3"/>
    <s v="Y"/>
    <x v="1"/>
    <n v="19"/>
    <n v="3"/>
    <n v="4"/>
    <n v="80"/>
    <n v="1"/>
    <n v="12"/>
    <n v="4"/>
    <x v="0"/>
    <x v="10"/>
    <x v="6"/>
    <n v="0"/>
  </r>
  <r>
    <s v="RM380"/>
    <n v="55"/>
    <x v="3"/>
    <s v="No"/>
    <n v="0"/>
    <s v="Travel_Rarely"/>
    <n v="1311"/>
    <x v="0"/>
    <x v="7"/>
    <x v="0"/>
    <x v="0"/>
    <n v="1"/>
    <n v="505"/>
    <x v="0"/>
    <x v="1"/>
    <n v="97"/>
    <n v="3"/>
    <x v="3"/>
    <x v="8"/>
    <x v="2"/>
    <x v="0"/>
    <n v="16659"/>
    <x v="3"/>
    <n v="23258"/>
    <n v="2"/>
    <s v="Y"/>
    <x v="1"/>
    <n v="13"/>
    <n v="3"/>
    <n v="3"/>
    <n v="80"/>
    <n v="0"/>
    <n v="30"/>
    <n v="2"/>
    <x v="0"/>
    <x v="5"/>
    <x v="4"/>
    <n v="1"/>
  </r>
  <r>
    <s v="RM446"/>
    <n v="55"/>
    <x v="3"/>
    <s v="No"/>
    <n v="0"/>
    <s v="Travel_Rarely"/>
    <n v="1117"/>
    <x v="1"/>
    <x v="16"/>
    <x v="4"/>
    <x v="0"/>
    <n v="1"/>
    <n v="597"/>
    <x v="3"/>
    <x v="1"/>
    <n v="83"/>
    <n v="3"/>
    <x v="3"/>
    <x v="8"/>
    <x v="1"/>
    <x v="0"/>
    <n v="16835"/>
    <x v="3"/>
    <n v="9873"/>
    <n v="3"/>
    <s v="Y"/>
    <x v="0"/>
    <n v="23"/>
    <n v="4"/>
    <n v="4"/>
    <n v="80"/>
    <n v="0"/>
    <n v="37"/>
    <n v="2"/>
    <x v="0"/>
    <x v="10"/>
    <x v="9"/>
    <n v="7"/>
  </r>
  <r>
    <s v="RM569"/>
    <n v="55"/>
    <x v="3"/>
    <s v="Yes"/>
    <n v="1"/>
    <s v="Travel_Rarely"/>
    <n v="725"/>
    <x v="0"/>
    <x v="7"/>
    <x v="0"/>
    <x v="1"/>
    <n v="1"/>
    <n v="787"/>
    <x v="1"/>
    <x v="0"/>
    <n v="78"/>
    <n v="3"/>
    <x v="4"/>
    <x v="8"/>
    <x v="3"/>
    <x v="2"/>
    <n v="19859"/>
    <x v="3"/>
    <n v="21199"/>
    <n v="5"/>
    <s v="Y"/>
    <x v="1"/>
    <n v="13"/>
    <n v="3"/>
    <n v="4"/>
    <n v="80"/>
    <n v="1"/>
    <n v="24"/>
    <n v="2"/>
    <x v="0"/>
    <x v="5"/>
    <x v="2"/>
    <n v="1"/>
  </r>
  <r>
    <s v="RM609"/>
    <n v="55"/>
    <x v="3"/>
    <s v="Yes"/>
    <n v="1"/>
    <s v="Travel_Rarely"/>
    <n v="436"/>
    <x v="1"/>
    <x v="7"/>
    <x v="2"/>
    <x v="1"/>
    <n v="1"/>
    <n v="842"/>
    <x v="0"/>
    <x v="0"/>
    <n v="37"/>
    <n v="3"/>
    <x v="1"/>
    <x v="5"/>
    <x v="2"/>
    <x v="0"/>
    <n v="5160"/>
    <x v="1"/>
    <n v="21519"/>
    <n v="4"/>
    <s v="Y"/>
    <x v="0"/>
    <n v="16"/>
    <n v="3"/>
    <n v="3"/>
    <n v="80"/>
    <n v="0"/>
    <n v="12"/>
    <n v="3"/>
    <x v="3"/>
    <x v="9"/>
    <x v="6"/>
    <n v="7"/>
  </r>
  <r>
    <s v="RM746"/>
    <n v="55"/>
    <x v="3"/>
    <s v="No"/>
    <n v="0"/>
    <s v="Travel_Frequently"/>
    <n v="135"/>
    <x v="0"/>
    <x v="16"/>
    <x v="3"/>
    <x v="1"/>
    <n v="1"/>
    <n v="1034"/>
    <x v="0"/>
    <x v="0"/>
    <n v="62"/>
    <n v="3"/>
    <x v="1"/>
    <x v="6"/>
    <x v="1"/>
    <x v="2"/>
    <n v="6385"/>
    <x v="1"/>
    <n v="12992"/>
    <n v="3"/>
    <s v="Y"/>
    <x v="1"/>
    <n v="14"/>
    <n v="3"/>
    <n v="4"/>
    <n v="80"/>
    <n v="2"/>
    <n v="17"/>
    <n v="3"/>
    <x v="0"/>
    <x v="8"/>
    <x v="6"/>
    <n v="6"/>
  </r>
  <r>
    <s v="RM775"/>
    <n v="55"/>
    <x v="3"/>
    <s v="No"/>
    <n v="0"/>
    <s v="Non-Travel"/>
    <n v="444"/>
    <x v="0"/>
    <x v="7"/>
    <x v="2"/>
    <x v="1"/>
    <n v="1"/>
    <n v="1074"/>
    <x v="0"/>
    <x v="0"/>
    <n v="40"/>
    <n v="2"/>
    <x v="3"/>
    <x v="8"/>
    <x v="3"/>
    <x v="0"/>
    <n v="16756"/>
    <x v="3"/>
    <n v="17323"/>
    <n v="7"/>
    <s v="Y"/>
    <x v="0"/>
    <n v="15"/>
    <n v="3"/>
    <n v="2"/>
    <n v="80"/>
    <n v="0"/>
    <n v="31"/>
    <n v="3"/>
    <x v="1"/>
    <x v="9"/>
    <x v="6"/>
    <n v="6"/>
  </r>
  <r>
    <s v="RM788"/>
    <n v="55"/>
    <x v="3"/>
    <s v="No"/>
    <n v="0"/>
    <s v="Travel_Frequently"/>
    <n v="1091"/>
    <x v="0"/>
    <x v="7"/>
    <x v="2"/>
    <x v="0"/>
    <n v="1"/>
    <n v="1096"/>
    <x v="1"/>
    <x v="0"/>
    <n v="65"/>
    <n v="3"/>
    <x v="2"/>
    <x v="4"/>
    <x v="1"/>
    <x v="2"/>
    <n v="10976"/>
    <x v="2"/>
    <n v="15813"/>
    <n v="3"/>
    <s v="Y"/>
    <x v="0"/>
    <n v="18"/>
    <n v="3"/>
    <n v="2"/>
    <n v="80"/>
    <n v="1"/>
    <n v="23"/>
    <n v="4"/>
    <x v="0"/>
    <x v="3"/>
    <x v="2"/>
    <n v="1"/>
  </r>
  <r>
    <s v="RM915"/>
    <n v="55"/>
    <x v="3"/>
    <s v="No"/>
    <n v="0"/>
    <s v="Non-Travel"/>
    <n v="177"/>
    <x v="0"/>
    <x v="3"/>
    <x v="2"/>
    <x v="1"/>
    <n v="1"/>
    <n v="1278"/>
    <x v="1"/>
    <x v="0"/>
    <n v="37"/>
    <n v="2"/>
    <x v="3"/>
    <x v="6"/>
    <x v="1"/>
    <x v="1"/>
    <n v="13577"/>
    <x v="2"/>
    <n v="25592"/>
    <n v="1"/>
    <s v="Y"/>
    <x v="1"/>
    <n v="15"/>
    <n v="3"/>
    <n v="4"/>
    <n v="80"/>
    <n v="1"/>
    <n v="34"/>
    <n v="3"/>
    <x v="0"/>
    <x v="32"/>
    <x v="9"/>
    <n v="15"/>
  </r>
  <r>
    <s v="RM956"/>
    <n v="55"/>
    <x v="3"/>
    <s v="No"/>
    <n v="0"/>
    <s v="Travel_Rarely"/>
    <n v="282"/>
    <x v="0"/>
    <x v="7"/>
    <x v="1"/>
    <x v="1"/>
    <n v="1"/>
    <n v="1336"/>
    <x v="1"/>
    <x v="1"/>
    <n v="58"/>
    <n v="1"/>
    <x v="4"/>
    <x v="8"/>
    <x v="0"/>
    <x v="2"/>
    <n v="19187"/>
    <x v="3"/>
    <n v="6992"/>
    <n v="4"/>
    <s v="Y"/>
    <x v="0"/>
    <n v="14"/>
    <n v="3"/>
    <n v="4"/>
    <n v="80"/>
    <n v="1"/>
    <n v="23"/>
    <n v="5"/>
    <x v="0"/>
    <x v="19"/>
    <x v="9"/>
    <n v="9"/>
  </r>
  <r>
    <s v="RM976"/>
    <n v="55"/>
    <x v="3"/>
    <s v="Yes"/>
    <n v="1"/>
    <s v="Travel_Rarely"/>
    <n v="267"/>
    <x v="1"/>
    <x v="25"/>
    <x v="3"/>
    <x v="2"/>
    <n v="1"/>
    <n v="1372"/>
    <x v="3"/>
    <x v="0"/>
    <n v="85"/>
    <n v="4"/>
    <x v="3"/>
    <x v="5"/>
    <x v="0"/>
    <x v="0"/>
    <n v="13695"/>
    <x v="2"/>
    <n v="9277"/>
    <n v="6"/>
    <s v="Y"/>
    <x v="1"/>
    <n v="17"/>
    <n v="3"/>
    <n v="3"/>
    <n v="80"/>
    <n v="0"/>
    <n v="24"/>
    <n v="2"/>
    <x v="3"/>
    <x v="19"/>
    <x v="6"/>
    <n v="3"/>
  </r>
  <r>
    <s v="RM1011"/>
    <n v="55"/>
    <x v="3"/>
    <s v="No"/>
    <n v="0"/>
    <s v="Travel_Rarely"/>
    <n v="1136"/>
    <x v="0"/>
    <x v="4"/>
    <x v="3"/>
    <x v="1"/>
    <n v="1"/>
    <n v="1424"/>
    <x v="2"/>
    <x v="0"/>
    <n v="81"/>
    <n v="4"/>
    <x v="3"/>
    <x v="7"/>
    <x v="2"/>
    <x v="1"/>
    <n v="14732"/>
    <x v="2"/>
    <n v="12414"/>
    <n v="2"/>
    <s v="Y"/>
    <x v="0"/>
    <n v="13"/>
    <n v="3"/>
    <n v="4"/>
    <n v="80"/>
    <n v="2"/>
    <n v="31"/>
    <n v="4"/>
    <x v="1"/>
    <x v="7"/>
    <x v="6"/>
    <n v="0"/>
  </r>
  <r>
    <s v="RM1066"/>
    <n v="55"/>
    <x v="3"/>
    <s v="No"/>
    <n v="0"/>
    <s v="Travel_Rarely"/>
    <n v="1229"/>
    <x v="0"/>
    <x v="12"/>
    <x v="3"/>
    <x v="0"/>
    <n v="1"/>
    <n v="1501"/>
    <x v="1"/>
    <x v="0"/>
    <n v="30"/>
    <n v="3"/>
    <x v="1"/>
    <x v="6"/>
    <x v="0"/>
    <x v="2"/>
    <n v="4035"/>
    <x v="0"/>
    <n v="16143"/>
    <n v="0"/>
    <s v="Y"/>
    <x v="1"/>
    <n v="16"/>
    <n v="3"/>
    <n v="2"/>
    <n v="80"/>
    <n v="0"/>
    <n v="4"/>
    <n v="2"/>
    <x v="0"/>
    <x v="3"/>
    <x v="2"/>
    <n v="1"/>
  </r>
  <r>
    <s v="RM1117"/>
    <n v="55"/>
    <x v="3"/>
    <s v="No"/>
    <n v="0"/>
    <s v="Travel_Rarely"/>
    <n v="685"/>
    <x v="1"/>
    <x v="20"/>
    <x v="4"/>
    <x v="2"/>
    <n v="1"/>
    <n v="1578"/>
    <x v="0"/>
    <x v="0"/>
    <n v="60"/>
    <n v="2"/>
    <x v="4"/>
    <x v="8"/>
    <x v="2"/>
    <x v="2"/>
    <n v="19586"/>
    <x v="3"/>
    <n v="23037"/>
    <n v="1"/>
    <s v="Y"/>
    <x v="0"/>
    <n v="21"/>
    <n v="4"/>
    <n v="3"/>
    <n v="80"/>
    <n v="1"/>
    <n v="36"/>
    <n v="3"/>
    <x v="0"/>
    <x v="34"/>
    <x v="8"/>
    <n v="2"/>
  </r>
  <r>
    <s v="RM1208"/>
    <n v="55"/>
    <x v="3"/>
    <s v="No"/>
    <n v="0"/>
    <s v="Travel_Rarely"/>
    <n v="1441"/>
    <x v="0"/>
    <x v="6"/>
    <x v="0"/>
    <x v="3"/>
    <n v="1"/>
    <n v="1694"/>
    <x v="3"/>
    <x v="0"/>
    <n v="94"/>
    <n v="2"/>
    <x v="0"/>
    <x v="2"/>
    <x v="1"/>
    <x v="1"/>
    <n v="3537"/>
    <x v="0"/>
    <n v="23737"/>
    <n v="5"/>
    <s v="Y"/>
    <x v="0"/>
    <n v="12"/>
    <n v="3"/>
    <n v="4"/>
    <n v="80"/>
    <n v="1"/>
    <n v="8"/>
    <n v="1"/>
    <x v="0"/>
    <x v="4"/>
    <x v="2"/>
    <n v="1"/>
  </r>
  <r>
    <s v="RM1265"/>
    <n v="55"/>
    <x v="3"/>
    <s v="No"/>
    <n v="0"/>
    <s v="Travel_Rarely"/>
    <n v="478"/>
    <x v="0"/>
    <x v="7"/>
    <x v="0"/>
    <x v="1"/>
    <n v="1"/>
    <n v="1770"/>
    <x v="0"/>
    <x v="0"/>
    <n v="60"/>
    <n v="2"/>
    <x v="4"/>
    <x v="7"/>
    <x v="3"/>
    <x v="2"/>
    <n v="19038"/>
    <x v="3"/>
    <n v="19805"/>
    <n v="8"/>
    <s v="Y"/>
    <x v="0"/>
    <n v="12"/>
    <n v="3"/>
    <n v="2"/>
    <n v="80"/>
    <n v="3"/>
    <n v="34"/>
    <n v="2"/>
    <x v="0"/>
    <x v="1"/>
    <x v="0"/>
    <n v="0"/>
  </r>
  <r>
    <s v="RM1337"/>
    <n v="55"/>
    <x v="3"/>
    <s v="No"/>
    <n v="0"/>
    <s v="Travel_Rarely"/>
    <n v="836"/>
    <x v="0"/>
    <x v="7"/>
    <x v="3"/>
    <x v="3"/>
    <n v="1"/>
    <n v="1873"/>
    <x v="2"/>
    <x v="0"/>
    <n v="98"/>
    <n v="2"/>
    <x v="0"/>
    <x v="2"/>
    <x v="2"/>
    <x v="2"/>
    <n v="2662"/>
    <x v="0"/>
    <n v="7975"/>
    <n v="8"/>
    <s v="Y"/>
    <x v="0"/>
    <n v="20"/>
    <n v="4"/>
    <n v="2"/>
    <n v="80"/>
    <n v="1"/>
    <n v="19"/>
    <n v="2"/>
    <x v="1"/>
    <x v="5"/>
    <x v="2"/>
    <n v="0"/>
  </r>
  <r>
    <s v="RM1402"/>
    <n v="55"/>
    <x v="3"/>
    <s v="No"/>
    <n v="0"/>
    <s v="Travel_Rarely"/>
    <n v="189"/>
    <x v="2"/>
    <x v="20"/>
    <x v="3"/>
    <x v="5"/>
    <n v="1"/>
    <n v="1973"/>
    <x v="0"/>
    <x v="0"/>
    <n v="71"/>
    <n v="4"/>
    <x v="4"/>
    <x v="8"/>
    <x v="1"/>
    <x v="2"/>
    <n v="19636"/>
    <x v="3"/>
    <n v="25811"/>
    <n v="4"/>
    <s v="Y"/>
    <x v="1"/>
    <n v="18"/>
    <n v="3"/>
    <n v="1"/>
    <n v="80"/>
    <n v="1"/>
    <n v="35"/>
    <n v="0"/>
    <x v="0"/>
    <x v="10"/>
    <x v="9"/>
    <n v="1"/>
  </r>
  <r>
    <s v="RM086"/>
    <n v="56"/>
    <x v="4"/>
    <s v="No"/>
    <n v="0"/>
    <s v="Travel_Rarely"/>
    <n v="1400"/>
    <x v="0"/>
    <x v="17"/>
    <x v="0"/>
    <x v="0"/>
    <n v="1"/>
    <n v="112"/>
    <x v="1"/>
    <x v="0"/>
    <n v="49"/>
    <n v="1"/>
    <x v="2"/>
    <x v="4"/>
    <x v="2"/>
    <x v="0"/>
    <n v="7260"/>
    <x v="1"/>
    <n v="21698"/>
    <n v="4"/>
    <s v="Y"/>
    <x v="0"/>
    <n v="11"/>
    <n v="3"/>
    <n v="1"/>
    <n v="80"/>
    <n v="0"/>
    <n v="37"/>
    <n v="3"/>
    <x v="3"/>
    <x v="6"/>
    <x v="4"/>
    <n v="0"/>
  </r>
  <r>
    <s v="RM123"/>
    <n v="56"/>
    <x v="4"/>
    <s v="Yes"/>
    <n v="1"/>
    <s v="Travel_Rarely"/>
    <n v="441"/>
    <x v="0"/>
    <x v="5"/>
    <x v="3"/>
    <x v="0"/>
    <n v="1"/>
    <n v="161"/>
    <x v="2"/>
    <x v="1"/>
    <n v="72"/>
    <n v="3"/>
    <x v="0"/>
    <x v="2"/>
    <x v="1"/>
    <x v="2"/>
    <n v="4963"/>
    <x v="0"/>
    <n v="4510"/>
    <n v="9"/>
    <s v="Y"/>
    <x v="1"/>
    <n v="18"/>
    <n v="3"/>
    <n v="1"/>
    <n v="80"/>
    <n v="3"/>
    <n v="7"/>
    <n v="2"/>
    <x v="0"/>
    <x v="5"/>
    <x v="4"/>
    <n v="4"/>
  </r>
  <r>
    <s v="RM176"/>
    <n v="56"/>
    <x v="4"/>
    <s v="No"/>
    <n v="0"/>
    <s v="Travel_Rarely"/>
    <n v="713"/>
    <x v="0"/>
    <x v="3"/>
    <x v="0"/>
    <x v="0"/>
    <n v="1"/>
    <n v="241"/>
    <x v="0"/>
    <x v="1"/>
    <n v="67"/>
    <n v="3"/>
    <x v="0"/>
    <x v="2"/>
    <x v="3"/>
    <x v="1"/>
    <n v="4257"/>
    <x v="0"/>
    <n v="13939"/>
    <n v="4"/>
    <s v="Y"/>
    <x v="1"/>
    <n v="18"/>
    <n v="3"/>
    <n v="3"/>
    <n v="80"/>
    <n v="1"/>
    <n v="19"/>
    <n v="3"/>
    <x v="0"/>
    <x v="2"/>
    <x v="2"/>
    <n v="2"/>
  </r>
  <r>
    <s v="RM402"/>
    <n v="56"/>
    <x v="4"/>
    <s v="No"/>
    <n v="0"/>
    <s v="Travel_Frequently"/>
    <n v="906"/>
    <x v="1"/>
    <x v="11"/>
    <x v="0"/>
    <x v="0"/>
    <n v="1"/>
    <n v="532"/>
    <x v="0"/>
    <x v="1"/>
    <n v="86"/>
    <n v="4"/>
    <x v="3"/>
    <x v="5"/>
    <x v="3"/>
    <x v="2"/>
    <n v="13212"/>
    <x v="2"/>
    <n v="18256"/>
    <n v="9"/>
    <s v="Y"/>
    <x v="0"/>
    <n v="11"/>
    <n v="3"/>
    <n v="4"/>
    <n v="80"/>
    <n v="3"/>
    <n v="36"/>
    <n v="0"/>
    <x v="3"/>
    <x v="7"/>
    <x v="6"/>
    <n v="7"/>
  </r>
  <r>
    <s v="RM553"/>
    <n v="56"/>
    <x v="4"/>
    <s v="No"/>
    <n v="0"/>
    <s v="Travel_Rarely"/>
    <n v="832"/>
    <x v="0"/>
    <x v="9"/>
    <x v="0"/>
    <x v="1"/>
    <n v="1"/>
    <n v="762"/>
    <x v="0"/>
    <x v="0"/>
    <n v="81"/>
    <n v="3"/>
    <x v="3"/>
    <x v="6"/>
    <x v="2"/>
    <x v="2"/>
    <n v="11103"/>
    <x v="2"/>
    <n v="20420"/>
    <n v="7"/>
    <s v="Y"/>
    <x v="0"/>
    <n v="11"/>
    <n v="3"/>
    <n v="3"/>
    <n v="80"/>
    <n v="0"/>
    <n v="30"/>
    <n v="1"/>
    <x v="3"/>
    <x v="10"/>
    <x v="6"/>
    <n v="1"/>
  </r>
  <r>
    <s v="RM773"/>
    <n v="56"/>
    <x v="4"/>
    <s v="No"/>
    <n v="0"/>
    <s v="Travel_Frequently"/>
    <n v="1240"/>
    <x v="0"/>
    <x v="9"/>
    <x v="0"/>
    <x v="1"/>
    <n v="1"/>
    <n v="1071"/>
    <x v="3"/>
    <x v="1"/>
    <n v="63"/>
    <n v="3"/>
    <x v="0"/>
    <x v="2"/>
    <x v="0"/>
    <x v="2"/>
    <n v="2942"/>
    <x v="0"/>
    <n v="12154"/>
    <n v="2"/>
    <s v="Y"/>
    <x v="0"/>
    <n v="19"/>
    <n v="3"/>
    <n v="2"/>
    <n v="80"/>
    <n v="1"/>
    <n v="18"/>
    <n v="4"/>
    <x v="0"/>
    <x v="5"/>
    <x v="4"/>
    <n v="0"/>
  </r>
  <r>
    <s v="RM852"/>
    <n v="56"/>
    <x v="4"/>
    <s v="No"/>
    <n v="0"/>
    <s v="Travel_Rarely"/>
    <n v="718"/>
    <x v="0"/>
    <x v="12"/>
    <x v="3"/>
    <x v="3"/>
    <n v="1"/>
    <n v="1191"/>
    <x v="1"/>
    <x v="1"/>
    <n v="92"/>
    <n v="3"/>
    <x v="4"/>
    <x v="8"/>
    <x v="3"/>
    <x v="1"/>
    <n v="19943"/>
    <x v="3"/>
    <n v="18575"/>
    <n v="4"/>
    <s v="Y"/>
    <x v="0"/>
    <n v="13"/>
    <n v="3"/>
    <n v="4"/>
    <n v="80"/>
    <n v="1"/>
    <n v="28"/>
    <n v="2"/>
    <x v="0"/>
    <x v="5"/>
    <x v="2"/>
    <n v="4"/>
  </r>
  <r>
    <s v="RM957"/>
    <n v="56"/>
    <x v="4"/>
    <s v="No"/>
    <n v="0"/>
    <s v="Travel_Rarely"/>
    <n v="206"/>
    <x v="2"/>
    <x v="3"/>
    <x v="3"/>
    <x v="0"/>
    <n v="1"/>
    <n v="1338"/>
    <x v="1"/>
    <x v="0"/>
    <n v="99"/>
    <n v="3"/>
    <x v="4"/>
    <x v="8"/>
    <x v="1"/>
    <x v="0"/>
    <n v="19717"/>
    <x v="3"/>
    <n v="4022"/>
    <n v="6"/>
    <s v="Y"/>
    <x v="0"/>
    <n v="14"/>
    <n v="3"/>
    <n v="1"/>
    <n v="80"/>
    <n v="0"/>
    <n v="36"/>
    <n v="4"/>
    <x v="0"/>
    <x v="7"/>
    <x v="3"/>
    <n v="7"/>
  </r>
  <r>
    <s v="RM977"/>
    <n v="56"/>
    <x v="4"/>
    <s v="No"/>
    <n v="0"/>
    <s v="Travel_Rarely"/>
    <n v="1369"/>
    <x v="0"/>
    <x v="23"/>
    <x v="0"/>
    <x v="0"/>
    <n v="1"/>
    <n v="1373"/>
    <x v="1"/>
    <x v="0"/>
    <n v="68"/>
    <n v="3"/>
    <x v="3"/>
    <x v="4"/>
    <x v="1"/>
    <x v="2"/>
    <n v="13402"/>
    <x v="2"/>
    <n v="18235"/>
    <n v="4"/>
    <s v="Y"/>
    <x v="1"/>
    <n v="12"/>
    <n v="3"/>
    <n v="1"/>
    <n v="80"/>
    <n v="1"/>
    <n v="33"/>
    <n v="0"/>
    <x v="0"/>
    <x v="19"/>
    <x v="16"/>
    <n v="15"/>
  </r>
  <r>
    <s v="RM1024"/>
    <n v="56"/>
    <x v="4"/>
    <s v="No"/>
    <n v="0"/>
    <s v="Travel_Rarely"/>
    <n v="1255"/>
    <x v="0"/>
    <x v="4"/>
    <x v="1"/>
    <x v="0"/>
    <n v="1"/>
    <n v="1441"/>
    <x v="3"/>
    <x v="1"/>
    <n v="90"/>
    <n v="3"/>
    <x v="0"/>
    <x v="2"/>
    <x v="3"/>
    <x v="2"/>
    <n v="2066"/>
    <x v="0"/>
    <n v="10494"/>
    <n v="2"/>
    <s v="Y"/>
    <x v="0"/>
    <n v="22"/>
    <n v="4"/>
    <n v="4"/>
    <n v="80"/>
    <n v="1"/>
    <n v="5"/>
    <n v="3"/>
    <x v="1"/>
    <x v="3"/>
    <x v="2"/>
    <n v="1"/>
  </r>
  <r>
    <s v="RM1355"/>
    <n v="56"/>
    <x v="4"/>
    <s v="Yes"/>
    <n v="1"/>
    <s v="Travel_Rarely"/>
    <n v="1162"/>
    <x v="0"/>
    <x v="22"/>
    <x v="1"/>
    <x v="0"/>
    <n v="1"/>
    <n v="1907"/>
    <x v="3"/>
    <x v="0"/>
    <n v="97"/>
    <n v="3"/>
    <x v="0"/>
    <x v="0"/>
    <x v="2"/>
    <x v="0"/>
    <n v="2587"/>
    <x v="0"/>
    <n v="10261"/>
    <n v="1"/>
    <s v="Y"/>
    <x v="0"/>
    <n v="16"/>
    <n v="3"/>
    <n v="4"/>
    <n v="80"/>
    <n v="0"/>
    <n v="5"/>
    <n v="3"/>
    <x v="0"/>
    <x v="4"/>
    <x v="2"/>
    <n v="1"/>
  </r>
  <r>
    <s v="RM1372"/>
    <n v="56"/>
    <x v="4"/>
    <s v="No"/>
    <n v="0"/>
    <s v="Travel_Rarely"/>
    <n v="1443"/>
    <x v="1"/>
    <x v="13"/>
    <x v="4"/>
    <x v="2"/>
    <n v="1"/>
    <n v="1935"/>
    <x v="1"/>
    <x v="1"/>
    <n v="89"/>
    <n v="2"/>
    <x v="1"/>
    <x v="5"/>
    <x v="3"/>
    <x v="2"/>
    <n v="5380"/>
    <x v="1"/>
    <n v="20328"/>
    <n v="4"/>
    <s v="Y"/>
    <x v="0"/>
    <n v="16"/>
    <n v="3"/>
    <n v="3"/>
    <n v="80"/>
    <n v="1"/>
    <n v="6"/>
    <n v="3"/>
    <x v="0"/>
    <x v="0"/>
    <x v="0"/>
    <n v="0"/>
  </r>
  <r>
    <s v="RM1442"/>
    <n v="56"/>
    <x v="4"/>
    <s v="No"/>
    <n v="0"/>
    <s v="Non-Travel"/>
    <n v="667"/>
    <x v="0"/>
    <x v="4"/>
    <x v="3"/>
    <x v="0"/>
    <n v="1"/>
    <n v="2026"/>
    <x v="0"/>
    <x v="0"/>
    <n v="57"/>
    <n v="3"/>
    <x v="1"/>
    <x v="6"/>
    <x v="0"/>
    <x v="1"/>
    <n v="6306"/>
    <x v="1"/>
    <n v="26236"/>
    <n v="1"/>
    <s v="Y"/>
    <x v="0"/>
    <n v="21"/>
    <n v="4"/>
    <n v="1"/>
    <n v="80"/>
    <n v="1"/>
    <n v="13"/>
    <n v="2"/>
    <x v="3"/>
    <x v="13"/>
    <x v="11"/>
    <n v="1"/>
  </r>
  <r>
    <s v="RM1445"/>
    <n v="56"/>
    <x v="4"/>
    <s v="Yes"/>
    <n v="1"/>
    <s v="Travel_Rarely"/>
    <n v="310"/>
    <x v="0"/>
    <x v="17"/>
    <x v="1"/>
    <x v="3"/>
    <n v="1"/>
    <n v="2032"/>
    <x v="1"/>
    <x v="0"/>
    <n v="72"/>
    <n v="3"/>
    <x v="0"/>
    <x v="0"/>
    <x v="0"/>
    <x v="2"/>
    <n v="2339"/>
    <x v="0"/>
    <n v="3666"/>
    <n v="8"/>
    <s v="Y"/>
    <x v="0"/>
    <n v="11"/>
    <n v="3"/>
    <n v="4"/>
    <n v="80"/>
    <n v="1"/>
    <n v="14"/>
    <n v="4"/>
    <x v="2"/>
    <x v="10"/>
    <x v="9"/>
    <n v="9"/>
  </r>
  <r>
    <s v="RM164"/>
    <n v="57"/>
    <x v="4"/>
    <s v="No"/>
    <n v="0"/>
    <s v="Travel_Rarely"/>
    <n v="334"/>
    <x v="0"/>
    <x v="22"/>
    <x v="1"/>
    <x v="0"/>
    <n v="1"/>
    <n v="223"/>
    <x v="0"/>
    <x v="0"/>
    <n v="83"/>
    <n v="4"/>
    <x v="2"/>
    <x v="6"/>
    <x v="2"/>
    <x v="1"/>
    <n v="9439"/>
    <x v="1"/>
    <n v="23402"/>
    <n v="3"/>
    <s v="Y"/>
    <x v="1"/>
    <n v="16"/>
    <n v="3"/>
    <n v="2"/>
    <n v="80"/>
    <n v="1"/>
    <n v="12"/>
    <n v="2"/>
    <x v="2"/>
    <x v="5"/>
    <x v="3"/>
    <n v="1"/>
  </r>
  <r>
    <s v="RM361"/>
    <n v="57"/>
    <x v="4"/>
    <s v="No"/>
    <n v="0"/>
    <s v="Travel_Rarely"/>
    <n v="593"/>
    <x v="0"/>
    <x v="4"/>
    <x v="3"/>
    <x v="1"/>
    <n v="1"/>
    <n v="482"/>
    <x v="1"/>
    <x v="0"/>
    <n v="88"/>
    <n v="3"/>
    <x v="1"/>
    <x v="6"/>
    <x v="0"/>
    <x v="2"/>
    <n v="6755"/>
    <x v="1"/>
    <n v="2967"/>
    <n v="2"/>
    <s v="Y"/>
    <x v="0"/>
    <n v="11"/>
    <n v="3"/>
    <n v="3"/>
    <n v="80"/>
    <n v="0"/>
    <n v="15"/>
    <n v="2"/>
    <x v="0"/>
    <x v="3"/>
    <x v="2"/>
    <n v="1"/>
  </r>
  <r>
    <s v="RM425"/>
    <n v="57"/>
    <x v="4"/>
    <s v="No"/>
    <n v="0"/>
    <s v="Travel_Rarely"/>
    <n v="210"/>
    <x v="1"/>
    <x v="26"/>
    <x v="0"/>
    <x v="2"/>
    <n v="1"/>
    <n v="568"/>
    <x v="3"/>
    <x v="0"/>
    <n v="56"/>
    <n v="2"/>
    <x v="3"/>
    <x v="8"/>
    <x v="2"/>
    <x v="1"/>
    <n v="14118"/>
    <x v="2"/>
    <n v="22102"/>
    <n v="3"/>
    <s v="Y"/>
    <x v="0"/>
    <n v="12"/>
    <n v="3"/>
    <n v="3"/>
    <n v="80"/>
    <n v="1"/>
    <n v="32"/>
    <n v="3"/>
    <x v="3"/>
    <x v="1"/>
    <x v="0"/>
    <n v="0"/>
  </r>
  <r>
    <s v="RM1054"/>
    <n v="57"/>
    <x v="4"/>
    <s v="No"/>
    <n v="0"/>
    <s v="Travel_Rarely"/>
    <n v="405"/>
    <x v="0"/>
    <x v="4"/>
    <x v="1"/>
    <x v="0"/>
    <n v="1"/>
    <n v="1483"/>
    <x v="2"/>
    <x v="0"/>
    <n v="93"/>
    <n v="4"/>
    <x v="1"/>
    <x v="2"/>
    <x v="0"/>
    <x v="2"/>
    <n v="4900"/>
    <x v="0"/>
    <n v="2721"/>
    <n v="0"/>
    <s v="Y"/>
    <x v="0"/>
    <n v="24"/>
    <n v="4"/>
    <n v="1"/>
    <n v="80"/>
    <n v="1"/>
    <n v="13"/>
    <n v="2"/>
    <x v="3"/>
    <x v="12"/>
    <x v="9"/>
    <n v="2"/>
  </r>
  <r>
    <s v="RM099"/>
    <n v="58"/>
    <x v="4"/>
    <s v="No"/>
    <n v="0"/>
    <s v="Travel_Rarely"/>
    <n v="682"/>
    <x v="1"/>
    <x v="1"/>
    <x v="3"/>
    <x v="1"/>
    <n v="1"/>
    <n v="131"/>
    <x v="1"/>
    <x v="0"/>
    <n v="37"/>
    <n v="3"/>
    <x v="3"/>
    <x v="5"/>
    <x v="0"/>
    <x v="0"/>
    <n v="13872"/>
    <x v="2"/>
    <n v="24409"/>
    <n v="0"/>
    <s v="Y"/>
    <x v="0"/>
    <n v="13"/>
    <n v="3"/>
    <n v="3"/>
    <n v="80"/>
    <n v="0"/>
    <n v="38"/>
    <n v="1"/>
    <x v="3"/>
    <x v="35"/>
    <x v="10"/>
    <n v="1"/>
  </r>
  <r>
    <s v="RM127"/>
    <n v="58"/>
    <x v="4"/>
    <s v="Yes"/>
    <n v="1"/>
    <s v="Travel_Rarely"/>
    <n v="147"/>
    <x v="0"/>
    <x v="23"/>
    <x v="3"/>
    <x v="1"/>
    <n v="1"/>
    <n v="165"/>
    <x v="1"/>
    <x v="1"/>
    <n v="94"/>
    <n v="3"/>
    <x v="2"/>
    <x v="6"/>
    <x v="2"/>
    <x v="2"/>
    <n v="10312"/>
    <x v="2"/>
    <n v="3465"/>
    <n v="1"/>
    <s v="Y"/>
    <x v="0"/>
    <n v="12"/>
    <n v="3"/>
    <n v="4"/>
    <n v="80"/>
    <n v="1"/>
    <n v="40"/>
    <n v="3"/>
    <x v="3"/>
    <x v="36"/>
    <x v="10"/>
    <n v="15"/>
  </r>
  <r>
    <s v="RM158"/>
    <n v="58"/>
    <x v="4"/>
    <s v="No"/>
    <n v="0"/>
    <s v="Travel_Rarely"/>
    <n v="1145"/>
    <x v="0"/>
    <x v="9"/>
    <x v="0"/>
    <x v="1"/>
    <n v="1"/>
    <n v="214"/>
    <x v="2"/>
    <x v="1"/>
    <n v="75"/>
    <n v="2"/>
    <x v="0"/>
    <x v="2"/>
    <x v="1"/>
    <x v="2"/>
    <n v="3346"/>
    <x v="0"/>
    <n v="11873"/>
    <n v="4"/>
    <s v="Y"/>
    <x v="1"/>
    <n v="20"/>
    <n v="4"/>
    <n v="2"/>
    <n v="80"/>
    <n v="1"/>
    <n v="9"/>
    <n v="3"/>
    <x v="3"/>
    <x v="1"/>
    <x v="0"/>
    <n v="0"/>
  </r>
  <r>
    <s v="RM309"/>
    <n v="58"/>
    <x v="4"/>
    <s v="No"/>
    <n v="0"/>
    <s v="Non-Travel"/>
    <n v="390"/>
    <x v="0"/>
    <x v="4"/>
    <x v="3"/>
    <x v="0"/>
    <n v="1"/>
    <n v="422"/>
    <x v="1"/>
    <x v="0"/>
    <n v="32"/>
    <n v="1"/>
    <x v="1"/>
    <x v="6"/>
    <x v="0"/>
    <x v="1"/>
    <n v="5660"/>
    <x v="1"/>
    <n v="17056"/>
    <n v="2"/>
    <s v="Y"/>
    <x v="1"/>
    <n v="13"/>
    <n v="3"/>
    <n v="4"/>
    <n v="80"/>
    <n v="1"/>
    <n v="12"/>
    <n v="2"/>
    <x v="0"/>
    <x v="5"/>
    <x v="3"/>
    <n v="1"/>
  </r>
  <r>
    <s v="RM596"/>
    <n v="58"/>
    <x v="4"/>
    <s v="Yes"/>
    <n v="1"/>
    <s v="Travel_Rarely"/>
    <n v="286"/>
    <x v="0"/>
    <x v="7"/>
    <x v="3"/>
    <x v="0"/>
    <n v="1"/>
    <n v="825"/>
    <x v="1"/>
    <x v="0"/>
    <n v="31"/>
    <n v="3"/>
    <x v="4"/>
    <x v="7"/>
    <x v="1"/>
    <x v="0"/>
    <n v="19246"/>
    <x v="3"/>
    <n v="25761"/>
    <n v="7"/>
    <s v="Y"/>
    <x v="1"/>
    <n v="12"/>
    <n v="3"/>
    <n v="4"/>
    <n v="80"/>
    <n v="0"/>
    <n v="40"/>
    <n v="2"/>
    <x v="0"/>
    <x v="27"/>
    <x v="15"/>
    <n v="13"/>
  </r>
  <r>
    <s v="RM661"/>
    <n v="58"/>
    <x v="4"/>
    <s v="Yes"/>
    <n v="1"/>
    <s v="Travel_Frequently"/>
    <n v="781"/>
    <x v="0"/>
    <x v="7"/>
    <x v="2"/>
    <x v="0"/>
    <n v="1"/>
    <n v="918"/>
    <x v="1"/>
    <x v="0"/>
    <n v="57"/>
    <n v="2"/>
    <x v="0"/>
    <x v="0"/>
    <x v="2"/>
    <x v="1"/>
    <n v="2380"/>
    <x v="0"/>
    <n v="13384"/>
    <n v="9"/>
    <s v="Y"/>
    <x v="1"/>
    <n v="14"/>
    <n v="3"/>
    <n v="4"/>
    <n v="80"/>
    <n v="1"/>
    <n v="3"/>
    <n v="3"/>
    <x v="3"/>
    <x v="1"/>
    <x v="0"/>
    <n v="0"/>
  </r>
  <r>
    <s v="RM675"/>
    <n v="58"/>
    <x v="4"/>
    <s v="No"/>
    <n v="0"/>
    <s v="Travel_Rarely"/>
    <n v="1272"/>
    <x v="0"/>
    <x v="2"/>
    <x v="0"/>
    <x v="3"/>
    <n v="1"/>
    <n v="940"/>
    <x v="0"/>
    <x v="1"/>
    <n v="37"/>
    <n v="2"/>
    <x v="2"/>
    <x v="6"/>
    <x v="1"/>
    <x v="1"/>
    <n v="10552"/>
    <x v="2"/>
    <n v="9255"/>
    <n v="2"/>
    <s v="Y"/>
    <x v="1"/>
    <n v="13"/>
    <n v="3"/>
    <n v="4"/>
    <n v="80"/>
    <n v="1"/>
    <n v="24"/>
    <n v="3"/>
    <x v="0"/>
    <x v="6"/>
    <x v="0"/>
    <n v="0"/>
  </r>
  <r>
    <s v="RM701"/>
    <n v="58"/>
    <x v="4"/>
    <s v="Yes"/>
    <n v="1"/>
    <s v="Travel_Rarely"/>
    <n v="289"/>
    <x v="0"/>
    <x v="7"/>
    <x v="0"/>
    <x v="3"/>
    <n v="1"/>
    <n v="977"/>
    <x v="1"/>
    <x v="0"/>
    <n v="51"/>
    <n v="3"/>
    <x v="0"/>
    <x v="2"/>
    <x v="0"/>
    <x v="0"/>
    <n v="2479"/>
    <x v="0"/>
    <n v="26227"/>
    <n v="4"/>
    <s v="Y"/>
    <x v="0"/>
    <n v="24"/>
    <n v="4"/>
    <n v="1"/>
    <n v="80"/>
    <n v="0"/>
    <n v="7"/>
    <n v="4"/>
    <x v="0"/>
    <x v="1"/>
    <x v="0"/>
    <n v="0"/>
  </r>
  <r>
    <s v="RM939"/>
    <n v="58"/>
    <x v="4"/>
    <s v="No"/>
    <n v="0"/>
    <s v="Travel_Rarely"/>
    <n v="848"/>
    <x v="0"/>
    <x v="23"/>
    <x v="3"/>
    <x v="0"/>
    <n v="1"/>
    <n v="1308"/>
    <x v="3"/>
    <x v="0"/>
    <n v="88"/>
    <n v="3"/>
    <x v="0"/>
    <x v="2"/>
    <x v="0"/>
    <x v="1"/>
    <n v="2372"/>
    <x v="0"/>
    <n v="26076"/>
    <n v="1"/>
    <s v="Y"/>
    <x v="0"/>
    <n v="12"/>
    <n v="3"/>
    <n v="4"/>
    <n v="80"/>
    <n v="2"/>
    <n v="2"/>
    <n v="3"/>
    <x v="0"/>
    <x v="2"/>
    <x v="2"/>
    <n v="2"/>
  </r>
  <r>
    <s v="RM967"/>
    <n v="58"/>
    <x v="4"/>
    <s v="Yes"/>
    <n v="1"/>
    <s v="Travel_Rarely"/>
    <n v="601"/>
    <x v="0"/>
    <x v="17"/>
    <x v="3"/>
    <x v="1"/>
    <n v="1"/>
    <n v="1360"/>
    <x v="0"/>
    <x v="1"/>
    <n v="53"/>
    <n v="2"/>
    <x v="2"/>
    <x v="4"/>
    <x v="3"/>
    <x v="2"/>
    <n v="10008"/>
    <x v="2"/>
    <n v="12023"/>
    <n v="7"/>
    <s v="Y"/>
    <x v="1"/>
    <n v="14"/>
    <n v="3"/>
    <n v="4"/>
    <n v="80"/>
    <n v="0"/>
    <n v="31"/>
    <n v="0"/>
    <x v="3"/>
    <x v="10"/>
    <x v="9"/>
    <n v="5"/>
  </r>
  <r>
    <s v="RM1010"/>
    <n v="58"/>
    <x v="4"/>
    <s v="No"/>
    <n v="0"/>
    <s v="Travel_Rarely"/>
    <n v="1055"/>
    <x v="0"/>
    <x v="4"/>
    <x v="0"/>
    <x v="1"/>
    <n v="1"/>
    <n v="1423"/>
    <x v="1"/>
    <x v="1"/>
    <n v="76"/>
    <n v="3"/>
    <x v="4"/>
    <x v="7"/>
    <x v="3"/>
    <x v="2"/>
    <n v="19701"/>
    <x v="3"/>
    <n v="22456"/>
    <n v="3"/>
    <s v="Y"/>
    <x v="1"/>
    <n v="21"/>
    <n v="4"/>
    <n v="3"/>
    <n v="80"/>
    <n v="1"/>
    <n v="32"/>
    <n v="3"/>
    <x v="0"/>
    <x v="9"/>
    <x v="7"/>
    <n v="1"/>
  </r>
  <r>
    <s v="RM1302"/>
    <n v="58"/>
    <x v="4"/>
    <s v="No"/>
    <n v="0"/>
    <s v="Non-Travel"/>
    <n v="350"/>
    <x v="1"/>
    <x v="7"/>
    <x v="0"/>
    <x v="1"/>
    <n v="1"/>
    <n v="1824"/>
    <x v="2"/>
    <x v="0"/>
    <n v="52"/>
    <n v="3"/>
    <x v="3"/>
    <x v="8"/>
    <x v="1"/>
    <x v="1"/>
    <n v="16291"/>
    <x v="3"/>
    <n v="22577"/>
    <n v="4"/>
    <s v="Y"/>
    <x v="0"/>
    <n v="22"/>
    <n v="4"/>
    <n v="4"/>
    <n v="80"/>
    <n v="1"/>
    <n v="37"/>
    <n v="0"/>
    <x v="3"/>
    <x v="16"/>
    <x v="9"/>
    <n v="14"/>
  </r>
  <r>
    <s v="RM1311"/>
    <n v="58"/>
    <x v="4"/>
    <s v="No"/>
    <n v="0"/>
    <s v="Travel_Frequently"/>
    <n v="1216"/>
    <x v="0"/>
    <x v="14"/>
    <x v="3"/>
    <x v="0"/>
    <n v="1"/>
    <n v="1837"/>
    <x v="3"/>
    <x v="0"/>
    <n v="87"/>
    <n v="3"/>
    <x v="3"/>
    <x v="7"/>
    <x v="0"/>
    <x v="2"/>
    <n v="15787"/>
    <x v="3"/>
    <n v="21624"/>
    <n v="2"/>
    <s v="Y"/>
    <x v="1"/>
    <n v="14"/>
    <n v="3"/>
    <n v="2"/>
    <n v="80"/>
    <n v="0"/>
    <n v="23"/>
    <n v="3"/>
    <x v="0"/>
    <x v="2"/>
    <x v="2"/>
    <n v="2"/>
  </r>
  <r>
    <s v="RM1375"/>
    <n v="58"/>
    <x v="4"/>
    <s v="No"/>
    <n v="0"/>
    <s v="Travel_Rarely"/>
    <n v="605"/>
    <x v="1"/>
    <x v="8"/>
    <x v="0"/>
    <x v="0"/>
    <n v="1"/>
    <n v="1938"/>
    <x v="1"/>
    <x v="1"/>
    <n v="72"/>
    <n v="3"/>
    <x v="3"/>
    <x v="8"/>
    <x v="2"/>
    <x v="2"/>
    <n v="17875"/>
    <x v="3"/>
    <n v="11761"/>
    <n v="4"/>
    <s v="Y"/>
    <x v="1"/>
    <n v="13"/>
    <n v="3"/>
    <n v="3"/>
    <n v="80"/>
    <n v="1"/>
    <n v="29"/>
    <n v="2"/>
    <x v="3"/>
    <x v="1"/>
    <x v="0"/>
    <n v="0"/>
  </r>
  <r>
    <s v="RM007"/>
    <n v="59"/>
    <x v="4"/>
    <s v="No"/>
    <n v="0"/>
    <s v="Travel_Rarely"/>
    <n v="1324"/>
    <x v="0"/>
    <x v="0"/>
    <x v="0"/>
    <x v="1"/>
    <n v="1"/>
    <n v="10"/>
    <x v="0"/>
    <x v="1"/>
    <n v="81"/>
    <n v="4"/>
    <x v="0"/>
    <x v="0"/>
    <x v="3"/>
    <x v="2"/>
    <n v="2670"/>
    <x v="0"/>
    <n v="9964"/>
    <n v="4"/>
    <s v="Y"/>
    <x v="1"/>
    <n v="20"/>
    <n v="4"/>
    <n v="1"/>
    <n v="80"/>
    <n v="3"/>
    <n v="12"/>
    <n v="3"/>
    <x v="3"/>
    <x v="1"/>
    <x v="0"/>
    <n v="0"/>
  </r>
  <r>
    <s v="RM064"/>
    <n v="59"/>
    <x v="4"/>
    <s v="No"/>
    <n v="0"/>
    <s v="Travel_Rarely"/>
    <n v="1435"/>
    <x v="1"/>
    <x v="10"/>
    <x v="0"/>
    <x v="0"/>
    <n v="1"/>
    <n v="81"/>
    <x v="3"/>
    <x v="1"/>
    <n v="99"/>
    <n v="3"/>
    <x v="2"/>
    <x v="5"/>
    <x v="3"/>
    <x v="0"/>
    <n v="7637"/>
    <x v="1"/>
    <n v="2354"/>
    <n v="7"/>
    <s v="Y"/>
    <x v="0"/>
    <n v="11"/>
    <n v="3"/>
    <n v="4"/>
    <n v="80"/>
    <n v="0"/>
    <n v="28"/>
    <n v="3"/>
    <x v="3"/>
    <x v="21"/>
    <x v="16"/>
    <n v="7"/>
  </r>
  <r>
    <s v="RM071"/>
    <n v="59"/>
    <x v="4"/>
    <s v="No"/>
    <n v="0"/>
    <s v="Travel_Frequently"/>
    <n v="1225"/>
    <x v="1"/>
    <x v="4"/>
    <x v="2"/>
    <x v="0"/>
    <n v="1"/>
    <n v="91"/>
    <x v="3"/>
    <x v="1"/>
    <n v="57"/>
    <n v="2"/>
    <x v="1"/>
    <x v="5"/>
    <x v="0"/>
    <x v="0"/>
    <n v="5473"/>
    <x v="1"/>
    <n v="24668"/>
    <n v="7"/>
    <s v="Y"/>
    <x v="0"/>
    <n v="11"/>
    <n v="3"/>
    <n v="4"/>
    <n v="80"/>
    <n v="0"/>
    <n v="20"/>
    <n v="2"/>
    <x v="3"/>
    <x v="4"/>
    <x v="3"/>
    <n v="1"/>
  </r>
  <r>
    <s v="RM106"/>
    <n v="59"/>
    <x v="4"/>
    <s v="No"/>
    <n v="0"/>
    <s v="Non-Travel"/>
    <n v="1420"/>
    <x v="2"/>
    <x v="7"/>
    <x v="3"/>
    <x v="5"/>
    <n v="1"/>
    <n v="140"/>
    <x v="0"/>
    <x v="1"/>
    <n v="32"/>
    <n v="2"/>
    <x v="4"/>
    <x v="8"/>
    <x v="2"/>
    <x v="2"/>
    <n v="18844"/>
    <x v="3"/>
    <n v="21922"/>
    <n v="9"/>
    <s v="Y"/>
    <x v="0"/>
    <n v="21"/>
    <n v="4"/>
    <n v="4"/>
    <n v="80"/>
    <n v="1"/>
    <n v="30"/>
    <n v="3"/>
    <x v="0"/>
    <x v="3"/>
    <x v="2"/>
    <n v="2"/>
  </r>
  <r>
    <s v="RM226"/>
    <n v="59"/>
    <x v="4"/>
    <s v="No"/>
    <n v="0"/>
    <s v="Travel_Rarely"/>
    <n v="142"/>
    <x v="0"/>
    <x v="0"/>
    <x v="0"/>
    <x v="0"/>
    <n v="1"/>
    <n v="309"/>
    <x v="0"/>
    <x v="0"/>
    <n v="70"/>
    <n v="2"/>
    <x v="0"/>
    <x v="2"/>
    <x v="2"/>
    <x v="2"/>
    <n v="2177"/>
    <x v="0"/>
    <n v="8456"/>
    <n v="3"/>
    <s v="Y"/>
    <x v="0"/>
    <n v="17"/>
    <n v="3"/>
    <n v="1"/>
    <n v="80"/>
    <n v="1"/>
    <n v="7"/>
    <n v="6"/>
    <x v="0"/>
    <x v="1"/>
    <x v="0"/>
    <n v="0"/>
  </r>
  <r>
    <s v="RM233"/>
    <n v="59"/>
    <x v="4"/>
    <s v="No"/>
    <n v="0"/>
    <s v="Travel_Rarely"/>
    <n v="818"/>
    <x v="2"/>
    <x v="11"/>
    <x v="1"/>
    <x v="1"/>
    <n v="1"/>
    <n v="321"/>
    <x v="2"/>
    <x v="0"/>
    <n v="52"/>
    <n v="3"/>
    <x v="0"/>
    <x v="3"/>
    <x v="0"/>
    <x v="2"/>
    <n v="2267"/>
    <x v="0"/>
    <n v="25657"/>
    <n v="8"/>
    <s v="Y"/>
    <x v="0"/>
    <n v="17"/>
    <n v="3"/>
    <n v="4"/>
    <n v="80"/>
    <n v="0"/>
    <n v="7"/>
    <n v="2"/>
    <x v="3"/>
    <x v="2"/>
    <x v="2"/>
    <n v="2"/>
  </r>
  <r>
    <s v="RM744"/>
    <n v="59"/>
    <x v="4"/>
    <s v="No"/>
    <n v="0"/>
    <s v="Travel_Rarely"/>
    <n v="715"/>
    <x v="0"/>
    <x v="7"/>
    <x v="0"/>
    <x v="0"/>
    <n v="1"/>
    <n v="1032"/>
    <x v="0"/>
    <x v="1"/>
    <n v="69"/>
    <n v="2"/>
    <x v="3"/>
    <x v="4"/>
    <x v="2"/>
    <x v="0"/>
    <n v="13726"/>
    <x v="2"/>
    <n v="21829"/>
    <n v="3"/>
    <s v="Y"/>
    <x v="1"/>
    <n v="13"/>
    <n v="3"/>
    <n v="1"/>
    <n v="80"/>
    <n v="0"/>
    <n v="30"/>
    <n v="4"/>
    <x v="0"/>
    <x v="5"/>
    <x v="3"/>
    <n v="4"/>
  </r>
  <r>
    <s v="RM759"/>
    <n v="59"/>
    <x v="4"/>
    <s v="No"/>
    <n v="0"/>
    <s v="Travel_Rarely"/>
    <n v="1089"/>
    <x v="1"/>
    <x v="4"/>
    <x v="1"/>
    <x v="3"/>
    <n v="1"/>
    <n v="1048"/>
    <x v="2"/>
    <x v="0"/>
    <n v="66"/>
    <n v="3"/>
    <x v="2"/>
    <x v="8"/>
    <x v="2"/>
    <x v="2"/>
    <n v="11904"/>
    <x v="2"/>
    <n v="11038"/>
    <n v="3"/>
    <s v="Y"/>
    <x v="1"/>
    <n v="14"/>
    <n v="3"/>
    <n v="3"/>
    <n v="80"/>
    <n v="1"/>
    <n v="14"/>
    <n v="1"/>
    <x v="2"/>
    <x v="6"/>
    <x v="4"/>
    <n v="0"/>
  </r>
  <r>
    <s v="RM898"/>
    <n v="59"/>
    <x v="4"/>
    <s v="No"/>
    <n v="0"/>
    <s v="Travel_Rarely"/>
    <n v="326"/>
    <x v="1"/>
    <x v="0"/>
    <x v="0"/>
    <x v="0"/>
    <n v="1"/>
    <n v="1254"/>
    <x v="0"/>
    <x v="1"/>
    <n v="48"/>
    <n v="2"/>
    <x v="1"/>
    <x v="5"/>
    <x v="2"/>
    <x v="0"/>
    <n v="5171"/>
    <x v="1"/>
    <n v="16490"/>
    <n v="5"/>
    <s v="Y"/>
    <x v="0"/>
    <n v="17"/>
    <n v="3"/>
    <n v="4"/>
    <n v="80"/>
    <n v="0"/>
    <n v="13"/>
    <n v="2"/>
    <x v="0"/>
    <x v="6"/>
    <x v="1"/>
    <n v="0"/>
  </r>
  <r>
    <s v="RM920"/>
    <n v="59"/>
    <x v="4"/>
    <s v="No"/>
    <n v="0"/>
    <s v="Travel_Rarely"/>
    <n v="1429"/>
    <x v="0"/>
    <x v="16"/>
    <x v="3"/>
    <x v="1"/>
    <n v="1"/>
    <n v="1283"/>
    <x v="1"/>
    <x v="0"/>
    <n v="67"/>
    <n v="3"/>
    <x v="2"/>
    <x v="4"/>
    <x v="2"/>
    <x v="0"/>
    <n v="10512"/>
    <x v="2"/>
    <n v="20002"/>
    <n v="6"/>
    <s v="Y"/>
    <x v="0"/>
    <n v="12"/>
    <n v="3"/>
    <n v="4"/>
    <n v="80"/>
    <n v="0"/>
    <n v="25"/>
    <n v="6"/>
    <x v="3"/>
    <x v="9"/>
    <x v="6"/>
    <n v="5"/>
  </r>
  <r>
    <s v="RM412"/>
    <n v="60"/>
    <x v="4"/>
    <s v="No"/>
    <n v="0"/>
    <s v="Travel_Rarely"/>
    <n v="422"/>
    <x v="0"/>
    <x v="17"/>
    <x v="0"/>
    <x v="0"/>
    <n v="1"/>
    <n v="549"/>
    <x v="3"/>
    <x v="1"/>
    <n v="41"/>
    <n v="3"/>
    <x v="4"/>
    <x v="8"/>
    <x v="3"/>
    <x v="2"/>
    <n v="19566"/>
    <x v="3"/>
    <n v="3854"/>
    <n v="5"/>
    <s v="Y"/>
    <x v="0"/>
    <n v="11"/>
    <n v="3"/>
    <n v="4"/>
    <n v="80"/>
    <n v="0"/>
    <n v="33"/>
    <n v="5"/>
    <x v="2"/>
    <x v="31"/>
    <x v="7"/>
    <n v="11"/>
  </r>
  <r>
    <s v="RM428"/>
    <n v="60"/>
    <x v="4"/>
    <s v="No"/>
    <n v="0"/>
    <s v="Travel_Frequently"/>
    <n v="1499"/>
    <x v="1"/>
    <x v="27"/>
    <x v="0"/>
    <x v="2"/>
    <n v="1"/>
    <n v="573"/>
    <x v="0"/>
    <x v="1"/>
    <n v="80"/>
    <n v="2"/>
    <x v="2"/>
    <x v="5"/>
    <x v="3"/>
    <x v="2"/>
    <n v="10266"/>
    <x v="2"/>
    <n v="2845"/>
    <n v="4"/>
    <s v="Y"/>
    <x v="0"/>
    <n v="19"/>
    <n v="3"/>
    <n v="4"/>
    <n v="80"/>
    <n v="0"/>
    <n v="22"/>
    <n v="5"/>
    <x v="1"/>
    <x v="18"/>
    <x v="12"/>
    <n v="13"/>
  </r>
  <r>
    <s v="RM537"/>
    <n v="60"/>
    <x v="4"/>
    <s v="No"/>
    <n v="0"/>
    <s v="Travel_Rarely"/>
    <n v="1179"/>
    <x v="1"/>
    <x v="18"/>
    <x v="3"/>
    <x v="2"/>
    <n v="1"/>
    <n v="732"/>
    <x v="3"/>
    <x v="0"/>
    <n v="84"/>
    <n v="3"/>
    <x v="1"/>
    <x v="5"/>
    <x v="3"/>
    <x v="0"/>
    <n v="5405"/>
    <x v="1"/>
    <n v="11924"/>
    <n v="8"/>
    <s v="Y"/>
    <x v="0"/>
    <n v="14"/>
    <n v="3"/>
    <n v="4"/>
    <n v="80"/>
    <n v="0"/>
    <n v="10"/>
    <n v="1"/>
    <x v="0"/>
    <x v="2"/>
    <x v="2"/>
    <n v="2"/>
  </r>
  <r>
    <s v="RM880"/>
    <n v="60"/>
    <x v="4"/>
    <s v="No"/>
    <n v="0"/>
    <s v="Travel_Rarely"/>
    <n v="696"/>
    <x v="1"/>
    <x v="17"/>
    <x v="3"/>
    <x v="2"/>
    <n v="1"/>
    <n v="1233"/>
    <x v="2"/>
    <x v="0"/>
    <n v="52"/>
    <n v="4"/>
    <x v="1"/>
    <x v="5"/>
    <x v="2"/>
    <x v="1"/>
    <n v="5220"/>
    <x v="1"/>
    <n v="10893"/>
    <n v="0"/>
    <s v="Y"/>
    <x v="1"/>
    <n v="18"/>
    <n v="3"/>
    <n v="2"/>
    <n v="80"/>
    <n v="1"/>
    <n v="12"/>
    <n v="3"/>
    <x v="0"/>
    <x v="11"/>
    <x v="6"/>
    <n v="1"/>
  </r>
  <r>
    <s v="RM1210"/>
    <n v="60"/>
    <x v="4"/>
    <s v="No"/>
    <n v="0"/>
    <s v="Travel_Rarely"/>
    <n v="370"/>
    <x v="0"/>
    <x v="4"/>
    <x v="3"/>
    <x v="1"/>
    <n v="1"/>
    <n v="1697"/>
    <x v="0"/>
    <x v="0"/>
    <n v="92"/>
    <n v="1"/>
    <x v="2"/>
    <x v="6"/>
    <x v="2"/>
    <x v="1"/>
    <n v="10883"/>
    <x v="2"/>
    <n v="20467"/>
    <n v="3"/>
    <s v="Y"/>
    <x v="0"/>
    <n v="20"/>
    <n v="4"/>
    <n v="3"/>
    <n v="80"/>
    <n v="1"/>
    <n v="19"/>
    <n v="2"/>
    <x v="1"/>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AD060-E622-4EF0-A15C-E8E13FDB7318}"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F28" firstHeaderRow="1" firstDataRow="2" firstDataCol="1"/>
  <pivotFields count="38">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axis="axisCol"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19"/>
  </colFields>
  <colItems count="5">
    <i>
      <x/>
    </i>
    <i>
      <x v="1"/>
    </i>
    <i>
      <x v="2"/>
    </i>
    <i>
      <x v="3"/>
    </i>
    <i t="grand">
      <x/>
    </i>
  </colItems>
  <dataFields count="1">
    <dataField name="Average of Attrition Count" fld="4" subtotal="average" baseField="7" baseItem="0" numFmtId="2"/>
  </dataFields>
  <chartFormats count="4">
    <chartFormat chart="10" format="41" series="1">
      <pivotArea type="data" outline="0" fieldPosition="0">
        <references count="2">
          <reference field="4294967294" count="1" selected="0">
            <x v="0"/>
          </reference>
          <reference field="19" count="1" selected="0">
            <x v="0"/>
          </reference>
        </references>
      </pivotArea>
    </chartFormat>
    <chartFormat chart="10" format="42" series="1">
      <pivotArea type="data" outline="0" fieldPosition="0">
        <references count="2">
          <reference field="4294967294" count="1" selected="0">
            <x v="0"/>
          </reference>
          <reference field="19" count="1" selected="0">
            <x v="1"/>
          </reference>
        </references>
      </pivotArea>
    </chartFormat>
    <chartFormat chart="10" format="43" series="1">
      <pivotArea type="data" outline="0" fieldPosition="0">
        <references count="2">
          <reference field="4294967294" count="1" selected="0">
            <x v="0"/>
          </reference>
          <reference field="19" count="1" selected="0">
            <x v="2"/>
          </reference>
        </references>
      </pivotArea>
    </chartFormat>
    <chartFormat chart="10" format="4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B3697-405D-4E76-869A-2B0F0BD8F98C}"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3">
    <i>
      <x/>
    </i>
    <i>
      <x v="1"/>
    </i>
    <i t="grand">
      <x/>
    </i>
  </rowItems>
  <colItems count="1">
    <i/>
  </colItems>
  <dataFields count="1">
    <dataField name="Average of Attrition Count" fld="4" subtotal="average" baseField="2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763A8-6953-4B70-A885-BA52E4B83890}"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22:J27"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1"/>
    </i>
    <i>
      <x/>
    </i>
    <i>
      <x v="2"/>
    </i>
    <i>
      <x v="3"/>
    </i>
    <i t="grand">
      <x/>
    </i>
  </rowItems>
  <colItems count="1">
    <i/>
  </colItems>
  <dataFields count="1">
    <dataField name="Sum of Attrition Count" fld="4" baseField="0" baseItem="0"/>
  </dataFields>
  <chartFormats count="1">
    <chartFormat chart="22" format="6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BEB12-349D-4FAD-9138-48FC783EE8E0}"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7:J42" firstHeaderRow="1" firstDataRow="1" firstDataCol="1"/>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dataField="1"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4"/>
  </rowFields>
  <rowItems count="5">
    <i>
      <x v="1"/>
    </i>
    <i>
      <x v="3"/>
    </i>
    <i>
      <x v="2"/>
    </i>
    <i>
      <x/>
    </i>
    <i t="grand">
      <x/>
    </i>
  </rowItems>
  <colItems count="1">
    <i/>
  </colItems>
  <dataFields count="1">
    <dataField name="Average of JobSatisfaction" fld="19" subtotal="average" baseField="34" baseItem="1" numFmtId="2"/>
  </dataFields>
  <chartFormats count="2">
    <chartFormat chart="3" format="1"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8D562D-2614-437C-BDCE-8BAAB2A809CA}" name="PivotTable5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ow Labels">
  <location ref="A44:B51"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items count="6">
        <item x="2"/>
        <item x="1"/>
        <item x="0"/>
        <item x="3"/>
        <item x="4"/>
        <item t="default"/>
      </items>
    </pivotField>
    <pivotField axis="axisRow" showAll="0" sortType="descending">
      <items count="7">
        <item x="5"/>
        <item x="0"/>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v="1"/>
    </i>
    <i>
      <x v="3"/>
    </i>
    <i>
      <x v="2"/>
    </i>
    <i>
      <x v="5"/>
    </i>
    <i>
      <x v="4"/>
    </i>
    <i>
      <x/>
    </i>
    <i t="grand">
      <x/>
    </i>
  </rowItems>
  <colItems count="1">
    <i/>
  </colItems>
  <dataFields count="1">
    <dataField name="Sum of Attrition Count" fld="4" baseField="0" baseItem="0"/>
  </dataFields>
  <chartFormats count="7">
    <chartFormat chart="24" format="105" series="1">
      <pivotArea type="data" outline="0" fieldPosition="0">
        <references count="1">
          <reference field="4294967294" count="1" selected="0">
            <x v="0"/>
          </reference>
        </references>
      </pivotArea>
    </chartFormat>
    <chartFormat chart="24" format="106">
      <pivotArea type="data" outline="0" fieldPosition="0">
        <references count="2">
          <reference field="4294967294" count="1" selected="0">
            <x v="0"/>
          </reference>
          <reference field="10" count="1" selected="0">
            <x v="1"/>
          </reference>
        </references>
      </pivotArea>
    </chartFormat>
    <chartFormat chart="24" format="107">
      <pivotArea type="data" outline="0" fieldPosition="0">
        <references count="2">
          <reference field="4294967294" count="1" selected="0">
            <x v="0"/>
          </reference>
          <reference field="10" count="1" selected="0">
            <x v="3"/>
          </reference>
        </references>
      </pivotArea>
    </chartFormat>
    <chartFormat chart="24" format="108">
      <pivotArea type="data" outline="0" fieldPosition="0">
        <references count="2">
          <reference field="4294967294" count="1" selected="0">
            <x v="0"/>
          </reference>
          <reference field="10" count="1" selected="0">
            <x v="2"/>
          </reference>
        </references>
      </pivotArea>
    </chartFormat>
    <chartFormat chart="24" format="109">
      <pivotArea type="data" outline="0" fieldPosition="0">
        <references count="2">
          <reference field="4294967294" count="1" selected="0">
            <x v="0"/>
          </reference>
          <reference field="10" count="1" selected="0">
            <x v="5"/>
          </reference>
        </references>
      </pivotArea>
    </chartFormat>
    <chartFormat chart="24" format="110">
      <pivotArea type="data" outline="0" fieldPosition="0">
        <references count="2">
          <reference field="4294967294" count="1" selected="0">
            <x v="0"/>
          </reference>
          <reference field="10" count="1" selected="0">
            <x v="4"/>
          </reference>
        </references>
      </pivotArea>
    </chartFormat>
    <chartFormat chart="24" format="11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20C35-9696-4257-B9D9-E04D459F4ABA}"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EA9FB6-D32F-4058-BA2E-01394D19D5FD}"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9:H15" firstHeaderRow="1" firstDataRow="1" firstDataCol="1"/>
  <pivotFields count="38">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3"/>
    </i>
    <i>
      <x v="2"/>
    </i>
    <i t="grand">
      <x/>
    </i>
  </rowItems>
  <colItems count="1">
    <i/>
  </colItems>
  <dataFields count="1">
    <dataField name="Average of Attrition Count" fld="4" subtotal="average" baseField="0" baseItem="0" numFmtId="164"/>
  </dataFields>
  <chartFormats count="1">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4B5CBF-F801-42C6-BFD6-4116FCEFD35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YearsAtCompany" fld="3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13076-3778-45B0-A892-FAE8FE62EA80}"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B13" firstHeaderRow="1" firstDataRow="1" firstDataCol="1"/>
  <pivotFields count="38">
    <pivotField showAll="0"/>
    <pivotField showAll="0"/>
    <pivotField showAll="0"/>
    <pivotField showAll="0"/>
    <pivotField dataField="1"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2"/>
    </i>
    <i>
      <x v="1"/>
    </i>
    <i t="grand">
      <x/>
    </i>
  </rowItems>
  <colItems count="1">
    <i/>
  </colItems>
  <dataFields count="1">
    <dataField name="Sum of Attrition Count" fld="4" baseField="0" baseItem="0"/>
  </dataFields>
  <chartFormats count="1">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02B274-0579-43F2-BAEE-79D17E12DBDB}"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9:E19"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axis="axisRow" showAll="0"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1"/>
    </i>
    <i>
      <x v="8"/>
    </i>
    <i>
      <x v="6"/>
    </i>
    <i>
      <x v="7"/>
    </i>
    <i>
      <x v="2"/>
    </i>
    <i t="grand">
      <x/>
    </i>
  </rowItems>
  <colItems count="1">
    <i/>
  </colItems>
  <dataFields count="1">
    <dataField name="Sum of Attrition Count" fld="4" baseField="0" baseItem="0"/>
  </dataField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CA3748-0141-45D5-A21F-DD516892F48E}"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517C22-DED2-4124-AD0F-0278A937DF81}"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5:G65"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axis="axisRow"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Attrition Count" fld="4" subtotal="average" baseField="8" baseItem="2" numFmtId="2"/>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A9795C-E129-4134-8223-32F6F46FE4B1}"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49DB3E-65B0-4FCA-8E46-115EC89AF329}"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38">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AB7409-4233-4A2E-9770-CD6429A28BDB}"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9:K12"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dataFields count="1">
    <dataField name="Average of Attrition Count" fld="4" subtotal="average" baseField="14" baseItem="0" numFmtId="2"/>
  </dataFields>
  <chartFormats count="3">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14" count="1" selected="0">
            <x v="0"/>
          </reference>
        </references>
      </pivotArea>
    </chartFormat>
    <chartFormat chart="19" format="4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95BE39-DF9E-4F76-B7FF-0C0D38E89A00}" sourceName="Department">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CE38FB06-84C6-486C-A0D0-9F386011195B}" sourceName="EducationField">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6">
        <i x="5" s="1"/>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3ABA96-7670-456A-9D4D-70D9978C8A2F}" sourceName="Gender">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515C536-45B0-4CAD-8BDD-441C2BDA6650}" cache="Slicer_Department" caption="Department" rowHeight="234950"/>
  <slicer name="EducationField" xr10:uid="{CE74E1C7-B4D2-44ED-ADF4-28205FF12C74}" cache="Slicer_EducationField" caption="EducationField" rowHeight="234950"/>
  <slicer name="Gender" xr10:uid="{BDFE5EE3-74BA-43BA-AABE-05930D22D890}"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0294-0559-44FB-8D4B-FBFBB19837D4}">
  <dimension ref="A1:AL1471"/>
  <sheetViews>
    <sheetView topLeftCell="I1" workbookViewId="0">
      <selection activeCell="E7" sqref="E7"/>
    </sheetView>
  </sheetViews>
  <sheetFormatPr defaultRowHeight="14.4" x14ac:dyDescent="0.3"/>
  <cols>
    <col min="8" max="8" width="21.88671875" bestFit="1" customWidth="1"/>
    <col min="9" max="9" width="19.5546875" bestFit="1" customWidth="1"/>
    <col min="10" max="10" width="11.33203125" bestFit="1" customWidth="1"/>
    <col min="38" max="38" width="24.21875" bestFit="1" customWidth="1"/>
  </cols>
  <sheetData>
    <row r="1" spans="1:38" x14ac:dyDescent="0.3">
      <c r="A1" t="s">
        <v>0</v>
      </c>
      <c r="B1" t="s">
        <v>1</v>
      </c>
      <c r="C1" t="s">
        <v>2</v>
      </c>
      <c r="D1" t="s">
        <v>3</v>
      </c>
      <c r="E1" s="11" t="s">
        <v>1544</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3">
      <c r="A2" t="s">
        <v>37</v>
      </c>
      <c r="B2">
        <v>18</v>
      </c>
      <c r="C2" t="s">
        <v>38</v>
      </c>
      <c r="D2" t="s">
        <v>39</v>
      </c>
      <c r="E2">
        <f>IF(D2="Yes",1,0)</f>
        <v>1</v>
      </c>
      <c r="F2" t="s">
        <v>40</v>
      </c>
      <c r="G2">
        <v>230</v>
      </c>
      <c r="H2" t="s">
        <v>41</v>
      </c>
      <c r="I2">
        <v>3</v>
      </c>
      <c r="J2">
        <v>3</v>
      </c>
      <c r="K2" t="s">
        <v>42</v>
      </c>
      <c r="L2">
        <v>1</v>
      </c>
      <c r="M2">
        <v>405</v>
      </c>
      <c r="N2">
        <v>3</v>
      </c>
      <c r="O2" t="s">
        <v>43</v>
      </c>
      <c r="P2">
        <v>54</v>
      </c>
      <c r="Q2">
        <v>3</v>
      </c>
      <c r="R2">
        <v>1</v>
      </c>
      <c r="S2" t="s">
        <v>44</v>
      </c>
      <c r="T2">
        <v>3</v>
      </c>
      <c r="U2" t="s">
        <v>45</v>
      </c>
      <c r="V2">
        <v>1420</v>
      </c>
      <c r="W2" t="s">
        <v>46</v>
      </c>
      <c r="X2">
        <v>25233</v>
      </c>
      <c r="Y2">
        <v>1</v>
      </c>
      <c r="Z2" t="s">
        <v>47</v>
      </c>
      <c r="AA2" t="s">
        <v>48</v>
      </c>
      <c r="AB2">
        <v>13</v>
      </c>
      <c r="AC2">
        <v>3</v>
      </c>
      <c r="AD2">
        <v>3</v>
      </c>
      <c r="AE2">
        <v>80</v>
      </c>
      <c r="AF2">
        <v>0</v>
      </c>
      <c r="AG2">
        <v>0</v>
      </c>
      <c r="AH2">
        <v>2</v>
      </c>
      <c r="AI2">
        <v>3</v>
      </c>
      <c r="AJ2">
        <v>0</v>
      </c>
      <c r="AK2">
        <v>0</v>
      </c>
      <c r="AL2">
        <v>0</v>
      </c>
    </row>
    <row r="3" spans="1:38" x14ac:dyDescent="0.3">
      <c r="A3" t="s">
        <v>49</v>
      </c>
      <c r="B3">
        <v>18</v>
      </c>
      <c r="C3" t="s">
        <v>38</v>
      </c>
      <c r="D3" t="s">
        <v>48</v>
      </c>
      <c r="E3">
        <f t="shared" ref="E3:E66" si="0">IF(D3="Yes",1,0)</f>
        <v>0</v>
      </c>
      <c r="F3" t="s">
        <v>40</v>
      </c>
      <c r="G3">
        <v>812</v>
      </c>
      <c r="H3" t="s">
        <v>50</v>
      </c>
      <c r="I3">
        <v>10</v>
      </c>
      <c r="J3">
        <v>3</v>
      </c>
      <c r="K3" t="s">
        <v>51</v>
      </c>
      <c r="L3">
        <v>1</v>
      </c>
      <c r="M3">
        <v>411</v>
      </c>
      <c r="N3">
        <v>4</v>
      </c>
      <c r="O3" t="s">
        <v>52</v>
      </c>
      <c r="P3">
        <v>69</v>
      </c>
      <c r="Q3">
        <v>2</v>
      </c>
      <c r="R3">
        <v>1</v>
      </c>
      <c r="S3" t="s">
        <v>53</v>
      </c>
      <c r="T3">
        <v>3</v>
      </c>
      <c r="U3" t="s">
        <v>45</v>
      </c>
      <c r="V3">
        <v>1200</v>
      </c>
      <c r="W3" t="s">
        <v>46</v>
      </c>
      <c r="X3">
        <v>9724</v>
      </c>
      <c r="Y3">
        <v>1</v>
      </c>
      <c r="Z3" t="s">
        <v>47</v>
      </c>
      <c r="AA3" t="s">
        <v>48</v>
      </c>
      <c r="AB3">
        <v>12</v>
      </c>
      <c r="AC3">
        <v>3</v>
      </c>
      <c r="AD3">
        <v>1</v>
      </c>
      <c r="AE3">
        <v>80</v>
      </c>
      <c r="AF3">
        <v>0</v>
      </c>
      <c r="AG3">
        <v>0</v>
      </c>
      <c r="AH3">
        <v>2</v>
      </c>
      <c r="AI3">
        <v>3</v>
      </c>
      <c r="AJ3">
        <v>0</v>
      </c>
      <c r="AK3">
        <v>0</v>
      </c>
      <c r="AL3">
        <v>0</v>
      </c>
    </row>
    <row r="4" spans="1:38" x14ac:dyDescent="0.3">
      <c r="A4" t="s">
        <v>54</v>
      </c>
      <c r="B4">
        <v>18</v>
      </c>
      <c r="C4" t="s">
        <v>38</v>
      </c>
      <c r="D4" t="s">
        <v>39</v>
      </c>
      <c r="E4">
        <f t="shared" si="0"/>
        <v>1</v>
      </c>
      <c r="F4" t="s">
        <v>55</v>
      </c>
      <c r="G4">
        <v>1306</v>
      </c>
      <c r="H4" t="s">
        <v>50</v>
      </c>
      <c r="I4">
        <v>5</v>
      </c>
      <c r="J4">
        <v>3</v>
      </c>
      <c r="K4" t="s">
        <v>56</v>
      </c>
      <c r="L4">
        <v>1</v>
      </c>
      <c r="M4">
        <v>614</v>
      </c>
      <c r="N4">
        <v>2</v>
      </c>
      <c r="O4" t="s">
        <v>43</v>
      </c>
      <c r="P4">
        <v>69</v>
      </c>
      <c r="Q4">
        <v>3</v>
      </c>
      <c r="R4">
        <v>1</v>
      </c>
      <c r="S4" t="s">
        <v>53</v>
      </c>
      <c r="T4">
        <v>2</v>
      </c>
      <c r="U4" t="s">
        <v>45</v>
      </c>
      <c r="V4">
        <v>1878</v>
      </c>
      <c r="W4" t="s">
        <v>46</v>
      </c>
      <c r="X4">
        <v>8059</v>
      </c>
      <c r="Y4">
        <v>1</v>
      </c>
      <c r="Z4" t="s">
        <v>47</v>
      </c>
      <c r="AA4" t="s">
        <v>39</v>
      </c>
      <c r="AB4">
        <v>14</v>
      </c>
      <c r="AC4">
        <v>3</v>
      </c>
      <c r="AD4">
        <v>4</v>
      </c>
      <c r="AE4">
        <v>80</v>
      </c>
      <c r="AF4">
        <v>0</v>
      </c>
      <c r="AG4">
        <v>0</v>
      </c>
      <c r="AH4">
        <v>3</v>
      </c>
      <c r="AI4">
        <v>3</v>
      </c>
      <c r="AJ4">
        <v>0</v>
      </c>
      <c r="AK4">
        <v>0</v>
      </c>
      <c r="AL4">
        <v>0</v>
      </c>
    </row>
    <row r="5" spans="1:38" x14ac:dyDescent="0.3">
      <c r="A5" t="s">
        <v>57</v>
      </c>
      <c r="B5">
        <v>18</v>
      </c>
      <c r="C5" t="s">
        <v>38</v>
      </c>
      <c r="D5" t="s">
        <v>48</v>
      </c>
      <c r="E5">
        <f t="shared" si="0"/>
        <v>0</v>
      </c>
      <c r="F5" t="s">
        <v>58</v>
      </c>
      <c r="G5">
        <v>287</v>
      </c>
      <c r="H5" t="s">
        <v>41</v>
      </c>
      <c r="I5">
        <v>5</v>
      </c>
      <c r="J5">
        <v>2</v>
      </c>
      <c r="K5" t="s">
        <v>42</v>
      </c>
      <c r="L5">
        <v>1</v>
      </c>
      <c r="M5">
        <v>1012</v>
      </c>
      <c r="N5">
        <v>2</v>
      </c>
      <c r="O5" t="s">
        <v>43</v>
      </c>
      <c r="P5">
        <v>73</v>
      </c>
      <c r="Q5">
        <v>3</v>
      </c>
      <c r="R5">
        <v>1</v>
      </c>
      <c r="S5" t="s">
        <v>59</v>
      </c>
      <c r="T5">
        <v>4</v>
      </c>
      <c r="U5" t="s">
        <v>45</v>
      </c>
      <c r="V5">
        <v>1051</v>
      </c>
      <c r="W5" t="s">
        <v>46</v>
      </c>
      <c r="X5">
        <v>13493</v>
      </c>
      <c r="Y5">
        <v>1</v>
      </c>
      <c r="Z5" t="s">
        <v>47</v>
      </c>
      <c r="AA5" t="s">
        <v>48</v>
      </c>
      <c r="AB5">
        <v>15</v>
      </c>
      <c r="AC5">
        <v>3</v>
      </c>
      <c r="AD5">
        <v>4</v>
      </c>
      <c r="AE5">
        <v>80</v>
      </c>
      <c r="AF5">
        <v>0</v>
      </c>
      <c r="AG5">
        <v>0</v>
      </c>
      <c r="AH5">
        <v>2</v>
      </c>
      <c r="AI5">
        <v>3</v>
      </c>
      <c r="AJ5">
        <v>0</v>
      </c>
      <c r="AK5">
        <v>0</v>
      </c>
      <c r="AL5">
        <v>0</v>
      </c>
    </row>
    <row r="6" spans="1:38" x14ac:dyDescent="0.3">
      <c r="A6" t="s">
        <v>60</v>
      </c>
      <c r="B6">
        <v>18</v>
      </c>
      <c r="C6" t="s">
        <v>38</v>
      </c>
      <c r="D6" t="s">
        <v>39</v>
      </c>
      <c r="E6">
        <f t="shared" si="0"/>
        <v>1</v>
      </c>
      <c r="F6" t="s">
        <v>58</v>
      </c>
      <c r="G6">
        <v>247</v>
      </c>
      <c r="H6" t="s">
        <v>41</v>
      </c>
      <c r="I6">
        <v>8</v>
      </c>
      <c r="J6">
        <v>1</v>
      </c>
      <c r="K6" t="s">
        <v>51</v>
      </c>
      <c r="L6">
        <v>1</v>
      </c>
      <c r="M6">
        <v>1156</v>
      </c>
      <c r="N6">
        <v>3</v>
      </c>
      <c r="O6" t="s">
        <v>43</v>
      </c>
      <c r="P6">
        <v>80</v>
      </c>
      <c r="Q6">
        <v>3</v>
      </c>
      <c r="R6">
        <v>1</v>
      </c>
      <c r="S6" t="s">
        <v>44</v>
      </c>
      <c r="T6">
        <v>3</v>
      </c>
      <c r="U6" t="s">
        <v>45</v>
      </c>
      <c r="V6">
        <v>1904</v>
      </c>
      <c r="W6" t="s">
        <v>46</v>
      </c>
      <c r="X6">
        <v>13556</v>
      </c>
      <c r="Y6">
        <v>1</v>
      </c>
      <c r="Z6" t="s">
        <v>47</v>
      </c>
      <c r="AA6" t="s">
        <v>48</v>
      </c>
      <c r="AB6">
        <v>12</v>
      </c>
      <c r="AC6">
        <v>3</v>
      </c>
      <c r="AD6">
        <v>4</v>
      </c>
      <c r="AE6">
        <v>80</v>
      </c>
      <c r="AF6">
        <v>0</v>
      </c>
      <c r="AG6">
        <v>0</v>
      </c>
      <c r="AH6">
        <v>0</v>
      </c>
      <c r="AI6">
        <v>3</v>
      </c>
      <c r="AJ6">
        <v>0</v>
      </c>
      <c r="AK6">
        <v>0</v>
      </c>
      <c r="AL6">
        <v>0</v>
      </c>
    </row>
    <row r="7" spans="1:38" x14ac:dyDescent="0.3">
      <c r="A7" t="s">
        <v>61</v>
      </c>
      <c r="B7">
        <v>18</v>
      </c>
      <c r="C7" t="s">
        <v>38</v>
      </c>
      <c r="D7" t="s">
        <v>48</v>
      </c>
      <c r="E7">
        <f t="shared" si="0"/>
        <v>0</v>
      </c>
      <c r="F7" t="s">
        <v>58</v>
      </c>
      <c r="G7">
        <v>1124</v>
      </c>
      <c r="H7" t="s">
        <v>41</v>
      </c>
      <c r="I7">
        <v>1</v>
      </c>
      <c r="J7">
        <v>3</v>
      </c>
      <c r="K7" t="s">
        <v>42</v>
      </c>
      <c r="L7">
        <v>1</v>
      </c>
      <c r="M7">
        <v>1368</v>
      </c>
      <c r="N7">
        <v>4</v>
      </c>
      <c r="O7" t="s">
        <v>52</v>
      </c>
      <c r="P7">
        <v>97</v>
      </c>
      <c r="Q7">
        <v>3</v>
      </c>
      <c r="R7">
        <v>1</v>
      </c>
      <c r="S7" t="s">
        <v>44</v>
      </c>
      <c r="T7">
        <v>4</v>
      </c>
      <c r="U7" t="s">
        <v>45</v>
      </c>
      <c r="V7">
        <v>1611</v>
      </c>
      <c r="W7" t="s">
        <v>46</v>
      </c>
      <c r="X7">
        <v>19305</v>
      </c>
      <c r="Y7">
        <v>1</v>
      </c>
      <c r="Z7" t="s">
        <v>47</v>
      </c>
      <c r="AA7" t="s">
        <v>48</v>
      </c>
      <c r="AB7">
        <v>15</v>
      </c>
      <c r="AC7">
        <v>3</v>
      </c>
      <c r="AD7">
        <v>3</v>
      </c>
      <c r="AE7">
        <v>80</v>
      </c>
      <c r="AF7">
        <v>0</v>
      </c>
      <c r="AG7">
        <v>0</v>
      </c>
      <c r="AH7">
        <v>5</v>
      </c>
      <c r="AI7">
        <v>4</v>
      </c>
      <c r="AJ7">
        <v>0</v>
      </c>
      <c r="AK7">
        <v>0</v>
      </c>
      <c r="AL7">
        <v>0</v>
      </c>
    </row>
    <row r="8" spans="1:38" x14ac:dyDescent="0.3">
      <c r="A8" t="s">
        <v>62</v>
      </c>
      <c r="B8">
        <v>18</v>
      </c>
      <c r="C8" t="s">
        <v>38</v>
      </c>
      <c r="D8" t="s">
        <v>39</v>
      </c>
      <c r="E8">
        <f t="shared" si="0"/>
        <v>1</v>
      </c>
      <c r="F8" t="s">
        <v>55</v>
      </c>
      <c r="G8">
        <v>544</v>
      </c>
      <c r="H8" t="s">
        <v>50</v>
      </c>
      <c r="I8">
        <v>3</v>
      </c>
      <c r="J8">
        <v>2</v>
      </c>
      <c r="K8" t="s">
        <v>51</v>
      </c>
      <c r="L8">
        <v>1</v>
      </c>
      <c r="M8">
        <v>1624</v>
      </c>
      <c r="N8">
        <v>2</v>
      </c>
      <c r="O8" t="s">
        <v>52</v>
      </c>
      <c r="P8">
        <v>70</v>
      </c>
      <c r="Q8">
        <v>3</v>
      </c>
      <c r="R8">
        <v>1</v>
      </c>
      <c r="S8" t="s">
        <v>53</v>
      </c>
      <c r="T8">
        <v>4</v>
      </c>
      <c r="U8" t="s">
        <v>45</v>
      </c>
      <c r="V8">
        <v>1569</v>
      </c>
      <c r="W8" t="s">
        <v>46</v>
      </c>
      <c r="X8">
        <v>18420</v>
      </c>
      <c r="Y8">
        <v>1</v>
      </c>
      <c r="Z8" t="s">
        <v>47</v>
      </c>
      <c r="AA8" t="s">
        <v>39</v>
      </c>
      <c r="AB8">
        <v>12</v>
      </c>
      <c r="AC8">
        <v>3</v>
      </c>
      <c r="AD8">
        <v>3</v>
      </c>
      <c r="AE8">
        <v>80</v>
      </c>
      <c r="AF8">
        <v>0</v>
      </c>
      <c r="AG8">
        <v>0</v>
      </c>
      <c r="AH8">
        <v>2</v>
      </c>
      <c r="AI8">
        <v>4</v>
      </c>
      <c r="AJ8">
        <v>0</v>
      </c>
      <c r="AK8">
        <v>0</v>
      </c>
      <c r="AL8">
        <v>0</v>
      </c>
    </row>
    <row r="9" spans="1:38" x14ac:dyDescent="0.3">
      <c r="A9" t="s">
        <v>63</v>
      </c>
      <c r="B9">
        <v>18</v>
      </c>
      <c r="C9" t="s">
        <v>38</v>
      </c>
      <c r="D9" t="s">
        <v>48</v>
      </c>
      <c r="E9">
        <f t="shared" si="0"/>
        <v>0</v>
      </c>
      <c r="F9" t="s">
        <v>58</v>
      </c>
      <c r="G9">
        <v>1431</v>
      </c>
      <c r="H9" t="s">
        <v>41</v>
      </c>
      <c r="I9">
        <v>14</v>
      </c>
      <c r="J9">
        <v>3</v>
      </c>
      <c r="K9" t="s">
        <v>51</v>
      </c>
      <c r="L9">
        <v>1</v>
      </c>
      <c r="M9">
        <v>1839</v>
      </c>
      <c r="N9">
        <v>2</v>
      </c>
      <c r="O9" t="s">
        <v>52</v>
      </c>
      <c r="P9">
        <v>33</v>
      </c>
      <c r="Q9">
        <v>3</v>
      </c>
      <c r="R9">
        <v>1</v>
      </c>
      <c r="S9" t="s">
        <v>59</v>
      </c>
      <c r="T9">
        <v>3</v>
      </c>
      <c r="U9" t="s">
        <v>45</v>
      </c>
      <c r="V9">
        <v>1514</v>
      </c>
      <c r="W9" t="s">
        <v>46</v>
      </c>
      <c r="X9">
        <v>8018</v>
      </c>
      <c r="Y9">
        <v>1</v>
      </c>
      <c r="Z9" t="s">
        <v>47</v>
      </c>
      <c r="AA9" t="s">
        <v>48</v>
      </c>
      <c r="AB9">
        <v>16</v>
      </c>
      <c r="AC9">
        <v>3</v>
      </c>
      <c r="AD9">
        <v>3</v>
      </c>
      <c r="AE9">
        <v>80</v>
      </c>
      <c r="AF9">
        <v>0</v>
      </c>
      <c r="AG9">
        <v>0</v>
      </c>
      <c r="AH9">
        <v>4</v>
      </c>
      <c r="AI9">
        <v>1</v>
      </c>
      <c r="AJ9">
        <v>0</v>
      </c>
      <c r="AK9">
        <v>0</v>
      </c>
      <c r="AL9">
        <v>0</v>
      </c>
    </row>
    <row r="10" spans="1:38" x14ac:dyDescent="0.3">
      <c r="A10" t="s">
        <v>64</v>
      </c>
      <c r="B10">
        <v>19</v>
      </c>
      <c r="C10" t="s">
        <v>38</v>
      </c>
      <c r="D10" t="s">
        <v>39</v>
      </c>
      <c r="E10">
        <f t="shared" si="0"/>
        <v>1</v>
      </c>
      <c r="F10" t="s">
        <v>40</v>
      </c>
      <c r="G10">
        <v>528</v>
      </c>
      <c r="H10" t="s">
        <v>50</v>
      </c>
      <c r="I10">
        <v>22</v>
      </c>
      <c r="J10">
        <v>1</v>
      </c>
      <c r="K10" t="s">
        <v>56</v>
      </c>
      <c r="L10">
        <v>1</v>
      </c>
      <c r="M10">
        <v>167</v>
      </c>
      <c r="N10">
        <v>4</v>
      </c>
      <c r="O10" t="s">
        <v>43</v>
      </c>
      <c r="P10">
        <v>50</v>
      </c>
      <c r="Q10">
        <v>3</v>
      </c>
      <c r="R10">
        <v>1</v>
      </c>
      <c r="S10" t="s">
        <v>53</v>
      </c>
      <c r="T10">
        <v>3</v>
      </c>
      <c r="U10" t="s">
        <v>45</v>
      </c>
      <c r="V10">
        <v>1675</v>
      </c>
      <c r="W10" t="s">
        <v>46</v>
      </c>
      <c r="X10">
        <v>26820</v>
      </c>
      <c r="Y10">
        <v>1</v>
      </c>
      <c r="Z10" t="s">
        <v>47</v>
      </c>
      <c r="AA10" t="s">
        <v>39</v>
      </c>
      <c r="AB10">
        <v>19</v>
      </c>
      <c r="AC10">
        <v>3</v>
      </c>
      <c r="AD10">
        <v>4</v>
      </c>
      <c r="AE10">
        <v>80</v>
      </c>
      <c r="AF10">
        <v>0</v>
      </c>
      <c r="AG10">
        <v>0</v>
      </c>
      <c r="AH10">
        <v>2</v>
      </c>
      <c r="AI10">
        <v>2</v>
      </c>
      <c r="AJ10">
        <v>0</v>
      </c>
      <c r="AK10">
        <v>0</v>
      </c>
      <c r="AL10">
        <v>0</v>
      </c>
    </row>
    <row r="11" spans="1:38" x14ac:dyDescent="0.3">
      <c r="A11" t="s">
        <v>65</v>
      </c>
      <c r="B11">
        <v>19</v>
      </c>
      <c r="C11" t="s">
        <v>38</v>
      </c>
      <c r="D11" t="s">
        <v>48</v>
      </c>
      <c r="E11">
        <f t="shared" si="0"/>
        <v>0</v>
      </c>
      <c r="F11" t="s">
        <v>40</v>
      </c>
      <c r="G11">
        <v>1181</v>
      </c>
      <c r="H11" t="s">
        <v>41</v>
      </c>
      <c r="I11">
        <v>3</v>
      </c>
      <c r="J11">
        <v>1</v>
      </c>
      <c r="K11" t="s">
        <v>51</v>
      </c>
      <c r="L11">
        <v>1</v>
      </c>
      <c r="M11">
        <v>201</v>
      </c>
      <c r="N11">
        <v>2</v>
      </c>
      <c r="O11" t="s">
        <v>52</v>
      </c>
      <c r="P11">
        <v>79</v>
      </c>
      <c r="Q11">
        <v>3</v>
      </c>
      <c r="R11">
        <v>1</v>
      </c>
      <c r="S11" t="s">
        <v>44</v>
      </c>
      <c r="T11">
        <v>2</v>
      </c>
      <c r="U11" t="s">
        <v>45</v>
      </c>
      <c r="V11">
        <v>1483</v>
      </c>
      <c r="W11" t="s">
        <v>46</v>
      </c>
      <c r="X11">
        <v>16102</v>
      </c>
      <c r="Y11">
        <v>1</v>
      </c>
      <c r="Z11" t="s">
        <v>47</v>
      </c>
      <c r="AA11" t="s">
        <v>48</v>
      </c>
      <c r="AB11">
        <v>14</v>
      </c>
      <c r="AC11">
        <v>3</v>
      </c>
      <c r="AD11">
        <v>4</v>
      </c>
      <c r="AE11">
        <v>80</v>
      </c>
      <c r="AF11">
        <v>0</v>
      </c>
      <c r="AG11">
        <v>1</v>
      </c>
      <c r="AH11">
        <v>3</v>
      </c>
      <c r="AI11">
        <v>3</v>
      </c>
      <c r="AJ11">
        <v>1</v>
      </c>
      <c r="AK11">
        <v>0</v>
      </c>
      <c r="AL11">
        <v>0</v>
      </c>
    </row>
    <row r="12" spans="1:38" x14ac:dyDescent="0.3">
      <c r="A12" t="s">
        <v>66</v>
      </c>
      <c r="B12">
        <v>19</v>
      </c>
      <c r="C12" t="s">
        <v>38</v>
      </c>
      <c r="D12" t="s">
        <v>39</v>
      </c>
      <c r="E12">
        <f t="shared" si="0"/>
        <v>1</v>
      </c>
      <c r="F12" t="s">
        <v>55</v>
      </c>
      <c r="G12">
        <v>602</v>
      </c>
      <c r="H12" t="s">
        <v>50</v>
      </c>
      <c r="I12">
        <v>1</v>
      </c>
      <c r="J12">
        <v>1</v>
      </c>
      <c r="K12" t="s">
        <v>67</v>
      </c>
      <c r="L12">
        <v>1</v>
      </c>
      <c r="M12">
        <v>235</v>
      </c>
      <c r="N12">
        <v>3</v>
      </c>
      <c r="O12" t="s">
        <v>52</v>
      </c>
      <c r="P12">
        <v>100</v>
      </c>
      <c r="Q12">
        <v>1</v>
      </c>
      <c r="R12">
        <v>1</v>
      </c>
      <c r="S12" t="s">
        <v>53</v>
      </c>
      <c r="T12">
        <v>1</v>
      </c>
      <c r="U12" t="s">
        <v>45</v>
      </c>
      <c r="V12">
        <v>2325</v>
      </c>
      <c r="W12" t="s">
        <v>46</v>
      </c>
      <c r="X12">
        <v>20989</v>
      </c>
      <c r="Y12">
        <v>0</v>
      </c>
      <c r="Z12" t="s">
        <v>47</v>
      </c>
      <c r="AA12" t="s">
        <v>48</v>
      </c>
      <c r="AB12">
        <v>21</v>
      </c>
      <c r="AC12">
        <v>4</v>
      </c>
      <c r="AD12">
        <v>1</v>
      </c>
      <c r="AE12">
        <v>80</v>
      </c>
      <c r="AF12">
        <v>0</v>
      </c>
      <c r="AG12">
        <v>1</v>
      </c>
      <c r="AH12">
        <v>5</v>
      </c>
      <c r="AI12">
        <v>4</v>
      </c>
      <c r="AJ12">
        <v>0</v>
      </c>
      <c r="AK12">
        <v>0</v>
      </c>
      <c r="AL12">
        <v>0</v>
      </c>
    </row>
    <row r="13" spans="1:38" x14ac:dyDescent="0.3">
      <c r="A13" t="s">
        <v>68</v>
      </c>
      <c r="B13">
        <v>19</v>
      </c>
      <c r="C13" t="s">
        <v>38</v>
      </c>
      <c r="D13" t="s">
        <v>39</v>
      </c>
      <c r="E13">
        <f t="shared" si="0"/>
        <v>1</v>
      </c>
      <c r="F13" t="s">
        <v>40</v>
      </c>
      <c r="G13">
        <v>303</v>
      </c>
      <c r="H13" t="s">
        <v>41</v>
      </c>
      <c r="I13">
        <v>2</v>
      </c>
      <c r="J13">
        <v>3</v>
      </c>
      <c r="K13" t="s">
        <v>42</v>
      </c>
      <c r="L13">
        <v>1</v>
      </c>
      <c r="M13">
        <v>243</v>
      </c>
      <c r="N13">
        <v>2</v>
      </c>
      <c r="O13" t="s">
        <v>43</v>
      </c>
      <c r="P13">
        <v>47</v>
      </c>
      <c r="Q13">
        <v>2</v>
      </c>
      <c r="R13">
        <v>1</v>
      </c>
      <c r="S13" t="s">
        <v>44</v>
      </c>
      <c r="T13">
        <v>4</v>
      </c>
      <c r="U13" t="s">
        <v>45</v>
      </c>
      <c r="V13">
        <v>1102</v>
      </c>
      <c r="W13" t="s">
        <v>46</v>
      </c>
      <c r="X13">
        <v>9241</v>
      </c>
      <c r="Y13">
        <v>1</v>
      </c>
      <c r="Z13" t="s">
        <v>47</v>
      </c>
      <c r="AA13" t="s">
        <v>48</v>
      </c>
      <c r="AB13">
        <v>22</v>
      </c>
      <c r="AC13">
        <v>4</v>
      </c>
      <c r="AD13">
        <v>3</v>
      </c>
      <c r="AE13">
        <v>80</v>
      </c>
      <c r="AF13">
        <v>0</v>
      </c>
      <c r="AG13">
        <v>1</v>
      </c>
      <c r="AH13">
        <v>3</v>
      </c>
      <c r="AI13">
        <v>2</v>
      </c>
      <c r="AJ13">
        <v>1</v>
      </c>
      <c r="AK13">
        <v>0</v>
      </c>
      <c r="AL13">
        <v>1</v>
      </c>
    </row>
    <row r="14" spans="1:38" x14ac:dyDescent="0.3">
      <c r="A14" t="s">
        <v>69</v>
      </c>
      <c r="B14">
        <v>19</v>
      </c>
      <c r="C14" t="s">
        <v>38</v>
      </c>
      <c r="D14" t="s">
        <v>39</v>
      </c>
      <c r="E14">
        <f t="shared" si="0"/>
        <v>1</v>
      </c>
      <c r="F14" s="11" t="s">
        <v>40</v>
      </c>
      <c r="G14">
        <v>489</v>
      </c>
      <c r="H14" t="s">
        <v>70</v>
      </c>
      <c r="I14">
        <v>2</v>
      </c>
      <c r="J14">
        <v>2</v>
      </c>
      <c r="K14" t="s">
        <v>67</v>
      </c>
      <c r="L14">
        <v>1</v>
      </c>
      <c r="M14">
        <v>566</v>
      </c>
      <c r="N14">
        <v>1</v>
      </c>
      <c r="O14" t="s">
        <v>43</v>
      </c>
      <c r="P14">
        <v>52</v>
      </c>
      <c r="Q14">
        <v>2</v>
      </c>
      <c r="R14">
        <v>1</v>
      </c>
      <c r="S14" t="s">
        <v>70</v>
      </c>
      <c r="T14">
        <v>4</v>
      </c>
      <c r="U14" t="s">
        <v>45</v>
      </c>
      <c r="V14">
        <v>2564</v>
      </c>
      <c r="W14" t="s">
        <v>46</v>
      </c>
      <c r="X14">
        <v>18437</v>
      </c>
      <c r="Y14">
        <v>1</v>
      </c>
      <c r="Z14" t="s">
        <v>47</v>
      </c>
      <c r="AA14" t="s">
        <v>48</v>
      </c>
      <c r="AB14">
        <v>12</v>
      </c>
      <c r="AC14">
        <v>3</v>
      </c>
      <c r="AD14">
        <v>3</v>
      </c>
      <c r="AE14">
        <v>80</v>
      </c>
      <c r="AF14">
        <v>0</v>
      </c>
      <c r="AG14">
        <v>1</v>
      </c>
      <c r="AH14">
        <v>3</v>
      </c>
      <c r="AI14">
        <v>4</v>
      </c>
      <c r="AJ14">
        <v>1</v>
      </c>
      <c r="AK14">
        <v>0</v>
      </c>
      <c r="AL14">
        <v>0</v>
      </c>
    </row>
    <row r="15" spans="1:38" x14ac:dyDescent="0.3">
      <c r="A15" t="s">
        <v>71</v>
      </c>
      <c r="B15">
        <v>19</v>
      </c>
      <c r="C15" t="s">
        <v>38</v>
      </c>
      <c r="D15" t="s">
        <v>39</v>
      </c>
      <c r="E15">
        <f t="shared" si="0"/>
        <v>1</v>
      </c>
      <c r="F15" t="s">
        <v>40</v>
      </c>
      <c r="G15">
        <v>419</v>
      </c>
      <c r="H15" t="s">
        <v>50</v>
      </c>
      <c r="I15">
        <v>21</v>
      </c>
      <c r="J15">
        <v>3</v>
      </c>
      <c r="K15" t="s">
        <v>72</v>
      </c>
      <c r="L15">
        <v>1</v>
      </c>
      <c r="M15">
        <v>959</v>
      </c>
      <c r="N15">
        <v>4</v>
      </c>
      <c r="O15" t="s">
        <v>43</v>
      </c>
      <c r="P15">
        <v>37</v>
      </c>
      <c r="Q15">
        <v>2</v>
      </c>
      <c r="R15">
        <v>1</v>
      </c>
      <c r="S15" t="s">
        <v>53</v>
      </c>
      <c r="T15">
        <v>2</v>
      </c>
      <c r="U15" t="s">
        <v>45</v>
      </c>
      <c r="V15">
        <v>2121</v>
      </c>
      <c r="W15" t="s">
        <v>46</v>
      </c>
      <c r="X15">
        <v>9947</v>
      </c>
      <c r="Y15">
        <v>1</v>
      </c>
      <c r="Z15" t="s">
        <v>47</v>
      </c>
      <c r="AA15" t="s">
        <v>39</v>
      </c>
      <c r="AB15">
        <v>13</v>
      </c>
      <c r="AC15">
        <v>3</v>
      </c>
      <c r="AD15">
        <v>2</v>
      </c>
      <c r="AE15">
        <v>80</v>
      </c>
      <c r="AF15">
        <v>0</v>
      </c>
      <c r="AG15">
        <v>1</v>
      </c>
      <c r="AH15">
        <v>3</v>
      </c>
      <c r="AI15">
        <v>4</v>
      </c>
      <c r="AJ15">
        <v>1</v>
      </c>
      <c r="AK15">
        <v>0</v>
      </c>
      <c r="AL15">
        <v>0</v>
      </c>
    </row>
    <row r="16" spans="1:38" x14ac:dyDescent="0.3">
      <c r="A16" t="s">
        <v>73</v>
      </c>
      <c r="B16">
        <v>19</v>
      </c>
      <c r="C16" t="s">
        <v>38</v>
      </c>
      <c r="D16" t="s">
        <v>48</v>
      </c>
      <c r="E16">
        <f t="shared" si="0"/>
        <v>0</v>
      </c>
      <c r="F16" t="s">
        <v>40</v>
      </c>
      <c r="G16">
        <v>645</v>
      </c>
      <c r="H16" t="s">
        <v>41</v>
      </c>
      <c r="I16">
        <v>9</v>
      </c>
      <c r="J16">
        <v>2</v>
      </c>
      <c r="K16" t="s">
        <v>42</v>
      </c>
      <c r="L16">
        <v>1</v>
      </c>
      <c r="M16">
        <v>1193</v>
      </c>
      <c r="N16">
        <v>3</v>
      </c>
      <c r="O16" t="s">
        <v>43</v>
      </c>
      <c r="P16">
        <v>54</v>
      </c>
      <c r="Q16">
        <v>3</v>
      </c>
      <c r="R16">
        <v>1</v>
      </c>
      <c r="S16" t="s">
        <v>59</v>
      </c>
      <c r="T16">
        <v>1</v>
      </c>
      <c r="U16" t="s">
        <v>45</v>
      </c>
      <c r="V16">
        <v>2552</v>
      </c>
      <c r="W16" t="s">
        <v>46</v>
      </c>
      <c r="X16">
        <v>7172</v>
      </c>
      <c r="Y16">
        <v>1</v>
      </c>
      <c r="Z16" t="s">
        <v>47</v>
      </c>
      <c r="AA16" t="s">
        <v>48</v>
      </c>
      <c r="AB16">
        <v>25</v>
      </c>
      <c r="AC16">
        <v>4</v>
      </c>
      <c r="AD16">
        <v>3</v>
      </c>
      <c r="AE16">
        <v>80</v>
      </c>
      <c r="AF16">
        <v>0</v>
      </c>
      <c r="AG16">
        <v>1</v>
      </c>
      <c r="AH16">
        <v>4</v>
      </c>
      <c r="AI16">
        <v>3</v>
      </c>
      <c r="AJ16">
        <v>1</v>
      </c>
      <c r="AK16">
        <v>1</v>
      </c>
      <c r="AL16">
        <v>0</v>
      </c>
    </row>
    <row r="17" spans="1:38" x14ac:dyDescent="0.3">
      <c r="A17" t="s">
        <v>74</v>
      </c>
      <c r="B17">
        <v>19</v>
      </c>
      <c r="C17" t="s">
        <v>38</v>
      </c>
      <c r="D17" t="s">
        <v>39</v>
      </c>
      <c r="E17">
        <f t="shared" si="0"/>
        <v>1</v>
      </c>
      <c r="F17" t="s">
        <v>58</v>
      </c>
      <c r="G17">
        <v>504</v>
      </c>
      <c r="H17" t="s">
        <v>41</v>
      </c>
      <c r="I17">
        <v>10</v>
      </c>
      <c r="J17">
        <v>3</v>
      </c>
      <c r="K17" t="s">
        <v>51</v>
      </c>
      <c r="L17">
        <v>1</v>
      </c>
      <c r="M17">
        <v>1248</v>
      </c>
      <c r="N17">
        <v>1</v>
      </c>
      <c r="O17" t="s">
        <v>52</v>
      </c>
      <c r="P17">
        <v>96</v>
      </c>
      <c r="Q17">
        <v>2</v>
      </c>
      <c r="R17">
        <v>1</v>
      </c>
      <c r="S17" t="s">
        <v>59</v>
      </c>
      <c r="T17">
        <v>2</v>
      </c>
      <c r="U17" t="s">
        <v>45</v>
      </c>
      <c r="V17">
        <v>1859</v>
      </c>
      <c r="W17" t="s">
        <v>46</v>
      </c>
      <c r="X17">
        <v>6148</v>
      </c>
      <c r="Y17">
        <v>1</v>
      </c>
      <c r="Z17" t="s">
        <v>47</v>
      </c>
      <c r="AA17" t="s">
        <v>39</v>
      </c>
      <c r="AB17">
        <v>25</v>
      </c>
      <c r="AC17">
        <v>4</v>
      </c>
      <c r="AD17">
        <v>2</v>
      </c>
      <c r="AE17">
        <v>80</v>
      </c>
      <c r="AF17">
        <v>0</v>
      </c>
      <c r="AG17">
        <v>1</v>
      </c>
      <c r="AH17">
        <v>2</v>
      </c>
      <c r="AI17">
        <v>4</v>
      </c>
      <c r="AJ17">
        <v>1</v>
      </c>
      <c r="AK17">
        <v>1</v>
      </c>
      <c r="AL17">
        <v>0</v>
      </c>
    </row>
    <row r="18" spans="1:38" x14ac:dyDescent="0.3">
      <c r="A18" t="s">
        <v>75</v>
      </c>
      <c r="B18">
        <v>19</v>
      </c>
      <c r="C18" t="s">
        <v>38</v>
      </c>
      <c r="D18" t="s">
        <v>48</v>
      </c>
      <c r="E18">
        <f t="shared" si="0"/>
        <v>0</v>
      </c>
      <c r="F18" t="s">
        <v>40</v>
      </c>
      <c r="G18">
        <v>265</v>
      </c>
      <c r="H18" t="s">
        <v>41</v>
      </c>
      <c r="I18">
        <v>25</v>
      </c>
      <c r="J18">
        <v>3</v>
      </c>
      <c r="K18" t="s">
        <v>42</v>
      </c>
      <c r="L18">
        <v>1</v>
      </c>
      <c r="M18">
        <v>1269</v>
      </c>
      <c r="N18">
        <v>2</v>
      </c>
      <c r="O18" t="s">
        <v>52</v>
      </c>
      <c r="P18">
        <v>57</v>
      </c>
      <c r="Q18">
        <v>4</v>
      </c>
      <c r="R18">
        <v>1</v>
      </c>
      <c r="S18" t="s">
        <v>59</v>
      </c>
      <c r="T18">
        <v>4</v>
      </c>
      <c r="U18" t="s">
        <v>45</v>
      </c>
      <c r="V18">
        <v>2994</v>
      </c>
      <c r="W18" t="s">
        <v>46</v>
      </c>
      <c r="X18">
        <v>21221</v>
      </c>
      <c r="Y18">
        <v>1</v>
      </c>
      <c r="Z18" t="s">
        <v>47</v>
      </c>
      <c r="AA18" t="s">
        <v>39</v>
      </c>
      <c r="AB18">
        <v>12</v>
      </c>
      <c r="AC18">
        <v>3</v>
      </c>
      <c r="AD18">
        <v>4</v>
      </c>
      <c r="AE18">
        <v>80</v>
      </c>
      <c r="AF18">
        <v>0</v>
      </c>
      <c r="AG18">
        <v>1</v>
      </c>
      <c r="AH18">
        <v>2</v>
      </c>
      <c r="AI18">
        <v>3</v>
      </c>
      <c r="AJ18">
        <v>1</v>
      </c>
      <c r="AK18">
        <v>0</v>
      </c>
      <c r="AL18">
        <v>0</v>
      </c>
    </row>
    <row r="19" spans="1:38" x14ac:dyDescent="0.3">
      <c r="A19" t="s">
        <v>76</v>
      </c>
      <c r="B19">
        <v>20</v>
      </c>
      <c r="C19" t="s">
        <v>38</v>
      </c>
      <c r="D19" t="s">
        <v>39</v>
      </c>
      <c r="E19">
        <f t="shared" si="0"/>
        <v>1</v>
      </c>
      <c r="F19" t="s">
        <v>55</v>
      </c>
      <c r="G19">
        <v>871</v>
      </c>
      <c r="H19" t="s">
        <v>41</v>
      </c>
      <c r="I19">
        <v>6</v>
      </c>
      <c r="J19">
        <v>3</v>
      </c>
      <c r="K19" t="s">
        <v>42</v>
      </c>
      <c r="L19">
        <v>1</v>
      </c>
      <c r="M19">
        <v>137</v>
      </c>
      <c r="N19">
        <v>4</v>
      </c>
      <c r="O19" t="s">
        <v>52</v>
      </c>
      <c r="P19">
        <v>66</v>
      </c>
      <c r="Q19">
        <v>2</v>
      </c>
      <c r="R19">
        <v>1</v>
      </c>
      <c r="S19" t="s">
        <v>44</v>
      </c>
      <c r="T19">
        <v>4</v>
      </c>
      <c r="U19" t="s">
        <v>45</v>
      </c>
      <c r="V19">
        <v>2926</v>
      </c>
      <c r="W19" t="s">
        <v>46</v>
      </c>
      <c r="X19">
        <v>19783</v>
      </c>
      <c r="Y19">
        <v>1</v>
      </c>
      <c r="Z19" t="s">
        <v>47</v>
      </c>
      <c r="AA19" t="s">
        <v>39</v>
      </c>
      <c r="AB19">
        <v>18</v>
      </c>
      <c r="AC19">
        <v>3</v>
      </c>
      <c r="AD19">
        <v>2</v>
      </c>
      <c r="AE19">
        <v>80</v>
      </c>
      <c r="AF19">
        <v>0</v>
      </c>
      <c r="AG19">
        <v>1</v>
      </c>
      <c r="AH19">
        <v>5</v>
      </c>
      <c r="AI19">
        <v>3</v>
      </c>
      <c r="AJ19">
        <v>1</v>
      </c>
      <c r="AK19">
        <v>0</v>
      </c>
      <c r="AL19">
        <v>1</v>
      </c>
    </row>
    <row r="20" spans="1:38" x14ac:dyDescent="0.3">
      <c r="A20" t="s">
        <v>77</v>
      </c>
      <c r="B20">
        <v>20</v>
      </c>
      <c r="C20" t="s">
        <v>38</v>
      </c>
      <c r="D20" t="s">
        <v>48</v>
      </c>
      <c r="E20">
        <f t="shared" si="0"/>
        <v>0</v>
      </c>
      <c r="F20" t="s">
        <v>40</v>
      </c>
      <c r="G20">
        <v>959</v>
      </c>
      <c r="H20" t="s">
        <v>41</v>
      </c>
      <c r="I20">
        <v>1</v>
      </c>
      <c r="J20">
        <v>3</v>
      </c>
      <c r="K20" t="s">
        <v>42</v>
      </c>
      <c r="L20">
        <v>1</v>
      </c>
      <c r="M20">
        <v>657</v>
      </c>
      <c r="N20">
        <v>4</v>
      </c>
      <c r="O20" t="s">
        <v>52</v>
      </c>
      <c r="P20">
        <v>83</v>
      </c>
      <c r="Q20">
        <v>2</v>
      </c>
      <c r="R20">
        <v>1</v>
      </c>
      <c r="S20" t="s">
        <v>59</v>
      </c>
      <c r="T20">
        <v>2</v>
      </c>
      <c r="U20" t="s">
        <v>45</v>
      </c>
      <c r="V20">
        <v>2836</v>
      </c>
      <c r="W20" t="s">
        <v>46</v>
      </c>
      <c r="X20">
        <v>11757</v>
      </c>
      <c r="Y20">
        <v>1</v>
      </c>
      <c r="Z20" t="s">
        <v>47</v>
      </c>
      <c r="AA20" t="s">
        <v>48</v>
      </c>
      <c r="AB20">
        <v>13</v>
      </c>
      <c r="AC20">
        <v>3</v>
      </c>
      <c r="AD20">
        <v>4</v>
      </c>
      <c r="AE20">
        <v>80</v>
      </c>
      <c r="AF20">
        <v>0</v>
      </c>
      <c r="AG20">
        <v>1</v>
      </c>
      <c r="AH20">
        <v>0</v>
      </c>
      <c r="AI20">
        <v>4</v>
      </c>
      <c r="AJ20">
        <v>1</v>
      </c>
      <c r="AK20">
        <v>0</v>
      </c>
      <c r="AL20">
        <v>0</v>
      </c>
    </row>
    <row r="21" spans="1:38" x14ac:dyDescent="0.3">
      <c r="A21" t="s">
        <v>78</v>
      </c>
      <c r="B21">
        <v>20</v>
      </c>
      <c r="C21" t="s">
        <v>38</v>
      </c>
      <c r="D21" t="s">
        <v>39</v>
      </c>
      <c r="E21">
        <f t="shared" si="0"/>
        <v>1</v>
      </c>
      <c r="F21" t="s">
        <v>40</v>
      </c>
      <c r="G21">
        <v>1362</v>
      </c>
      <c r="H21" t="s">
        <v>41</v>
      </c>
      <c r="I21">
        <v>10</v>
      </c>
      <c r="J21">
        <v>1</v>
      </c>
      <c r="K21" t="s">
        <v>51</v>
      </c>
      <c r="L21">
        <v>1</v>
      </c>
      <c r="M21">
        <v>701</v>
      </c>
      <c r="N21">
        <v>4</v>
      </c>
      <c r="O21" t="s">
        <v>43</v>
      </c>
      <c r="P21">
        <v>32</v>
      </c>
      <c r="Q21">
        <v>3</v>
      </c>
      <c r="R21">
        <v>1</v>
      </c>
      <c r="S21" t="s">
        <v>59</v>
      </c>
      <c r="T21">
        <v>3</v>
      </c>
      <c r="U21" t="s">
        <v>45</v>
      </c>
      <c r="V21">
        <v>1009</v>
      </c>
      <c r="W21" t="s">
        <v>46</v>
      </c>
      <c r="X21">
        <v>26999</v>
      </c>
      <c r="Y21">
        <v>1</v>
      </c>
      <c r="Z21" t="s">
        <v>47</v>
      </c>
      <c r="AA21" t="s">
        <v>39</v>
      </c>
      <c r="AB21">
        <v>11</v>
      </c>
      <c r="AC21">
        <v>3</v>
      </c>
      <c r="AD21">
        <v>4</v>
      </c>
      <c r="AE21">
        <v>80</v>
      </c>
      <c r="AF21">
        <v>0</v>
      </c>
      <c r="AG21">
        <v>1</v>
      </c>
      <c r="AH21">
        <v>5</v>
      </c>
      <c r="AI21">
        <v>3</v>
      </c>
      <c r="AJ21">
        <v>1</v>
      </c>
      <c r="AK21">
        <v>0</v>
      </c>
      <c r="AL21">
        <v>1</v>
      </c>
    </row>
    <row r="22" spans="1:38" x14ac:dyDescent="0.3">
      <c r="A22" t="s">
        <v>79</v>
      </c>
      <c r="B22">
        <v>20</v>
      </c>
      <c r="C22" t="s">
        <v>38</v>
      </c>
      <c r="D22" t="s">
        <v>39</v>
      </c>
      <c r="E22">
        <f t="shared" si="0"/>
        <v>1</v>
      </c>
      <c r="F22" t="s">
        <v>40</v>
      </c>
      <c r="G22">
        <v>500</v>
      </c>
      <c r="H22" t="s">
        <v>50</v>
      </c>
      <c r="I22">
        <v>2</v>
      </c>
      <c r="J22">
        <v>3</v>
      </c>
      <c r="K22" t="s">
        <v>51</v>
      </c>
      <c r="L22">
        <v>1</v>
      </c>
      <c r="M22">
        <v>922</v>
      </c>
      <c r="N22">
        <v>3</v>
      </c>
      <c r="O22" t="s">
        <v>52</v>
      </c>
      <c r="P22">
        <v>49</v>
      </c>
      <c r="Q22">
        <v>2</v>
      </c>
      <c r="R22">
        <v>1</v>
      </c>
      <c r="S22" t="s">
        <v>53</v>
      </c>
      <c r="T22">
        <v>3</v>
      </c>
      <c r="U22" t="s">
        <v>45</v>
      </c>
      <c r="V22">
        <v>2044</v>
      </c>
      <c r="W22" t="s">
        <v>46</v>
      </c>
      <c r="X22">
        <v>22052</v>
      </c>
      <c r="Y22">
        <v>1</v>
      </c>
      <c r="Z22" t="s">
        <v>47</v>
      </c>
      <c r="AA22" t="s">
        <v>48</v>
      </c>
      <c r="AB22">
        <v>13</v>
      </c>
      <c r="AC22">
        <v>3</v>
      </c>
      <c r="AD22">
        <v>4</v>
      </c>
      <c r="AE22">
        <v>80</v>
      </c>
      <c r="AF22">
        <v>0</v>
      </c>
      <c r="AG22">
        <v>2</v>
      </c>
      <c r="AH22">
        <v>3</v>
      </c>
      <c r="AI22">
        <v>2</v>
      </c>
      <c r="AJ22">
        <v>2</v>
      </c>
      <c r="AK22">
        <v>2</v>
      </c>
      <c r="AL22">
        <v>0</v>
      </c>
    </row>
    <row r="23" spans="1:38" x14ac:dyDescent="0.3">
      <c r="A23" t="s">
        <v>80</v>
      </c>
      <c r="B23">
        <v>20</v>
      </c>
      <c r="C23" t="s">
        <v>38</v>
      </c>
      <c r="D23" t="s">
        <v>39</v>
      </c>
      <c r="E23">
        <f t="shared" si="0"/>
        <v>1</v>
      </c>
      <c r="F23" t="s">
        <v>40</v>
      </c>
      <c r="G23">
        <v>129</v>
      </c>
      <c r="H23" t="s">
        <v>41</v>
      </c>
      <c r="I23">
        <v>4</v>
      </c>
      <c r="J23">
        <v>3</v>
      </c>
      <c r="K23" t="s">
        <v>67</v>
      </c>
      <c r="L23">
        <v>1</v>
      </c>
      <c r="M23">
        <v>960</v>
      </c>
      <c r="N23">
        <v>1</v>
      </c>
      <c r="O23" t="s">
        <v>43</v>
      </c>
      <c r="P23">
        <v>84</v>
      </c>
      <c r="Q23">
        <v>3</v>
      </c>
      <c r="R23">
        <v>1</v>
      </c>
      <c r="S23" t="s">
        <v>44</v>
      </c>
      <c r="T23">
        <v>1</v>
      </c>
      <c r="U23" t="s">
        <v>45</v>
      </c>
      <c r="V23">
        <v>2973</v>
      </c>
      <c r="W23" t="s">
        <v>46</v>
      </c>
      <c r="X23">
        <v>13008</v>
      </c>
      <c r="Y23">
        <v>1</v>
      </c>
      <c r="Z23" t="s">
        <v>47</v>
      </c>
      <c r="AA23" t="s">
        <v>48</v>
      </c>
      <c r="AB23">
        <v>19</v>
      </c>
      <c r="AC23">
        <v>3</v>
      </c>
      <c r="AD23">
        <v>2</v>
      </c>
      <c r="AE23">
        <v>80</v>
      </c>
      <c r="AF23">
        <v>0</v>
      </c>
      <c r="AG23">
        <v>1</v>
      </c>
      <c r="AH23">
        <v>2</v>
      </c>
      <c r="AI23">
        <v>3</v>
      </c>
      <c r="AJ23">
        <v>1</v>
      </c>
      <c r="AK23">
        <v>0</v>
      </c>
      <c r="AL23">
        <v>0</v>
      </c>
    </row>
    <row r="24" spans="1:38" x14ac:dyDescent="0.3">
      <c r="A24" t="s">
        <v>81</v>
      </c>
      <c r="B24">
        <v>20</v>
      </c>
      <c r="C24" t="s">
        <v>38</v>
      </c>
      <c r="D24" t="s">
        <v>39</v>
      </c>
      <c r="E24">
        <f t="shared" si="0"/>
        <v>1</v>
      </c>
      <c r="F24" t="s">
        <v>40</v>
      </c>
      <c r="G24">
        <v>1097</v>
      </c>
      <c r="H24" t="s">
        <v>41</v>
      </c>
      <c r="I24">
        <v>11</v>
      </c>
      <c r="J24">
        <v>3</v>
      </c>
      <c r="K24" t="s">
        <v>51</v>
      </c>
      <c r="L24">
        <v>1</v>
      </c>
      <c r="M24">
        <v>1016</v>
      </c>
      <c r="N24">
        <v>4</v>
      </c>
      <c r="O24" t="s">
        <v>52</v>
      </c>
      <c r="P24">
        <v>98</v>
      </c>
      <c r="Q24">
        <v>2</v>
      </c>
      <c r="R24">
        <v>1</v>
      </c>
      <c r="S24" t="s">
        <v>59</v>
      </c>
      <c r="T24">
        <v>1</v>
      </c>
      <c r="U24" t="s">
        <v>45</v>
      </c>
      <c r="V24">
        <v>2600</v>
      </c>
      <c r="W24" t="s">
        <v>46</v>
      </c>
      <c r="X24">
        <v>18275</v>
      </c>
      <c r="Y24">
        <v>1</v>
      </c>
      <c r="Z24" t="s">
        <v>47</v>
      </c>
      <c r="AA24" t="s">
        <v>39</v>
      </c>
      <c r="AB24">
        <v>15</v>
      </c>
      <c r="AC24">
        <v>3</v>
      </c>
      <c r="AD24">
        <v>1</v>
      </c>
      <c r="AE24">
        <v>80</v>
      </c>
      <c r="AF24">
        <v>0</v>
      </c>
      <c r="AG24">
        <v>1</v>
      </c>
      <c r="AH24">
        <v>2</v>
      </c>
      <c r="AI24">
        <v>3</v>
      </c>
      <c r="AJ24">
        <v>1</v>
      </c>
      <c r="AK24">
        <v>0</v>
      </c>
      <c r="AL24">
        <v>0</v>
      </c>
    </row>
    <row r="25" spans="1:38" x14ac:dyDescent="0.3">
      <c r="A25" t="s">
        <v>82</v>
      </c>
      <c r="B25">
        <v>20</v>
      </c>
      <c r="C25" t="s">
        <v>38</v>
      </c>
      <c r="D25" t="s">
        <v>39</v>
      </c>
      <c r="E25">
        <f t="shared" si="0"/>
        <v>1</v>
      </c>
      <c r="F25" t="s">
        <v>55</v>
      </c>
      <c r="G25">
        <v>769</v>
      </c>
      <c r="H25" t="s">
        <v>50</v>
      </c>
      <c r="I25">
        <v>9</v>
      </c>
      <c r="J25">
        <v>3</v>
      </c>
      <c r="K25" t="s">
        <v>56</v>
      </c>
      <c r="L25">
        <v>1</v>
      </c>
      <c r="M25">
        <v>1077</v>
      </c>
      <c r="N25">
        <v>4</v>
      </c>
      <c r="O25" t="s">
        <v>52</v>
      </c>
      <c r="P25">
        <v>54</v>
      </c>
      <c r="Q25">
        <v>3</v>
      </c>
      <c r="R25">
        <v>1</v>
      </c>
      <c r="S25" t="s">
        <v>53</v>
      </c>
      <c r="T25">
        <v>4</v>
      </c>
      <c r="U25" t="s">
        <v>45</v>
      </c>
      <c r="V25">
        <v>2323</v>
      </c>
      <c r="W25" t="s">
        <v>46</v>
      </c>
      <c r="X25">
        <v>17205</v>
      </c>
      <c r="Y25">
        <v>1</v>
      </c>
      <c r="Z25" t="s">
        <v>47</v>
      </c>
      <c r="AA25" t="s">
        <v>39</v>
      </c>
      <c r="AB25">
        <v>14</v>
      </c>
      <c r="AC25">
        <v>3</v>
      </c>
      <c r="AD25">
        <v>2</v>
      </c>
      <c r="AE25">
        <v>80</v>
      </c>
      <c r="AF25">
        <v>0</v>
      </c>
      <c r="AG25">
        <v>2</v>
      </c>
      <c r="AH25">
        <v>3</v>
      </c>
      <c r="AI25">
        <v>3</v>
      </c>
      <c r="AJ25">
        <v>2</v>
      </c>
      <c r="AK25">
        <v>2</v>
      </c>
      <c r="AL25">
        <v>0</v>
      </c>
    </row>
    <row r="26" spans="1:38" x14ac:dyDescent="0.3">
      <c r="A26" t="s">
        <v>83</v>
      </c>
      <c r="B26">
        <v>20</v>
      </c>
      <c r="C26" t="s">
        <v>38</v>
      </c>
      <c r="D26" t="s">
        <v>48</v>
      </c>
      <c r="E26">
        <f t="shared" si="0"/>
        <v>0</v>
      </c>
      <c r="F26" t="s">
        <v>40</v>
      </c>
      <c r="G26">
        <v>805</v>
      </c>
      <c r="H26" t="s">
        <v>41</v>
      </c>
      <c r="I26">
        <v>3</v>
      </c>
      <c r="J26">
        <v>3</v>
      </c>
      <c r="K26" t="s">
        <v>42</v>
      </c>
      <c r="L26">
        <v>1</v>
      </c>
      <c r="M26">
        <v>1198</v>
      </c>
      <c r="N26">
        <v>1</v>
      </c>
      <c r="O26" t="s">
        <v>43</v>
      </c>
      <c r="P26">
        <v>87</v>
      </c>
      <c r="Q26">
        <v>2</v>
      </c>
      <c r="R26">
        <v>1</v>
      </c>
      <c r="S26" t="s">
        <v>44</v>
      </c>
      <c r="T26">
        <v>3</v>
      </c>
      <c r="U26" t="s">
        <v>45</v>
      </c>
      <c r="V26">
        <v>3033</v>
      </c>
      <c r="W26" t="s">
        <v>46</v>
      </c>
      <c r="X26">
        <v>12828</v>
      </c>
      <c r="Y26">
        <v>1</v>
      </c>
      <c r="Z26" t="s">
        <v>47</v>
      </c>
      <c r="AA26" t="s">
        <v>48</v>
      </c>
      <c r="AB26">
        <v>12</v>
      </c>
      <c r="AC26">
        <v>3</v>
      </c>
      <c r="AD26">
        <v>1</v>
      </c>
      <c r="AE26">
        <v>80</v>
      </c>
      <c r="AF26">
        <v>0</v>
      </c>
      <c r="AG26">
        <v>2</v>
      </c>
      <c r="AH26">
        <v>2</v>
      </c>
      <c r="AI26">
        <v>2</v>
      </c>
      <c r="AJ26">
        <v>2</v>
      </c>
      <c r="AK26">
        <v>2</v>
      </c>
      <c r="AL26">
        <v>1</v>
      </c>
    </row>
    <row r="27" spans="1:38" x14ac:dyDescent="0.3">
      <c r="A27" t="s">
        <v>84</v>
      </c>
      <c r="B27">
        <v>20</v>
      </c>
      <c r="C27" t="s">
        <v>38</v>
      </c>
      <c r="D27" t="s">
        <v>48</v>
      </c>
      <c r="E27">
        <f t="shared" si="0"/>
        <v>0</v>
      </c>
      <c r="F27" t="s">
        <v>40</v>
      </c>
      <c r="G27">
        <v>654</v>
      </c>
      <c r="H27" t="s">
        <v>50</v>
      </c>
      <c r="I27">
        <v>21</v>
      </c>
      <c r="J27">
        <v>3</v>
      </c>
      <c r="K27" t="s">
        <v>56</v>
      </c>
      <c r="L27">
        <v>1</v>
      </c>
      <c r="M27">
        <v>1226</v>
      </c>
      <c r="N27">
        <v>3</v>
      </c>
      <c r="O27" t="s">
        <v>43</v>
      </c>
      <c r="P27">
        <v>43</v>
      </c>
      <c r="Q27">
        <v>4</v>
      </c>
      <c r="R27">
        <v>1</v>
      </c>
      <c r="S27" t="s">
        <v>53</v>
      </c>
      <c r="T27">
        <v>4</v>
      </c>
      <c r="U27" t="s">
        <v>45</v>
      </c>
      <c r="V27">
        <v>2678</v>
      </c>
      <c r="W27" t="s">
        <v>46</v>
      </c>
      <c r="X27">
        <v>5050</v>
      </c>
      <c r="Y27">
        <v>1</v>
      </c>
      <c r="Z27" t="s">
        <v>47</v>
      </c>
      <c r="AA27" t="s">
        <v>48</v>
      </c>
      <c r="AB27">
        <v>17</v>
      </c>
      <c r="AC27">
        <v>3</v>
      </c>
      <c r="AD27">
        <v>4</v>
      </c>
      <c r="AE27">
        <v>80</v>
      </c>
      <c r="AF27">
        <v>0</v>
      </c>
      <c r="AG27">
        <v>2</v>
      </c>
      <c r="AH27">
        <v>2</v>
      </c>
      <c r="AI27">
        <v>3</v>
      </c>
      <c r="AJ27">
        <v>2</v>
      </c>
      <c r="AK27">
        <v>1</v>
      </c>
      <c r="AL27">
        <v>2</v>
      </c>
    </row>
    <row r="28" spans="1:38" x14ac:dyDescent="0.3">
      <c r="A28" t="s">
        <v>85</v>
      </c>
      <c r="B28">
        <v>20</v>
      </c>
      <c r="C28" t="s">
        <v>38</v>
      </c>
      <c r="D28" t="s">
        <v>48</v>
      </c>
      <c r="E28">
        <f t="shared" si="0"/>
        <v>0</v>
      </c>
      <c r="F28" t="s">
        <v>40</v>
      </c>
      <c r="G28">
        <v>1141</v>
      </c>
      <c r="H28" t="s">
        <v>50</v>
      </c>
      <c r="I28">
        <v>2</v>
      </c>
      <c r="J28">
        <v>3</v>
      </c>
      <c r="K28" t="s">
        <v>51</v>
      </c>
      <c r="L28">
        <v>1</v>
      </c>
      <c r="M28">
        <v>1657</v>
      </c>
      <c r="N28">
        <v>3</v>
      </c>
      <c r="O28" t="s">
        <v>52</v>
      </c>
      <c r="P28">
        <v>31</v>
      </c>
      <c r="Q28">
        <v>3</v>
      </c>
      <c r="R28">
        <v>1</v>
      </c>
      <c r="S28" t="s">
        <v>53</v>
      </c>
      <c r="T28">
        <v>3</v>
      </c>
      <c r="U28" t="s">
        <v>45</v>
      </c>
      <c r="V28">
        <v>2783</v>
      </c>
      <c r="W28" t="s">
        <v>46</v>
      </c>
      <c r="X28">
        <v>13251</v>
      </c>
      <c r="Y28">
        <v>1</v>
      </c>
      <c r="Z28" t="s">
        <v>47</v>
      </c>
      <c r="AA28" t="s">
        <v>48</v>
      </c>
      <c r="AB28">
        <v>19</v>
      </c>
      <c r="AC28">
        <v>3</v>
      </c>
      <c r="AD28">
        <v>1</v>
      </c>
      <c r="AE28">
        <v>80</v>
      </c>
      <c r="AF28">
        <v>0</v>
      </c>
      <c r="AG28">
        <v>2</v>
      </c>
      <c r="AH28">
        <v>3</v>
      </c>
      <c r="AI28">
        <v>3</v>
      </c>
      <c r="AJ28">
        <v>2</v>
      </c>
      <c r="AK28">
        <v>2</v>
      </c>
      <c r="AL28">
        <v>2</v>
      </c>
    </row>
    <row r="29" spans="1:38" x14ac:dyDescent="0.3">
      <c r="A29" t="s">
        <v>86</v>
      </c>
      <c r="B29">
        <v>20</v>
      </c>
      <c r="C29" t="s">
        <v>38</v>
      </c>
      <c r="D29" t="s">
        <v>48</v>
      </c>
      <c r="E29">
        <f t="shared" si="0"/>
        <v>0</v>
      </c>
      <c r="F29" t="s">
        <v>40</v>
      </c>
      <c r="G29">
        <v>727</v>
      </c>
      <c r="H29" t="s">
        <v>50</v>
      </c>
      <c r="I29">
        <v>9</v>
      </c>
      <c r="J29">
        <v>1</v>
      </c>
      <c r="K29" t="s">
        <v>42</v>
      </c>
      <c r="L29">
        <v>1</v>
      </c>
      <c r="M29">
        <v>1680</v>
      </c>
      <c r="N29">
        <v>4</v>
      </c>
      <c r="O29" t="s">
        <v>43</v>
      </c>
      <c r="P29">
        <v>54</v>
      </c>
      <c r="Q29">
        <v>3</v>
      </c>
      <c r="R29">
        <v>1</v>
      </c>
      <c r="S29" t="s">
        <v>53</v>
      </c>
      <c r="T29">
        <v>1</v>
      </c>
      <c r="U29" t="s">
        <v>45</v>
      </c>
      <c r="V29">
        <v>2728</v>
      </c>
      <c r="W29" t="s">
        <v>46</v>
      </c>
      <c r="X29">
        <v>21082</v>
      </c>
      <c r="Y29">
        <v>1</v>
      </c>
      <c r="Z29" t="s">
        <v>47</v>
      </c>
      <c r="AA29" t="s">
        <v>48</v>
      </c>
      <c r="AB29">
        <v>11</v>
      </c>
      <c r="AC29">
        <v>3</v>
      </c>
      <c r="AD29">
        <v>1</v>
      </c>
      <c r="AE29">
        <v>80</v>
      </c>
      <c r="AF29">
        <v>0</v>
      </c>
      <c r="AG29">
        <v>2</v>
      </c>
      <c r="AH29">
        <v>3</v>
      </c>
      <c r="AI29">
        <v>3</v>
      </c>
      <c r="AJ29">
        <v>2</v>
      </c>
      <c r="AK29">
        <v>2</v>
      </c>
      <c r="AL29">
        <v>0</v>
      </c>
    </row>
    <row r="30" spans="1:38" x14ac:dyDescent="0.3">
      <c r="A30" t="s">
        <v>87</v>
      </c>
      <c r="B30">
        <v>21</v>
      </c>
      <c r="C30" t="s">
        <v>38</v>
      </c>
      <c r="D30" t="s">
        <v>48</v>
      </c>
      <c r="E30">
        <f t="shared" si="0"/>
        <v>0</v>
      </c>
      <c r="F30" t="s">
        <v>40</v>
      </c>
      <c r="G30">
        <v>391</v>
      </c>
      <c r="H30" t="s">
        <v>41</v>
      </c>
      <c r="I30">
        <v>15</v>
      </c>
      <c r="J30">
        <v>2</v>
      </c>
      <c r="K30" t="s">
        <v>42</v>
      </c>
      <c r="L30">
        <v>1</v>
      </c>
      <c r="M30">
        <v>30</v>
      </c>
      <c r="N30">
        <v>3</v>
      </c>
      <c r="O30" t="s">
        <v>43</v>
      </c>
      <c r="P30">
        <v>96</v>
      </c>
      <c r="Q30">
        <v>3</v>
      </c>
      <c r="R30">
        <v>1</v>
      </c>
      <c r="S30" t="s">
        <v>59</v>
      </c>
      <c r="T30">
        <v>4</v>
      </c>
      <c r="U30" t="s">
        <v>45</v>
      </c>
      <c r="V30">
        <v>1232</v>
      </c>
      <c r="W30" t="s">
        <v>46</v>
      </c>
      <c r="X30">
        <v>19281</v>
      </c>
      <c r="Y30">
        <v>1</v>
      </c>
      <c r="Z30" t="s">
        <v>47</v>
      </c>
      <c r="AA30" t="s">
        <v>48</v>
      </c>
      <c r="AB30">
        <v>14</v>
      </c>
      <c r="AC30">
        <v>3</v>
      </c>
      <c r="AD30">
        <v>4</v>
      </c>
      <c r="AE30">
        <v>80</v>
      </c>
      <c r="AF30">
        <v>0</v>
      </c>
      <c r="AG30">
        <v>0</v>
      </c>
      <c r="AH30">
        <v>6</v>
      </c>
      <c r="AI30">
        <v>3</v>
      </c>
      <c r="AJ30">
        <v>0</v>
      </c>
      <c r="AK30">
        <v>0</v>
      </c>
      <c r="AL30">
        <v>0</v>
      </c>
    </row>
    <row r="31" spans="1:38" x14ac:dyDescent="0.3">
      <c r="A31" t="s">
        <v>88</v>
      </c>
      <c r="B31">
        <v>21</v>
      </c>
      <c r="C31" t="s">
        <v>38</v>
      </c>
      <c r="D31" t="s">
        <v>48</v>
      </c>
      <c r="E31">
        <f t="shared" si="0"/>
        <v>0</v>
      </c>
      <c r="F31" t="s">
        <v>40</v>
      </c>
      <c r="G31">
        <v>996</v>
      </c>
      <c r="H31" t="s">
        <v>41</v>
      </c>
      <c r="I31">
        <v>3</v>
      </c>
      <c r="J31">
        <v>2</v>
      </c>
      <c r="K31" t="s">
        <v>51</v>
      </c>
      <c r="L31">
        <v>1</v>
      </c>
      <c r="M31">
        <v>379</v>
      </c>
      <c r="N31">
        <v>4</v>
      </c>
      <c r="O31" t="s">
        <v>43</v>
      </c>
      <c r="P31">
        <v>100</v>
      </c>
      <c r="Q31">
        <v>2</v>
      </c>
      <c r="R31">
        <v>1</v>
      </c>
      <c r="S31" t="s">
        <v>59</v>
      </c>
      <c r="T31">
        <v>3</v>
      </c>
      <c r="U31" t="s">
        <v>45</v>
      </c>
      <c r="V31">
        <v>3230</v>
      </c>
      <c r="W31" t="s">
        <v>46</v>
      </c>
      <c r="X31">
        <v>10531</v>
      </c>
      <c r="Y31">
        <v>1</v>
      </c>
      <c r="Z31" t="s">
        <v>47</v>
      </c>
      <c r="AA31" t="s">
        <v>48</v>
      </c>
      <c r="AB31">
        <v>17</v>
      </c>
      <c r="AC31">
        <v>3</v>
      </c>
      <c r="AD31">
        <v>1</v>
      </c>
      <c r="AE31">
        <v>80</v>
      </c>
      <c r="AF31">
        <v>0</v>
      </c>
      <c r="AG31">
        <v>3</v>
      </c>
      <c r="AH31">
        <v>4</v>
      </c>
      <c r="AI31">
        <v>4</v>
      </c>
      <c r="AJ31">
        <v>3</v>
      </c>
      <c r="AK31">
        <v>2</v>
      </c>
      <c r="AL31">
        <v>1</v>
      </c>
    </row>
    <row r="32" spans="1:38" x14ac:dyDescent="0.3">
      <c r="A32" t="s">
        <v>89</v>
      </c>
      <c r="B32">
        <v>21</v>
      </c>
      <c r="C32" t="s">
        <v>38</v>
      </c>
      <c r="D32" t="s">
        <v>39</v>
      </c>
      <c r="E32">
        <f t="shared" si="0"/>
        <v>1</v>
      </c>
      <c r="F32" t="s">
        <v>55</v>
      </c>
      <c r="G32">
        <v>756</v>
      </c>
      <c r="H32" t="s">
        <v>50</v>
      </c>
      <c r="I32">
        <v>1</v>
      </c>
      <c r="J32">
        <v>1</v>
      </c>
      <c r="K32" t="s">
        <v>67</v>
      </c>
      <c r="L32">
        <v>1</v>
      </c>
      <c r="M32">
        <v>478</v>
      </c>
      <c r="N32">
        <v>1</v>
      </c>
      <c r="O32" t="s">
        <v>52</v>
      </c>
      <c r="P32">
        <v>99</v>
      </c>
      <c r="Q32">
        <v>2</v>
      </c>
      <c r="R32">
        <v>1</v>
      </c>
      <c r="S32" t="s">
        <v>53</v>
      </c>
      <c r="T32">
        <v>2</v>
      </c>
      <c r="U32" t="s">
        <v>45</v>
      </c>
      <c r="V32">
        <v>2174</v>
      </c>
      <c r="W32" t="s">
        <v>46</v>
      </c>
      <c r="X32">
        <v>9150</v>
      </c>
      <c r="Y32">
        <v>1</v>
      </c>
      <c r="Z32" t="s">
        <v>47</v>
      </c>
      <c r="AA32" t="s">
        <v>39</v>
      </c>
      <c r="AB32">
        <v>11</v>
      </c>
      <c r="AC32">
        <v>3</v>
      </c>
      <c r="AD32">
        <v>3</v>
      </c>
      <c r="AE32">
        <v>80</v>
      </c>
      <c r="AF32">
        <v>0</v>
      </c>
      <c r="AG32">
        <v>3</v>
      </c>
      <c r="AH32">
        <v>3</v>
      </c>
      <c r="AI32">
        <v>3</v>
      </c>
      <c r="AJ32">
        <v>3</v>
      </c>
      <c r="AK32">
        <v>2</v>
      </c>
      <c r="AL32">
        <v>1</v>
      </c>
    </row>
    <row r="33" spans="1:38" x14ac:dyDescent="0.3">
      <c r="A33" t="s">
        <v>90</v>
      </c>
      <c r="B33">
        <v>21</v>
      </c>
      <c r="C33" t="s">
        <v>38</v>
      </c>
      <c r="D33" t="s">
        <v>48</v>
      </c>
      <c r="E33">
        <f t="shared" si="0"/>
        <v>0</v>
      </c>
      <c r="F33" t="s">
        <v>58</v>
      </c>
      <c r="G33">
        <v>895</v>
      </c>
      <c r="H33" t="s">
        <v>50</v>
      </c>
      <c r="I33">
        <v>9</v>
      </c>
      <c r="J33">
        <v>2</v>
      </c>
      <c r="K33" t="s">
        <v>51</v>
      </c>
      <c r="L33">
        <v>1</v>
      </c>
      <c r="M33">
        <v>484</v>
      </c>
      <c r="N33">
        <v>1</v>
      </c>
      <c r="O33" t="s">
        <v>43</v>
      </c>
      <c r="P33">
        <v>39</v>
      </c>
      <c r="Q33">
        <v>3</v>
      </c>
      <c r="R33">
        <v>1</v>
      </c>
      <c r="S33" t="s">
        <v>53</v>
      </c>
      <c r="T33">
        <v>4</v>
      </c>
      <c r="U33" t="s">
        <v>45</v>
      </c>
      <c r="V33">
        <v>2610</v>
      </c>
      <c r="W33" t="s">
        <v>46</v>
      </c>
      <c r="X33">
        <v>2851</v>
      </c>
      <c r="Y33">
        <v>1</v>
      </c>
      <c r="Z33" t="s">
        <v>47</v>
      </c>
      <c r="AA33" t="s">
        <v>48</v>
      </c>
      <c r="AB33">
        <v>24</v>
      </c>
      <c r="AC33">
        <v>4</v>
      </c>
      <c r="AD33">
        <v>3</v>
      </c>
      <c r="AE33">
        <v>80</v>
      </c>
      <c r="AF33">
        <v>0</v>
      </c>
      <c r="AG33">
        <v>3</v>
      </c>
      <c r="AH33">
        <v>3</v>
      </c>
      <c r="AI33">
        <v>2</v>
      </c>
      <c r="AJ33">
        <v>3</v>
      </c>
      <c r="AK33">
        <v>2</v>
      </c>
      <c r="AL33">
        <v>2</v>
      </c>
    </row>
    <row r="34" spans="1:38" x14ac:dyDescent="0.3">
      <c r="A34" t="s">
        <v>91</v>
      </c>
      <c r="B34">
        <v>21</v>
      </c>
      <c r="C34" t="s">
        <v>38</v>
      </c>
      <c r="D34" t="s">
        <v>39</v>
      </c>
      <c r="E34">
        <f t="shared" si="0"/>
        <v>1</v>
      </c>
      <c r="F34" t="s">
        <v>40</v>
      </c>
      <c r="G34">
        <v>156</v>
      </c>
      <c r="H34" t="s">
        <v>50</v>
      </c>
      <c r="I34">
        <v>12</v>
      </c>
      <c r="J34">
        <v>3</v>
      </c>
      <c r="K34" t="s">
        <v>42</v>
      </c>
      <c r="L34">
        <v>1</v>
      </c>
      <c r="M34">
        <v>494</v>
      </c>
      <c r="N34">
        <v>3</v>
      </c>
      <c r="O34" t="s">
        <v>52</v>
      </c>
      <c r="P34">
        <v>90</v>
      </c>
      <c r="Q34">
        <v>4</v>
      </c>
      <c r="R34">
        <v>1</v>
      </c>
      <c r="S34" t="s">
        <v>53</v>
      </c>
      <c r="T34">
        <v>2</v>
      </c>
      <c r="U34" t="s">
        <v>45</v>
      </c>
      <c r="V34">
        <v>2716</v>
      </c>
      <c r="W34" t="s">
        <v>46</v>
      </c>
      <c r="X34">
        <v>25422</v>
      </c>
      <c r="Y34">
        <v>1</v>
      </c>
      <c r="Z34" t="s">
        <v>47</v>
      </c>
      <c r="AA34" t="s">
        <v>48</v>
      </c>
      <c r="AB34">
        <v>15</v>
      </c>
      <c r="AC34">
        <v>3</v>
      </c>
      <c r="AD34">
        <v>4</v>
      </c>
      <c r="AE34">
        <v>80</v>
      </c>
      <c r="AF34">
        <v>0</v>
      </c>
      <c r="AG34">
        <v>1</v>
      </c>
      <c r="AH34">
        <v>0</v>
      </c>
      <c r="AI34">
        <v>3</v>
      </c>
      <c r="AJ34">
        <v>1</v>
      </c>
      <c r="AK34">
        <v>0</v>
      </c>
      <c r="AL34">
        <v>0</v>
      </c>
    </row>
    <row r="35" spans="1:38" x14ac:dyDescent="0.3">
      <c r="A35" t="s">
        <v>92</v>
      </c>
      <c r="B35">
        <v>21</v>
      </c>
      <c r="C35" t="s">
        <v>38</v>
      </c>
      <c r="D35" t="s">
        <v>48</v>
      </c>
      <c r="E35">
        <f t="shared" si="0"/>
        <v>0</v>
      </c>
      <c r="F35" t="s">
        <v>40</v>
      </c>
      <c r="G35">
        <v>1343</v>
      </c>
      <c r="H35" t="s">
        <v>50</v>
      </c>
      <c r="I35">
        <v>22</v>
      </c>
      <c r="J35">
        <v>1</v>
      </c>
      <c r="K35" t="s">
        <v>67</v>
      </c>
      <c r="L35">
        <v>1</v>
      </c>
      <c r="M35">
        <v>669</v>
      </c>
      <c r="N35">
        <v>3</v>
      </c>
      <c r="O35" t="s">
        <v>43</v>
      </c>
      <c r="P35">
        <v>49</v>
      </c>
      <c r="Q35">
        <v>3</v>
      </c>
      <c r="R35">
        <v>1</v>
      </c>
      <c r="S35" t="s">
        <v>53</v>
      </c>
      <c r="T35">
        <v>3</v>
      </c>
      <c r="U35" t="s">
        <v>45</v>
      </c>
      <c r="V35">
        <v>3447</v>
      </c>
      <c r="W35" t="s">
        <v>46</v>
      </c>
      <c r="X35">
        <v>24444</v>
      </c>
      <c r="Y35">
        <v>1</v>
      </c>
      <c r="Z35" t="s">
        <v>47</v>
      </c>
      <c r="AA35" t="s">
        <v>48</v>
      </c>
      <c r="AB35">
        <v>11</v>
      </c>
      <c r="AC35">
        <v>3</v>
      </c>
      <c r="AD35">
        <v>3</v>
      </c>
      <c r="AE35">
        <v>80</v>
      </c>
      <c r="AF35">
        <v>0</v>
      </c>
      <c r="AG35">
        <v>3</v>
      </c>
      <c r="AH35">
        <v>2</v>
      </c>
      <c r="AI35">
        <v>3</v>
      </c>
      <c r="AJ35">
        <v>3</v>
      </c>
      <c r="AK35">
        <v>2</v>
      </c>
      <c r="AL35">
        <v>1</v>
      </c>
    </row>
    <row r="36" spans="1:38" x14ac:dyDescent="0.3">
      <c r="A36" t="s">
        <v>93</v>
      </c>
      <c r="B36">
        <v>21</v>
      </c>
      <c r="C36" t="s">
        <v>38</v>
      </c>
      <c r="D36" t="s">
        <v>39</v>
      </c>
      <c r="E36">
        <f t="shared" si="0"/>
        <v>1</v>
      </c>
      <c r="F36" t="s">
        <v>40</v>
      </c>
      <c r="G36">
        <v>1427</v>
      </c>
      <c r="H36" t="s">
        <v>41</v>
      </c>
      <c r="I36">
        <v>18</v>
      </c>
      <c r="J36">
        <v>1</v>
      </c>
      <c r="K36" t="s">
        <v>72</v>
      </c>
      <c r="L36">
        <v>1</v>
      </c>
      <c r="M36">
        <v>923</v>
      </c>
      <c r="N36">
        <v>4</v>
      </c>
      <c r="O36" t="s">
        <v>52</v>
      </c>
      <c r="P36">
        <v>65</v>
      </c>
      <c r="Q36">
        <v>3</v>
      </c>
      <c r="R36">
        <v>1</v>
      </c>
      <c r="S36" t="s">
        <v>59</v>
      </c>
      <c r="T36">
        <v>4</v>
      </c>
      <c r="U36" t="s">
        <v>45</v>
      </c>
      <c r="V36">
        <v>2693</v>
      </c>
      <c r="W36" t="s">
        <v>46</v>
      </c>
      <c r="X36">
        <v>8870</v>
      </c>
      <c r="Y36">
        <v>1</v>
      </c>
      <c r="Z36" t="s">
        <v>47</v>
      </c>
      <c r="AA36" t="s">
        <v>48</v>
      </c>
      <c r="AB36">
        <v>19</v>
      </c>
      <c r="AC36">
        <v>3</v>
      </c>
      <c r="AD36">
        <v>1</v>
      </c>
      <c r="AE36">
        <v>80</v>
      </c>
      <c r="AF36">
        <v>0</v>
      </c>
      <c r="AG36">
        <v>1</v>
      </c>
      <c r="AH36">
        <v>3</v>
      </c>
      <c r="AI36">
        <v>2</v>
      </c>
      <c r="AJ36">
        <v>1</v>
      </c>
      <c r="AK36">
        <v>0</v>
      </c>
      <c r="AL36">
        <v>0</v>
      </c>
    </row>
    <row r="37" spans="1:38" x14ac:dyDescent="0.3">
      <c r="A37" t="s">
        <v>94</v>
      </c>
      <c r="B37">
        <v>21</v>
      </c>
      <c r="C37" t="s">
        <v>38</v>
      </c>
      <c r="D37" t="s">
        <v>39</v>
      </c>
      <c r="E37">
        <f t="shared" si="0"/>
        <v>1</v>
      </c>
      <c r="F37" t="s">
        <v>40</v>
      </c>
      <c r="G37">
        <v>1334</v>
      </c>
      <c r="H37" t="s">
        <v>41</v>
      </c>
      <c r="I37">
        <v>10</v>
      </c>
      <c r="J37">
        <v>3</v>
      </c>
      <c r="K37" t="s">
        <v>42</v>
      </c>
      <c r="L37">
        <v>1</v>
      </c>
      <c r="M37">
        <v>1079</v>
      </c>
      <c r="N37">
        <v>3</v>
      </c>
      <c r="O37" t="s">
        <v>52</v>
      </c>
      <c r="P37">
        <v>36</v>
      </c>
      <c r="Q37">
        <v>2</v>
      </c>
      <c r="R37">
        <v>1</v>
      </c>
      <c r="S37" t="s">
        <v>44</v>
      </c>
      <c r="T37">
        <v>1</v>
      </c>
      <c r="U37" t="s">
        <v>45</v>
      </c>
      <c r="V37">
        <v>1416</v>
      </c>
      <c r="W37" t="s">
        <v>46</v>
      </c>
      <c r="X37">
        <v>17258</v>
      </c>
      <c r="Y37">
        <v>1</v>
      </c>
      <c r="Z37" t="s">
        <v>47</v>
      </c>
      <c r="AA37" t="s">
        <v>48</v>
      </c>
      <c r="AB37">
        <v>13</v>
      </c>
      <c r="AC37">
        <v>3</v>
      </c>
      <c r="AD37">
        <v>1</v>
      </c>
      <c r="AE37">
        <v>80</v>
      </c>
      <c r="AF37">
        <v>0</v>
      </c>
      <c r="AG37">
        <v>1</v>
      </c>
      <c r="AH37">
        <v>6</v>
      </c>
      <c r="AI37">
        <v>2</v>
      </c>
      <c r="AJ37">
        <v>1</v>
      </c>
      <c r="AK37">
        <v>0</v>
      </c>
      <c r="AL37">
        <v>1</v>
      </c>
    </row>
    <row r="38" spans="1:38" x14ac:dyDescent="0.3">
      <c r="A38" t="s">
        <v>95</v>
      </c>
      <c r="B38">
        <v>21</v>
      </c>
      <c r="C38" t="s">
        <v>38</v>
      </c>
      <c r="D38" t="s">
        <v>48</v>
      </c>
      <c r="E38">
        <f t="shared" si="0"/>
        <v>0</v>
      </c>
      <c r="F38" t="s">
        <v>40</v>
      </c>
      <c r="G38">
        <v>984</v>
      </c>
      <c r="H38" t="s">
        <v>41</v>
      </c>
      <c r="I38">
        <v>1</v>
      </c>
      <c r="J38">
        <v>1</v>
      </c>
      <c r="K38" t="s">
        <v>67</v>
      </c>
      <c r="L38">
        <v>1</v>
      </c>
      <c r="M38">
        <v>1131</v>
      </c>
      <c r="N38">
        <v>4</v>
      </c>
      <c r="O38" t="s">
        <v>52</v>
      </c>
      <c r="P38">
        <v>70</v>
      </c>
      <c r="Q38">
        <v>2</v>
      </c>
      <c r="R38">
        <v>1</v>
      </c>
      <c r="S38" t="s">
        <v>59</v>
      </c>
      <c r="T38">
        <v>2</v>
      </c>
      <c r="U38" t="s">
        <v>45</v>
      </c>
      <c r="V38">
        <v>2070</v>
      </c>
      <c r="W38" t="s">
        <v>46</v>
      </c>
      <c r="X38">
        <v>25326</v>
      </c>
      <c r="Y38">
        <v>1</v>
      </c>
      <c r="Z38" t="s">
        <v>47</v>
      </c>
      <c r="AA38" t="s">
        <v>39</v>
      </c>
      <c r="AB38">
        <v>11</v>
      </c>
      <c r="AC38">
        <v>3</v>
      </c>
      <c r="AD38">
        <v>3</v>
      </c>
      <c r="AE38">
        <v>80</v>
      </c>
      <c r="AF38">
        <v>0</v>
      </c>
      <c r="AG38">
        <v>2</v>
      </c>
      <c r="AH38">
        <v>6</v>
      </c>
      <c r="AI38">
        <v>4</v>
      </c>
      <c r="AJ38">
        <v>2</v>
      </c>
      <c r="AK38">
        <v>2</v>
      </c>
      <c r="AL38">
        <v>2</v>
      </c>
    </row>
    <row r="39" spans="1:38" x14ac:dyDescent="0.3">
      <c r="A39" t="s">
        <v>96</v>
      </c>
      <c r="B39">
        <v>21</v>
      </c>
      <c r="C39" t="s">
        <v>38</v>
      </c>
      <c r="D39" t="s">
        <v>39</v>
      </c>
      <c r="E39">
        <f t="shared" si="0"/>
        <v>1</v>
      </c>
      <c r="F39" t="s">
        <v>55</v>
      </c>
      <c r="G39">
        <v>251</v>
      </c>
      <c r="H39" t="s">
        <v>41</v>
      </c>
      <c r="I39">
        <v>10</v>
      </c>
      <c r="J39">
        <v>2</v>
      </c>
      <c r="K39" t="s">
        <v>42</v>
      </c>
      <c r="L39">
        <v>1</v>
      </c>
      <c r="M39">
        <v>1279</v>
      </c>
      <c r="N39">
        <v>1</v>
      </c>
      <c r="O39" t="s">
        <v>52</v>
      </c>
      <c r="P39">
        <v>45</v>
      </c>
      <c r="Q39">
        <v>2</v>
      </c>
      <c r="R39">
        <v>1</v>
      </c>
      <c r="S39" t="s">
        <v>44</v>
      </c>
      <c r="T39">
        <v>3</v>
      </c>
      <c r="U39" t="s">
        <v>45</v>
      </c>
      <c r="V39">
        <v>2625</v>
      </c>
      <c r="W39" t="s">
        <v>46</v>
      </c>
      <c r="X39">
        <v>25308</v>
      </c>
      <c r="Y39">
        <v>1</v>
      </c>
      <c r="Z39" t="s">
        <v>47</v>
      </c>
      <c r="AA39" t="s">
        <v>48</v>
      </c>
      <c r="AB39">
        <v>20</v>
      </c>
      <c r="AC39">
        <v>4</v>
      </c>
      <c r="AD39">
        <v>3</v>
      </c>
      <c r="AE39">
        <v>80</v>
      </c>
      <c r="AF39">
        <v>0</v>
      </c>
      <c r="AG39">
        <v>2</v>
      </c>
      <c r="AH39">
        <v>2</v>
      </c>
      <c r="AI39">
        <v>1</v>
      </c>
      <c r="AJ39">
        <v>2</v>
      </c>
      <c r="AK39">
        <v>2</v>
      </c>
      <c r="AL39">
        <v>2</v>
      </c>
    </row>
    <row r="40" spans="1:38" x14ac:dyDescent="0.3">
      <c r="A40" t="s">
        <v>97</v>
      </c>
      <c r="B40">
        <v>21</v>
      </c>
      <c r="C40" t="s">
        <v>38</v>
      </c>
      <c r="D40" t="s">
        <v>48</v>
      </c>
      <c r="E40">
        <f t="shared" si="0"/>
        <v>0</v>
      </c>
      <c r="F40" t="s">
        <v>40</v>
      </c>
      <c r="G40">
        <v>546</v>
      </c>
      <c r="H40" t="s">
        <v>41</v>
      </c>
      <c r="I40">
        <v>5</v>
      </c>
      <c r="J40">
        <v>1</v>
      </c>
      <c r="K40" t="s">
        <v>51</v>
      </c>
      <c r="L40">
        <v>1</v>
      </c>
      <c r="M40">
        <v>1623</v>
      </c>
      <c r="N40">
        <v>3</v>
      </c>
      <c r="O40" t="s">
        <v>43</v>
      </c>
      <c r="P40">
        <v>97</v>
      </c>
      <c r="Q40">
        <v>3</v>
      </c>
      <c r="R40">
        <v>1</v>
      </c>
      <c r="S40" t="s">
        <v>59</v>
      </c>
      <c r="T40">
        <v>4</v>
      </c>
      <c r="U40" t="s">
        <v>45</v>
      </c>
      <c r="V40">
        <v>3117</v>
      </c>
      <c r="W40" t="s">
        <v>46</v>
      </c>
      <c r="X40">
        <v>26009</v>
      </c>
      <c r="Y40">
        <v>1</v>
      </c>
      <c r="Z40" t="s">
        <v>47</v>
      </c>
      <c r="AA40" t="s">
        <v>48</v>
      </c>
      <c r="AB40">
        <v>18</v>
      </c>
      <c r="AC40">
        <v>3</v>
      </c>
      <c r="AD40">
        <v>3</v>
      </c>
      <c r="AE40">
        <v>80</v>
      </c>
      <c r="AF40">
        <v>0</v>
      </c>
      <c r="AG40">
        <v>3</v>
      </c>
      <c r="AH40">
        <v>2</v>
      </c>
      <c r="AI40">
        <v>3</v>
      </c>
      <c r="AJ40">
        <v>2</v>
      </c>
      <c r="AK40">
        <v>2</v>
      </c>
      <c r="AL40">
        <v>2</v>
      </c>
    </row>
    <row r="41" spans="1:38" x14ac:dyDescent="0.3">
      <c r="A41" t="s">
        <v>98</v>
      </c>
      <c r="B41">
        <v>21</v>
      </c>
      <c r="C41" t="s">
        <v>38</v>
      </c>
      <c r="D41" t="s">
        <v>39</v>
      </c>
      <c r="E41">
        <f t="shared" si="0"/>
        <v>1</v>
      </c>
      <c r="F41" t="s">
        <v>40</v>
      </c>
      <c r="G41">
        <v>337</v>
      </c>
      <c r="H41" t="s">
        <v>50</v>
      </c>
      <c r="I41">
        <v>7</v>
      </c>
      <c r="J41">
        <v>1</v>
      </c>
      <c r="K41" t="s">
        <v>56</v>
      </c>
      <c r="L41">
        <v>1</v>
      </c>
      <c r="M41">
        <v>1780</v>
      </c>
      <c r="N41">
        <v>2</v>
      </c>
      <c r="O41" t="s">
        <v>43</v>
      </c>
      <c r="P41">
        <v>31</v>
      </c>
      <c r="Q41">
        <v>3</v>
      </c>
      <c r="R41">
        <v>1</v>
      </c>
      <c r="S41" t="s">
        <v>53</v>
      </c>
      <c r="T41">
        <v>2</v>
      </c>
      <c r="U41" t="s">
        <v>45</v>
      </c>
      <c r="V41">
        <v>2679</v>
      </c>
      <c r="W41" t="s">
        <v>46</v>
      </c>
      <c r="X41">
        <v>4567</v>
      </c>
      <c r="Y41">
        <v>1</v>
      </c>
      <c r="Z41" t="s">
        <v>47</v>
      </c>
      <c r="AA41" t="s">
        <v>48</v>
      </c>
      <c r="AB41">
        <v>13</v>
      </c>
      <c r="AC41">
        <v>3</v>
      </c>
      <c r="AD41">
        <v>2</v>
      </c>
      <c r="AE41">
        <v>80</v>
      </c>
      <c r="AF41">
        <v>0</v>
      </c>
      <c r="AG41">
        <v>1</v>
      </c>
      <c r="AH41">
        <v>3</v>
      </c>
      <c r="AI41">
        <v>3</v>
      </c>
      <c r="AJ41">
        <v>1</v>
      </c>
      <c r="AK41">
        <v>0</v>
      </c>
      <c r="AL41">
        <v>1</v>
      </c>
    </row>
    <row r="42" spans="1:38" x14ac:dyDescent="0.3">
      <c r="A42" t="s">
        <v>99</v>
      </c>
      <c r="B42">
        <v>21</v>
      </c>
      <c r="C42" t="s">
        <v>38</v>
      </c>
      <c r="D42" t="s">
        <v>48</v>
      </c>
      <c r="E42">
        <f t="shared" si="0"/>
        <v>0</v>
      </c>
      <c r="F42" t="s">
        <v>40</v>
      </c>
      <c r="G42">
        <v>501</v>
      </c>
      <c r="H42" t="s">
        <v>50</v>
      </c>
      <c r="I42">
        <v>5</v>
      </c>
      <c r="J42">
        <v>1</v>
      </c>
      <c r="K42" t="s">
        <v>51</v>
      </c>
      <c r="L42">
        <v>1</v>
      </c>
      <c r="M42">
        <v>2021</v>
      </c>
      <c r="N42">
        <v>3</v>
      </c>
      <c r="O42" t="s">
        <v>43</v>
      </c>
      <c r="P42">
        <v>58</v>
      </c>
      <c r="Q42">
        <v>3</v>
      </c>
      <c r="R42">
        <v>1</v>
      </c>
      <c r="S42" t="s">
        <v>53</v>
      </c>
      <c r="T42">
        <v>1</v>
      </c>
      <c r="U42" t="s">
        <v>45</v>
      </c>
      <c r="V42">
        <v>2380</v>
      </c>
      <c r="W42" t="s">
        <v>46</v>
      </c>
      <c r="X42">
        <v>25479</v>
      </c>
      <c r="Y42">
        <v>1</v>
      </c>
      <c r="Z42" t="s">
        <v>47</v>
      </c>
      <c r="AA42" t="s">
        <v>39</v>
      </c>
      <c r="AB42">
        <v>11</v>
      </c>
      <c r="AC42">
        <v>3</v>
      </c>
      <c r="AD42">
        <v>4</v>
      </c>
      <c r="AE42">
        <v>80</v>
      </c>
      <c r="AF42">
        <v>0</v>
      </c>
      <c r="AG42">
        <v>2</v>
      </c>
      <c r="AH42">
        <v>6</v>
      </c>
      <c r="AI42">
        <v>3</v>
      </c>
      <c r="AJ42">
        <v>2</v>
      </c>
      <c r="AK42">
        <v>2</v>
      </c>
      <c r="AL42">
        <v>1</v>
      </c>
    </row>
    <row r="43" spans="1:38" x14ac:dyDescent="0.3">
      <c r="A43" t="s">
        <v>100</v>
      </c>
      <c r="B43">
        <v>22</v>
      </c>
      <c r="C43" t="s">
        <v>38</v>
      </c>
      <c r="D43" t="s">
        <v>48</v>
      </c>
      <c r="E43">
        <f t="shared" si="0"/>
        <v>0</v>
      </c>
      <c r="F43" t="s">
        <v>58</v>
      </c>
      <c r="G43">
        <v>1123</v>
      </c>
      <c r="H43" t="s">
        <v>41</v>
      </c>
      <c r="I43">
        <v>16</v>
      </c>
      <c r="J43">
        <v>2</v>
      </c>
      <c r="K43" t="s">
        <v>51</v>
      </c>
      <c r="L43">
        <v>1</v>
      </c>
      <c r="M43">
        <v>22</v>
      </c>
      <c r="N43">
        <v>4</v>
      </c>
      <c r="O43" t="s">
        <v>43</v>
      </c>
      <c r="P43">
        <v>96</v>
      </c>
      <c r="Q43">
        <v>4</v>
      </c>
      <c r="R43">
        <v>1</v>
      </c>
      <c r="S43" t="s">
        <v>44</v>
      </c>
      <c r="T43">
        <v>4</v>
      </c>
      <c r="U43" t="s">
        <v>101</v>
      </c>
      <c r="V43">
        <v>2935</v>
      </c>
      <c r="W43" t="s">
        <v>46</v>
      </c>
      <c r="X43">
        <v>7324</v>
      </c>
      <c r="Y43">
        <v>1</v>
      </c>
      <c r="Z43" t="s">
        <v>47</v>
      </c>
      <c r="AA43" t="s">
        <v>39</v>
      </c>
      <c r="AB43">
        <v>13</v>
      </c>
      <c r="AC43">
        <v>3</v>
      </c>
      <c r="AD43">
        <v>2</v>
      </c>
      <c r="AE43">
        <v>80</v>
      </c>
      <c r="AF43">
        <v>2</v>
      </c>
      <c r="AG43">
        <v>1</v>
      </c>
      <c r="AH43">
        <v>2</v>
      </c>
      <c r="AI43">
        <v>2</v>
      </c>
      <c r="AJ43">
        <v>1</v>
      </c>
      <c r="AK43">
        <v>0</v>
      </c>
      <c r="AL43">
        <v>0</v>
      </c>
    </row>
    <row r="44" spans="1:38" x14ac:dyDescent="0.3">
      <c r="A44" t="s">
        <v>102</v>
      </c>
      <c r="B44">
        <v>22</v>
      </c>
      <c r="C44" t="s">
        <v>38</v>
      </c>
      <c r="D44" t="s">
        <v>48</v>
      </c>
      <c r="E44">
        <f t="shared" si="0"/>
        <v>0</v>
      </c>
      <c r="F44" t="s">
        <v>40</v>
      </c>
      <c r="G44">
        <v>534</v>
      </c>
      <c r="H44" t="s">
        <v>41</v>
      </c>
      <c r="I44">
        <v>15</v>
      </c>
      <c r="J44">
        <v>3</v>
      </c>
      <c r="K44" t="s">
        <v>51</v>
      </c>
      <c r="L44">
        <v>1</v>
      </c>
      <c r="M44">
        <v>144</v>
      </c>
      <c r="N44">
        <v>2</v>
      </c>
      <c r="O44" t="s">
        <v>52</v>
      </c>
      <c r="P44">
        <v>59</v>
      </c>
      <c r="Q44">
        <v>3</v>
      </c>
      <c r="R44">
        <v>1</v>
      </c>
      <c r="S44" t="s">
        <v>44</v>
      </c>
      <c r="T44">
        <v>4</v>
      </c>
      <c r="U44" t="s">
        <v>45</v>
      </c>
      <c r="V44">
        <v>2871</v>
      </c>
      <c r="W44" t="s">
        <v>46</v>
      </c>
      <c r="X44">
        <v>23785</v>
      </c>
      <c r="Y44">
        <v>1</v>
      </c>
      <c r="Z44" t="s">
        <v>47</v>
      </c>
      <c r="AA44" t="s">
        <v>48</v>
      </c>
      <c r="AB44">
        <v>15</v>
      </c>
      <c r="AC44">
        <v>3</v>
      </c>
      <c r="AD44">
        <v>3</v>
      </c>
      <c r="AE44">
        <v>80</v>
      </c>
      <c r="AF44">
        <v>0</v>
      </c>
      <c r="AG44">
        <v>1</v>
      </c>
      <c r="AH44">
        <v>5</v>
      </c>
      <c r="AI44">
        <v>3</v>
      </c>
      <c r="AJ44">
        <v>0</v>
      </c>
      <c r="AK44">
        <v>0</v>
      </c>
      <c r="AL44">
        <v>0</v>
      </c>
    </row>
    <row r="45" spans="1:38" x14ac:dyDescent="0.3">
      <c r="A45" t="s">
        <v>103</v>
      </c>
      <c r="B45">
        <v>22</v>
      </c>
      <c r="C45" t="s">
        <v>38</v>
      </c>
      <c r="D45" t="s">
        <v>48</v>
      </c>
      <c r="E45">
        <f t="shared" si="0"/>
        <v>0</v>
      </c>
      <c r="F45" t="s">
        <v>40</v>
      </c>
      <c r="G45">
        <v>594</v>
      </c>
      <c r="H45" t="s">
        <v>41</v>
      </c>
      <c r="I45">
        <v>2</v>
      </c>
      <c r="J45">
        <v>1</v>
      </c>
      <c r="K45" t="s">
        <v>67</v>
      </c>
      <c r="L45">
        <v>1</v>
      </c>
      <c r="M45">
        <v>169</v>
      </c>
      <c r="N45">
        <v>3</v>
      </c>
      <c r="O45" t="s">
        <v>43</v>
      </c>
      <c r="P45">
        <v>100</v>
      </c>
      <c r="Q45">
        <v>3</v>
      </c>
      <c r="R45">
        <v>1</v>
      </c>
      <c r="S45" t="s">
        <v>44</v>
      </c>
      <c r="T45">
        <v>4</v>
      </c>
      <c r="U45" t="s">
        <v>104</v>
      </c>
      <c r="V45">
        <v>2523</v>
      </c>
      <c r="W45" t="s">
        <v>46</v>
      </c>
      <c r="X45">
        <v>19299</v>
      </c>
      <c r="Y45">
        <v>0</v>
      </c>
      <c r="Z45" t="s">
        <v>47</v>
      </c>
      <c r="AA45" t="s">
        <v>48</v>
      </c>
      <c r="AB45">
        <v>14</v>
      </c>
      <c r="AC45">
        <v>3</v>
      </c>
      <c r="AD45">
        <v>3</v>
      </c>
      <c r="AE45">
        <v>80</v>
      </c>
      <c r="AF45">
        <v>1</v>
      </c>
      <c r="AG45">
        <v>3</v>
      </c>
      <c r="AH45">
        <v>2</v>
      </c>
      <c r="AI45">
        <v>3</v>
      </c>
      <c r="AJ45">
        <v>2</v>
      </c>
      <c r="AK45">
        <v>1</v>
      </c>
      <c r="AL45">
        <v>2</v>
      </c>
    </row>
    <row r="46" spans="1:38" x14ac:dyDescent="0.3">
      <c r="A46" t="s">
        <v>105</v>
      </c>
      <c r="B46">
        <v>22</v>
      </c>
      <c r="C46" t="s">
        <v>38</v>
      </c>
      <c r="D46" t="s">
        <v>48</v>
      </c>
      <c r="E46">
        <f t="shared" si="0"/>
        <v>0</v>
      </c>
      <c r="F46" t="s">
        <v>40</v>
      </c>
      <c r="G46">
        <v>1256</v>
      </c>
      <c r="H46" t="s">
        <v>41</v>
      </c>
      <c r="I46">
        <v>19</v>
      </c>
      <c r="J46">
        <v>1</v>
      </c>
      <c r="K46" t="s">
        <v>51</v>
      </c>
      <c r="L46">
        <v>1</v>
      </c>
      <c r="M46">
        <v>217</v>
      </c>
      <c r="N46">
        <v>3</v>
      </c>
      <c r="O46" t="s">
        <v>43</v>
      </c>
      <c r="P46">
        <v>80</v>
      </c>
      <c r="Q46">
        <v>3</v>
      </c>
      <c r="R46">
        <v>1</v>
      </c>
      <c r="S46" t="s">
        <v>59</v>
      </c>
      <c r="T46">
        <v>4</v>
      </c>
      <c r="U46" t="s">
        <v>104</v>
      </c>
      <c r="V46">
        <v>2323</v>
      </c>
      <c r="W46" t="s">
        <v>46</v>
      </c>
      <c r="X46">
        <v>11992</v>
      </c>
      <c r="Y46">
        <v>1</v>
      </c>
      <c r="Z46" t="s">
        <v>47</v>
      </c>
      <c r="AA46" t="s">
        <v>48</v>
      </c>
      <c r="AB46">
        <v>24</v>
      </c>
      <c r="AC46">
        <v>4</v>
      </c>
      <c r="AD46">
        <v>1</v>
      </c>
      <c r="AE46">
        <v>80</v>
      </c>
      <c r="AF46">
        <v>2</v>
      </c>
      <c r="AG46">
        <v>2</v>
      </c>
      <c r="AH46">
        <v>6</v>
      </c>
      <c r="AI46">
        <v>3</v>
      </c>
      <c r="AJ46">
        <v>2</v>
      </c>
      <c r="AK46">
        <v>2</v>
      </c>
      <c r="AL46">
        <v>2</v>
      </c>
    </row>
    <row r="47" spans="1:38" x14ac:dyDescent="0.3">
      <c r="A47" t="s">
        <v>106</v>
      </c>
      <c r="B47">
        <v>22</v>
      </c>
      <c r="C47" t="s">
        <v>38</v>
      </c>
      <c r="D47" t="s">
        <v>48</v>
      </c>
      <c r="E47">
        <f t="shared" si="0"/>
        <v>0</v>
      </c>
      <c r="F47" t="s">
        <v>40</v>
      </c>
      <c r="G47">
        <v>1136</v>
      </c>
      <c r="H47" t="s">
        <v>41</v>
      </c>
      <c r="I47">
        <v>5</v>
      </c>
      <c r="J47">
        <v>3</v>
      </c>
      <c r="K47" t="s">
        <v>42</v>
      </c>
      <c r="L47">
        <v>1</v>
      </c>
      <c r="M47">
        <v>284</v>
      </c>
      <c r="N47">
        <v>4</v>
      </c>
      <c r="O47" t="s">
        <v>43</v>
      </c>
      <c r="P47">
        <v>60</v>
      </c>
      <c r="Q47">
        <v>4</v>
      </c>
      <c r="R47">
        <v>1</v>
      </c>
      <c r="S47" t="s">
        <v>59</v>
      </c>
      <c r="T47">
        <v>2</v>
      </c>
      <c r="U47" t="s">
        <v>101</v>
      </c>
      <c r="V47">
        <v>2328</v>
      </c>
      <c r="W47" t="s">
        <v>46</v>
      </c>
      <c r="X47">
        <v>12392</v>
      </c>
      <c r="Y47">
        <v>1</v>
      </c>
      <c r="Z47" t="s">
        <v>47</v>
      </c>
      <c r="AA47" t="s">
        <v>39</v>
      </c>
      <c r="AB47">
        <v>16</v>
      </c>
      <c r="AC47">
        <v>3</v>
      </c>
      <c r="AD47">
        <v>1</v>
      </c>
      <c r="AE47">
        <v>80</v>
      </c>
      <c r="AF47">
        <v>1</v>
      </c>
      <c r="AG47">
        <v>4</v>
      </c>
      <c r="AH47">
        <v>2</v>
      </c>
      <c r="AI47">
        <v>2</v>
      </c>
      <c r="AJ47">
        <v>4</v>
      </c>
      <c r="AK47">
        <v>2</v>
      </c>
      <c r="AL47">
        <v>2</v>
      </c>
    </row>
    <row r="48" spans="1:38" x14ac:dyDescent="0.3">
      <c r="A48" t="s">
        <v>107</v>
      </c>
      <c r="B48">
        <v>22</v>
      </c>
      <c r="C48" t="s">
        <v>38</v>
      </c>
      <c r="D48" t="s">
        <v>48</v>
      </c>
      <c r="E48">
        <f t="shared" si="0"/>
        <v>0</v>
      </c>
      <c r="F48" t="s">
        <v>40</v>
      </c>
      <c r="G48">
        <v>253</v>
      </c>
      <c r="H48" t="s">
        <v>41</v>
      </c>
      <c r="I48">
        <v>11</v>
      </c>
      <c r="J48">
        <v>3</v>
      </c>
      <c r="K48" t="s">
        <v>51</v>
      </c>
      <c r="L48">
        <v>1</v>
      </c>
      <c r="M48">
        <v>511</v>
      </c>
      <c r="N48">
        <v>1</v>
      </c>
      <c r="O48" t="s">
        <v>52</v>
      </c>
      <c r="P48">
        <v>43</v>
      </c>
      <c r="Q48">
        <v>3</v>
      </c>
      <c r="R48">
        <v>1</v>
      </c>
      <c r="S48" t="s">
        <v>59</v>
      </c>
      <c r="T48">
        <v>2</v>
      </c>
      <c r="U48" t="s">
        <v>104</v>
      </c>
      <c r="V48">
        <v>2244</v>
      </c>
      <c r="W48" t="s">
        <v>46</v>
      </c>
      <c r="X48">
        <v>24440</v>
      </c>
      <c r="Y48">
        <v>1</v>
      </c>
      <c r="Z48" t="s">
        <v>47</v>
      </c>
      <c r="AA48" t="s">
        <v>48</v>
      </c>
      <c r="AB48">
        <v>13</v>
      </c>
      <c r="AC48">
        <v>3</v>
      </c>
      <c r="AD48">
        <v>4</v>
      </c>
      <c r="AE48">
        <v>80</v>
      </c>
      <c r="AF48">
        <v>1</v>
      </c>
      <c r="AG48">
        <v>2</v>
      </c>
      <c r="AH48">
        <v>1</v>
      </c>
      <c r="AI48">
        <v>3</v>
      </c>
      <c r="AJ48">
        <v>2</v>
      </c>
      <c r="AK48">
        <v>1</v>
      </c>
      <c r="AL48">
        <v>1</v>
      </c>
    </row>
    <row r="49" spans="1:38" x14ac:dyDescent="0.3">
      <c r="A49" t="s">
        <v>108</v>
      </c>
      <c r="B49">
        <v>22</v>
      </c>
      <c r="C49" t="s">
        <v>38</v>
      </c>
      <c r="D49" t="s">
        <v>39</v>
      </c>
      <c r="E49">
        <f t="shared" si="0"/>
        <v>1</v>
      </c>
      <c r="F49" t="s">
        <v>55</v>
      </c>
      <c r="G49">
        <v>1368</v>
      </c>
      <c r="H49" t="s">
        <v>41</v>
      </c>
      <c r="I49">
        <v>4</v>
      </c>
      <c r="J49">
        <v>1</v>
      </c>
      <c r="K49" t="s">
        <v>67</v>
      </c>
      <c r="L49">
        <v>1</v>
      </c>
      <c r="M49">
        <v>593</v>
      </c>
      <c r="N49">
        <v>3</v>
      </c>
      <c r="O49" t="s">
        <v>43</v>
      </c>
      <c r="P49">
        <v>99</v>
      </c>
      <c r="Q49">
        <v>2</v>
      </c>
      <c r="R49">
        <v>1</v>
      </c>
      <c r="S49" t="s">
        <v>44</v>
      </c>
      <c r="T49">
        <v>3</v>
      </c>
      <c r="U49" t="s">
        <v>45</v>
      </c>
      <c r="V49">
        <v>3894</v>
      </c>
      <c r="W49" t="s">
        <v>46</v>
      </c>
      <c r="X49">
        <v>9129</v>
      </c>
      <c r="Y49">
        <v>5</v>
      </c>
      <c r="Z49" t="s">
        <v>47</v>
      </c>
      <c r="AA49" t="s">
        <v>48</v>
      </c>
      <c r="AB49">
        <v>16</v>
      </c>
      <c r="AC49">
        <v>3</v>
      </c>
      <c r="AD49">
        <v>3</v>
      </c>
      <c r="AE49">
        <v>80</v>
      </c>
      <c r="AF49">
        <v>0</v>
      </c>
      <c r="AG49">
        <v>4</v>
      </c>
      <c r="AH49">
        <v>3</v>
      </c>
      <c r="AI49">
        <v>3</v>
      </c>
      <c r="AJ49">
        <v>2</v>
      </c>
      <c r="AK49">
        <v>2</v>
      </c>
      <c r="AL49">
        <v>1</v>
      </c>
    </row>
    <row r="50" spans="1:38" x14ac:dyDescent="0.3">
      <c r="A50" t="s">
        <v>109</v>
      </c>
      <c r="B50">
        <v>22</v>
      </c>
      <c r="C50" t="s">
        <v>38</v>
      </c>
      <c r="D50" t="s">
        <v>48</v>
      </c>
      <c r="E50">
        <f t="shared" si="0"/>
        <v>0</v>
      </c>
      <c r="F50" t="s">
        <v>40</v>
      </c>
      <c r="G50">
        <v>604</v>
      </c>
      <c r="H50" t="s">
        <v>41</v>
      </c>
      <c r="I50">
        <v>6</v>
      </c>
      <c r="J50">
        <v>1</v>
      </c>
      <c r="K50" t="s">
        <v>51</v>
      </c>
      <c r="L50">
        <v>1</v>
      </c>
      <c r="M50">
        <v>675</v>
      </c>
      <c r="N50">
        <v>1</v>
      </c>
      <c r="O50" t="s">
        <v>43</v>
      </c>
      <c r="P50">
        <v>69</v>
      </c>
      <c r="Q50">
        <v>3</v>
      </c>
      <c r="R50">
        <v>1</v>
      </c>
      <c r="S50" t="s">
        <v>59</v>
      </c>
      <c r="T50">
        <v>3</v>
      </c>
      <c r="U50" t="s">
        <v>104</v>
      </c>
      <c r="V50">
        <v>2773</v>
      </c>
      <c r="W50" t="s">
        <v>46</v>
      </c>
      <c r="X50">
        <v>12145</v>
      </c>
      <c r="Y50">
        <v>0</v>
      </c>
      <c r="Z50" t="s">
        <v>47</v>
      </c>
      <c r="AA50" t="s">
        <v>48</v>
      </c>
      <c r="AB50">
        <v>20</v>
      </c>
      <c r="AC50">
        <v>4</v>
      </c>
      <c r="AD50">
        <v>4</v>
      </c>
      <c r="AE50">
        <v>80</v>
      </c>
      <c r="AF50">
        <v>0</v>
      </c>
      <c r="AG50">
        <v>3</v>
      </c>
      <c r="AH50">
        <v>3</v>
      </c>
      <c r="AI50">
        <v>3</v>
      </c>
      <c r="AJ50">
        <v>2</v>
      </c>
      <c r="AK50">
        <v>2</v>
      </c>
      <c r="AL50">
        <v>2</v>
      </c>
    </row>
    <row r="51" spans="1:38" x14ac:dyDescent="0.3">
      <c r="A51" t="s">
        <v>110</v>
      </c>
      <c r="B51">
        <v>22</v>
      </c>
      <c r="C51" t="s">
        <v>38</v>
      </c>
      <c r="D51" t="s">
        <v>48</v>
      </c>
      <c r="E51">
        <f t="shared" si="0"/>
        <v>0</v>
      </c>
      <c r="F51" t="s">
        <v>40</v>
      </c>
      <c r="G51">
        <v>1230</v>
      </c>
      <c r="H51" t="s">
        <v>41</v>
      </c>
      <c r="I51">
        <v>1</v>
      </c>
      <c r="J51">
        <v>2</v>
      </c>
      <c r="K51" t="s">
        <v>42</v>
      </c>
      <c r="L51">
        <v>1</v>
      </c>
      <c r="M51">
        <v>872</v>
      </c>
      <c r="N51">
        <v>4</v>
      </c>
      <c r="O51" t="s">
        <v>43</v>
      </c>
      <c r="P51">
        <v>33</v>
      </c>
      <c r="Q51">
        <v>2</v>
      </c>
      <c r="R51">
        <v>2</v>
      </c>
      <c r="S51" t="s">
        <v>111</v>
      </c>
      <c r="T51">
        <v>4</v>
      </c>
      <c r="U51" t="s">
        <v>104</v>
      </c>
      <c r="V51">
        <v>4775</v>
      </c>
      <c r="W51" t="s">
        <v>46</v>
      </c>
      <c r="X51">
        <v>19146</v>
      </c>
      <c r="Y51">
        <v>6</v>
      </c>
      <c r="Z51" t="s">
        <v>47</v>
      </c>
      <c r="AA51" t="s">
        <v>48</v>
      </c>
      <c r="AB51">
        <v>22</v>
      </c>
      <c r="AC51">
        <v>4</v>
      </c>
      <c r="AD51">
        <v>1</v>
      </c>
      <c r="AE51">
        <v>80</v>
      </c>
      <c r="AF51">
        <v>2</v>
      </c>
      <c r="AG51">
        <v>4</v>
      </c>
      <c r="AH51">
        <v>2</v>
      </c>
      <c r="AI51">
        <v>1</v>
      </c>
      <c r="AJ51">
        <v>2</v>
      </c>
      <c r="AK51">
        <v>2</v>
      </c>
      <c r="AL51">
        <v>2</v>
      </c>
    </row>
    <row r="52" spans="1:38" x14ac:dyDescent="0.3">
      <c r="A52" t="s">
        <v>112</v>
      </c>
      <c r="B52">
        <v>22</v>
      </c>
      <c r="C52" t="s">
        <v>38</v>
      </c>
      <c r="D52" t="s">
        <v>39</v>
      </c>
      <c r="E52">
        <f t="shared" si="0"/>
        <v>1</v>
      </c>
      <c r="F52" t="s">
        <v>40</v>
      </c>
      <c r="G52">
        <v>617</v>
      </c>
      <c r="H52" t="s">
        <v>41</v>
      </c>
      <c r="I52">
        <v>3</v>
      </c>
      <c r="J52">
        <v>1</v>
      </c>
      <c r="K52" t="s">
        <v>42</v>
      </c>
      <c r="L52">
        <v>1</v>
      </c>
      <c r="M52">
        <v>926</v>
      </c>
      <c r="N52">
        <v>2</v>
      </c>
      <c r="O52" t="s">
        <v>52</v>
      </c>
      <c r="P52">
        <v>34</v>
      </c>
      <c r="Q52">
        <v>3</v>
      </c>
      <c r="R52">
        <v>2</v>
      </c>
      <c r="S52" t="s">
        <v>111</v>
      </c>
      <c r="T52">
        <v>3</v>
      </c>
      <c r="U52" t="s">
        <v>104</v>
      </c>
      <c r="V52">
        <v>4171</v>
      </c>
      <c r="W52" t="s">
        <v>46</v>
      </c>
      <c r="X52">
        <v>10022</v>
      </c>
      <c r="Y52">
        <v>0</v>
      </c>
      <c r="Z52" t="s">
        <v>47</v>
      </c>
      <c r="AA52" t="s">
        <v>39</v>
      </c>
      <c r="AB52">
        <v>19</v>
      </c>
      <c r="AC52">
        <v>3</v>
      </c>
      <c r="AD52">
        <v>1</v>
      </c>
      <c r="AE52">
        <v>80</v>
      </c>
      <c r="AF52">
        <v>1</v>
      </c>
      <c r="AG52">
        <v>4</v>
      </c>
      <c r="AH52">
        <v>3</v>
      </c>
      <c r="AI52">
        <v>4</v>
      </c>
      <c r="AJ52">
        <v>3</v>
      </c>
      <c r="AK52">
        <v>2</v>
      </c>
      <c r="AL52">
        <v>0</v>
      </c>
    </row>
    <row r="53" spans="1:38" x14ac:dyDescent="0.3">
      <c r="A53" t="s">
        <v>113</v>
      </c>
      <c r="B53">
        <v>22</v>
      </c>
      <c r="C53" t="s">
        <v>38</v>
      </c>
      <c r="D53" t="s">
        <v>48</v>
      </c>
      <c r="E53">
        <f t="shared" si="0"/>
        <v>0</v>
      </c>
      <c r="F53" t="s">
        <v>40</v>
      </c>
      <c r="G53">
        <v>217</v>
      </c>
      <c r="H53" t="s">
        <v>41</v>
      </c>
      <c r="I53">
        <v>8</v>
      </c>
      <c r="J53">
        <v>1</v>
      </c>
      <c r="K53" t="s">
        <v>42</v>
      </c>
      <c r="L53">
        <v>1</v>
      </c>
      <c r="M53">
        <v>1019</v>
      </c>
      <c r="N53">
        <v>2</v>
      </c>
      <c r="O53" t="s">
        <v>43</v>
      </c>
      <c r="P53">
        <v>94</v>
      </c>
      <c r="Q53">
        <v>1</v>
      </c>
      <c r="R53">
        <v>1</v>
      </c>
      <c r="S53" t="s">
        <v>44</v>
      </c>
      <c r="T53">
        <v>1</v>
      </c>
      <c r="U53" t="s">
        <v>104</v>
      </c>
      <c r="V53">
        <v>2451</v>
      </c>
      <c r="W53" t="s">
        <v>46</v>
      </c>
      <c r="X53">
        <v>6881</v>
      </c>
      <c r="Y53">
        <v>1</v>
      </c>
      <c r="Z53" t="s">
        <v>47</v>
      </c>
      <c r="AA53" t="s">
        <v>48</v>
      </c>
      <c r="AB53">
        <v>15</v>
      </c>
      <c r="AC53">
        <v>3</v>
      </c>
      <c r="AD53">
        <v>1</v>
      </c>
      <c r="AE53">
        <v>80</v>
      </c>
      <c r="AF53">
        <v>1</v>
      </c>
      <c r="AG53">
        <v>4</v>
      </c>
      <c r="AH53">
        <v>3</v>
      </c>
      <c r="AI53">
        <v>2</v>
      </c>
      <c r="AJ53">
        <v>4</v>
      </c>
      <c r="AK53">
        <v>3</v>
      </c>
      <c r="AL53">
        <v>1</v>
      </c>
    </row>
    <row r="54" spans="1:38" x14ac:dyDescent="0.3">
      <c r="A54" t="s">
        <v>114</v>
      </c>
      <c r="B54">
        <v>22</v>
      </c>
      <c r="C54" t="s">
        <v>38</v>
      </c>
      <c r="D54" t="s">
        <v>39</v>
      </c>
      <c r="E54">
        <f t="shared" si="0"/>
        <v>1</v>
      </c>
      <c r="F54" t="s">
        <v>55</v>
      </c>
      <c r="G54">
        <v>1256</v>
      </c>
      <c r="H54" t="s">
        <v>41</v>
      </c>
      <c r="I54">
        <v>3</v>
      </c>
      <c r="J54">
        <v>4</v>
      </c>
      <c r="K54" t="s">
        <v>42</v>
      </c>
      <c r="L54">
        <v>1</v>
      </c>
      <c r="M54">
        <v>1203</v>
      </c>
      <c r="N54">
        <v>3</v>
      </c>
      <c r="O54" t="s">
        <v>43</v>
      </c>
      <c r="P54">
        <v>48</v>
      </c>
      <c r="Q54">
        <v>2</v>
      </c>
      <c r="R54">
        <v>1</v>
      </c>
      <c r="S54" t="s">
        <v>59</v>
      </c>
      <c r="T54">
        <v>4</v>
      </c>
      <c r="U54" t="s">
        <v>104</v>
      </c>
      <c r="V54">
        <v>2853</v>
      </c>
      <c r="W54" t="s">
        <v>46</v>
      </c>
      <c r="X54">
        <v>4223</v>
      </c>
      <c r="Y54">
        <v>0</v>
      </c>
      <c r="Z54" t="s">
        <v>47</v>
      </c>
      <c r="AA54" t="s">
        <v>39</v>
      </c>
      <c r="AB54">
        <v>11</v>
      </c>
      <c r="AC54">
        <v>3</v>
      </c>
      <c r="AD54">
        <v>2</v>
      </c>
      <c r="AE54">
        <v>80</v>
      </c>
      <c r="AF54">
        <v>1</v>
      </c>
      <c r="AG54">
        <v>1</v>
      </c>
      <c r="AH54">
        <v>5</v>
      </c>
      <c r="AI54">
        <v>3</v>
      </c>
      <c r="AJ54">
        <v>0</v>
      </c>
      <c r="AK54">
        <v>0</v>
      </c>
      <c r="AL54">
        <v>0</v>
      </c>
    </row>
    <row r="55" spans="1:38" x14ac:dyDescent="0.3">
      <c r="A55" t="s">
        <v>115</v>
      </c>
      <c r="B55">
        <v>22</v>
      </c>
      <c r="C55" t="s">
        <v>38</v>
      </c>
      <c r="D55" t="s">
        <v>48</v>
      </c>
      <c r="E55">
        <f t="shared" si="0"/>
        <v>0</v>
      </c>
      <c r="F55" t="s">
        <v>58</v>
      </c>
      <c r="G55">
        <v>457</v>
      </c>
      <c r="H55" t="s">
        <v>41</v>
      </c>
      <c r="I55">
        <v>26</v>
      </c>
      <c r="J55">
        <v>2</v>
      </c>
      <c r="K55" t="s">
        <v>72</v>
      </c>
      <c r="L55">
        <v>1</v>
      </c>
      <c r="M55">
        <v>1605</v>
      </c>
      <c r="N55">
        <v>2</v>
      </c>
      <c r="O55" t="s">
        <v>52</v>
      </c>
      <c r="P55">
        <v>85</v>
      </c>
      <c r="Q55">
        <v>2</v>
      </c>
      <c r="R55">
        <v>1</v>
      </c>
      <c r="S55" t="s">
        <v>59</v>
      </c>
      <c r="T55">
        <v>3</v>
      </c>
      <c r="U55" t="s">
        <v>104</v>
      </c>
      <c r="V55">
        <v>2814</v>
      </c>
      <c r="W55" t="s">
        <v>46</v>
      </c>
      <c r="X55">
        <v>10293</v>
      </c>
      <c r="Y55">
        <v>1</v>
      </c>
      <c r="Z55" t="s">
        <v>47</v>
      </c>
      <c r="AA55" t="s">
        <v>39</v>
      </c>
      <c r="AB55">
        <v>14</v>
      </c>
      <c r="AC55">
        <v>3</v>
      </c>
      <c r="AD55">
        <v>2</v>
      </c>
      <c r="AE55">
        <v>80</v>
      </c>
      <c r="AF55">
        <v>0</v>
      </c>
      <c r="AG55">
        <v>4</v>
      </c>
      <c r="AH55">
        <v>2</v>
      </c>
      <c r="AI55">
        <v>2</v>
      </c>
      <c r="AJ55">
        <v>4</v>
      </c>
      <c r="AK55">
        <v>2</v>
      </c>
      <c r="AL55">
        <v>1</v>
      </c>
    </row>
    <row r="56" spans="1:38" x14ac:dyDescent="0.3">
      <c r="A56" t="s">
        <v>116</v>
      </c>
      <c r="B56">
        <v>22</v>
      </c>
      <c r="C56" t="s">
        <v>38</v>
      </c>
      <c r="D56" t="s">
        <v>39</v>
      </c>
      <c r="E56">
        <f t="shared" si="0"/>
        <v>1</v>
      </c>
      <c r="F56" t="s">
        <v>40</v>
      </c>
      <c r="G56">
        <v>1294</v>
      </c>
      <c r="H56" t="s">
        <v>41</v>
      </c>
      <c r="I56">
        <v>8</v>
      </c>
      <c r="J56">
        <v>1</v>
      </c>
      <c r="K56" t="s">
        <v>51</v>
      </c>
      <c r="L56">
        <v>1</v>
      </c>
      <c r="M56">
        <v>1783</v>
      </c>
      <c r="N56">
        <v>3</v>
      </c>
      <c r="O56" t="s">
        <v>52</v>
      </c>
      <c r="P56">
        <v>79</v>
      </c>
      <c r="Q56">
        <v>3</v>
      </c>
      <c r="R56">
        <v>1</v>
      </c>
      <c r="S56" t="s">
        <v>44</v>
      </c>
      <c r="T56">
        <v>1</v>
      </c>
      <c r="U56" t="s">
        <v>104</v>
      </c>
      <c r="V56">
        <v>2398</v>
      </c>
      <c r="W56" t="s">
        <v>46</v>
      </c>
      <c r="X56">
        <v>15999</v>
      </c>
      <c r="Y56">
        <v>1</v>
      </c>
      <c r="Z56" t="s">
        <v>47</v>
      </c>
      <c r="AA56" t="s">
        <v>39</v>
      </c>
      <c r="AB56">
        <v>17</v>
      </c>
      <c r="AC56">
        <v>3</v>
      </c>
      <c r="AD56">
        <v>3</v>
      </c>
      <c r="AE56">
        <v>80</v>
      </c>
      <c r="AF56">
        <v>0</v>
      </c>
      <c r="AG56">
        <v>1</v>
      </c>
      <c r="AH56">
        <v>6</v>
      </c>
      <c r="AI56">
        <v>3</v>
      </c>
      <c r="AJ56">
        <v>1</v>
      </c>
      <c r="AK56">
        <v>0</v>
      </c>
      <c r="AL56">
        <v>0</v>
      </c>
    </row>
    <row r="57" spans="1:38" x14ac:dyDescent="0.3">
      <c r="A57" t="s">
        <v>117</v>
      </c>
      <c r="B57">
        <v>22</v>
      </c>
      <c r="C57" t="s">
        <v>38</v>
      </c>
      <c r="D57" t="s">
        <v>39</v>
      </c>
      <c r="E57">
        <f t="shared" si="0"/>
        <v>1</v>
      </c>
      <c r="F57" t="s">
        <v>40</v>
      </c>
      <c r="G57">
        <v>391</v>
      </c>
      <c r="H57" t="s">
        <v>41</v>
      </c>
      <c r="I57">
        <v>7</v>
      </c>
      <c r="J57">
        <v>1</v>
      </c>
      <c r="K57" t="s">
        <v>42</v>
      </c>
      <c r="L57">
        <v>1</v>
      </c>
      <c r="M57">
        <v>1878</v>
      </c>
      <c r="N57">
        <v>4</v>
      </c>
      <c r="O57" t="s">
        <v>43</v>
      </c>
      <c r="P57">
        <v>75</v>
      </c>
      <c r="Q57">
        <v>3</v>
      </c>
      <c r="R57">
        <v>1</v>
      </c>
      <c r="S57" t="s">
        <v>59</v>
      </c>
      <c r="T57">
        <v>2</v>
      </c>
      <c r="U57" t="s">
        <v>45</v>
      </c>
      <c r="V57">
        <v>2472</v>
      </c>
      <c r="W57" t="s">
        <v>46</v>
      </c>
      <c r="X57">
        <v>26092</v>
      </c>
      <c r="Y57">
        <v>1</v>
      </c>
      <c r="Z57" t="s">
        <v>47</v>
      </c>
      <c r="AA57" t="s">
        <v>39</v>
      </c>
      <c r="AB57">
        <v>23</v>
      </c>
      <c r="AC57">
        <v>4</v>
      </c>
      <c r="AD57">
        <v>1</v>
      </c>
      <c r="AE57">
        <v>80</v>
      </c>
      <c r="AF57">
        <v>0</v>
      </c>
      <c r="AG57">
        <v>1</v>
      </c>
      <c r="AH57">
        <v>2</v>
      </c>
      <c r="AI57">
        <v>3</v>
      </c>
      <c r="AJ57">
        <v>1</v>
      </c>
      <c r="AK57">
        <v>0</v>
      </c>
      <c r="AL57">
        <v>0</v>
      </c>
    </row>
    <row r="58" spans="1:38" x14ac:dyDescent="0.3">
      <c r="A58" t="s">
        <v>118</v>
      </c>
      <c r="B58">
        <v>22</v>
      </c>
      <c r="C58" t="s">
        <v>38</v>
      </c>
      <c r="D58" t="s">
        <v>48</v>
      </c>
      <c r="E58">
        <f t="shared" si="0"/>
        <v>0</v>
      </c>
      <c r="F58" t="s">
        <v>40</v>
      </c>
      <c r="G58">
        <v>581</v>
      </c>
      <c r="H58" t="s">
        <v>41</v>
      </c>
      <c r="I58">
        <v>1</v>
      </c>
      <c r="J58">
        <v>2</v>
      </c>
      <c r="K58" t="s">
        <v>42</v>
      </c>
      <c r="L58">
        <v>1</v>
      </c>
      <c r="M58">
        <v>2007</v>
      </c>
      <c r="N58">
        <v>4</v>
      </c>
      <c r="O58" t="s">
        <v>43</v>
      </c>
      <c r="P58">
        <v>63</v>
      </c>
      <c r="Q58">
        <v>3</v>
      </c>
      <c r="R58">
        <v>1</v>
      </c>
      <c r="S58" t="s">
        <v>59</v>
      </c>
      <c r="T58">
        <v>3</v>
      </c>
      <c r="U58" t="s">
        <v>45</v>
      </c>
      <c r="V58">
        <v>3375</v>
      </c>
      <c r="W58" t="s">
        <v>46</v>
      </c>
      <c r="X58">
        <v>17624</v>
      </c>
      <c r="Y58">
        <v>0</v>
      </c>
      <c r="Z58" t="s">
        <v>47</v>
      </c>
      <c r="AA58" t="s">
        <v>48</v>
      </c>
      <c r="AB58">
        <v>12</v>
      </c>
      <c r="AC58">
        <v>3</v>
      </c>
      <c r="AD58">
        <v>4</v>
      </c>
      <c r="AE58">
        <v>80</v>
      </c>
      <c r="AF58">
        <v>0</v>
      </c>
      <c r="AG58">
        <v>4</v>
      </c>
      <c r="AH58">
        <v>2</v>
      </c>
      <c r="AI58">
        <v>4</v>
      </c>
      <c r="AJ58">
        <v>3</v>
      </c>
      <c r="AK58">
        <v>2</v>
      </c>
      <c r="AL58">
        <v>1</v>
      </c>
    </row>
    <row r="59" spans="1:38" x14ac:dyDescent="0.3">
      <c r="A59" t="s">
        <v>119</v>
      </c>
      <c r="B59">
        <v>23</v>
      </c>
      <c r="C59" t="s">
        <v>38</v>
      </c>
      <c r="D59" t="s">
        <v>48</v>
      </c>
      <c r="E59">
        <f t="shared" si="0"/>
        <v>0</v>
      </c>
      <c r="F59" t="s">
        <v>40</v>
      </c>
      <c r="G59">
        <v>541</v>
      </c>
      <c r="H59" t="s">
        <v>50</v>
      </c>
      <c r="I59">
        <v>2</v>
      </c>
      <c r="J59">
        <v>1</v>
      </c>
      <c r="K59" t="s">
        <v>67</v>
      </c>
      <c r="L59">
        <v>1</v>
      </c>
      <c r="M59">
        <v>113</v>
      </c>
      <c r="N59">
        <v>3</v>
      </c>
      <c r="O59" t="s">
        <v>43</v>
      </c>
      <c r="P59">
        <v>62</v>
      </c>
      <c r="Q59">
        <v>3</v>
      </c>
      <c r="R59">
        <v>1</v>
      </c>
      <c r="S59" t="s">
        <v>53</v>
      </c>
      <c r="T59">
        <v>1</v>
      </c>
      <c r="U59" t="s">
        <v>101</v>
      </c>
      <c r="V59">
        <v>2322</v>
      </c>
      <c r="W59" t="s">
        <v>46</v>
      </c>
      <c r="X59">
        <v>9518</v>
      </c>
      <c r="Y59">
        <v>3</v>
      </c>
      <c r="Z59" t="s">
        <v>47</v>
      </c>
      <c r="AA59" t="s">
        <v>48</v>
      </c>
      <c r="AB59">
        <v>13</v>
      </c>
      <c r="AC59">
        <v>3</v>
      </c>
      <c r="AD59">
        <v>3</v>
      </c>
      <c r="AE59">
        <v>80</v>
      </c>
      <c r="AF59">
        <v>1</v>
      </c>
      <c r="AG59">
        <v>3</v>
      </c>
      <c r="AH59">
        <v>3</v>
      </c>
      <c r="AI59">
        <v>3</v>
      </c>
      <c r="AJ59">
        <v>0</v>
      </c>
      <c r="AK59">
        <v>0</v>
      </c>
      <c r="AL59">
        <v>0</v>
      </c>
    </row>
    <row r="60" spans="1:38" x14ac:dyDescent="0.3">
      <c r="A60" t="s">
        <v>120</v>
      </c>
      <c r="B60">
        <v>23</v>
      </c>
      <c r="C60" t="s">
        <v>38</v>
      </c>
      <c r="D60" t="s">
        <v>48</v>
      </c>
      <c r="E60">
        <f t="shared" si="0"/>
        <v>0</v>
      </c>
      <c r="F60" t="s">
        <v>40</v>
      </c>
      <c r="G60">
        <v>1309</v>
      </c>
      <c r="H60" t="s">
        <v>41</v>
      </c>
      <c r="I60">
        <v>26</v>
      </c>
      <c r="J60">
        <v>1</v>
      </c>
      <c r="K60" t="s">
        <v>42</v>
      </c>
      <c r="L60">
        <v>1</v>
      </c>
      <c r="M60">
        <v>465</v>
      </c>
      <c r="N60">
        <v>3</v>
      </c>
      <c r="O60" t="s">
        <v>43</v>
      </c>
      <c r="P60">
        <v>83</v>
      </c>
      <c r="Q60">
        <v>3</v>
      </c>
      <c r="R60">
        <v>1</v>
      </c>
      <c r="S60" t="s">
        <v>59</v>
      </c>
      <c r="T60">
        <v>4</v>
      </c>
      <c r="U60" t="s">
        <v>101</v>
      </c>
      <c r="V60">
        <v>2904</v>
      </c>
      <c r="W60" t="s">
        <v>46</v>
      </c>
      <c r="X60">
        <v>16092</v>
      </c>
      <c r="Y60">
        <v>1</v>
      </c>
      <c r="Z60" t="s">
        <v>47</v>
      </c>
      <c r="AA60" t="s">
        <v>48</v>
      </c>
      <c r="AB60">
        <v>12</v>
      </c>
      <c r="AC60">
        <v>3</v>
      </c>
      <c r="AD60">
        <v>3</v>
      </c>
      <c r="AE60">
        <v>80</v>
      </c>
      <c r="AF60">
        <v>2</v>
      </c>
      <c r="AG60">
        <v>4</v>
      </c>
      <c r="AH60">
        <v>2</v>
      </c>
      <c r="AI60">
        <v>2</v>
      </c>
      <c r="AJ60">
        <v>4</v>
      </c>
      <c r="AK60">
        <v>2</v>
      </c>
      <c r="AL60">
        <v>0</v>
      </c>
    </row>
    <row r="61" spans="1:38" x14ac:dyDescent="0.3">
      <c r="A61" t="s">
        <v>121</v>
      </c>
      <c r="B61">
        <v>23</v>
      </c>
      <c r="C61" t="s">
        <v>38</v>
      </c>
      <c r="D61" t="s">
        <v>48</v>
      </c>
      <c r="E61">
        <f t="shared" si="0"/>
        <v>0</v>
      </c>
      <c r="F61" t="s">
        <v>40</v>
      </c>
      <c r="G61">
        <v>885</v>
      </c>
      <c r="H61" t="s">
        <v>41</v>
      </c>
      <c r="I61">
        <v>4</v>
      </c>
      <c r="J61">
        <v>3</v>
      </c>
      <c r="K61" t="s">
        <v>51</v>
      </c>
      <c r="L61">
        <v>1</v>
      </c>
      <c r="M61">
        <v>705</v>
      </c>
      <c r="N61">
        <v>1</v>
      </c>
      <c r="O61" t="s">
        <v>43</v>
      </c>
      <c r="P61">
        <v>58</v>
      </c>
      <c r="Q61">
        <v>4</v>
      </c>
      <c r="R61">
        <v>1</v>
      </c>
      <c r="S61" t="s">
        <v>59</v>
      </c>
      <c r="T61">
        <v>1</v>
      </c>
      <c r="U61" t="s">
        <v>104</v>
      </c>
      <c r="V61">
        <v>2819</v>
      </c>
      <c r="W61" t="s">
        <v>46</v>
      </c>
      <c r="X61">
        <v>8544</v>
      </c>
      <c r="Y61">
        <v>2</v>
      </c>
      <c r="Z61" t="s">
        <v>47</v>
      </c>
      <c r="AA61" t="s">
        <v>48</v>
      </c>
      <c r="AB61">
        <v>16</v>
      </c>
      <c r="AC61">
        <v>3</v>
      </c>
      <c r="AD61">
        <v>1</v>
      </c>
      <c r="AE61">
        <v>80</v>
      </c>
      <c r="AF61">
        <v>1</v>
      </c>
      <c r="AG61">
        <v>5</v>
      </c>
      <c r="AH61">
        <v>3</v>
      </c>
      <c r="AI61">
        <v>4</v>
      </c>
      <c r="AJ61">
        <v>3</v>
      </c>
      <c r="AK61">
        <v>2</v>
      </c>
      <c r="AL61">
        <v>0</v>
      </c>
    </row>
    <row r="62" spans="1:38" x14ac:dyDescent="0.3">
      <c r="A62" t="s">
        <v>122</v>
      </c>
      <c r="B62">
        <v>23</v>
      </c>
      <c r="C62" t="s">
        <v>38</v>
      </c>
      <c r="D62" t="s">
        <v>48</v>
      </c>
      <c r="E62">
        <f t="shared" si="0"/>
        <v>0</v>
      </c>
      <c r="F62" t="s">
        <v>40</v>
      </c>
      <c r="G62">
        <v>650</v>
      </c>
      <c r="H62" t="s">
        <v>41</v>
      </c>
      <c r="I62">
        <v>9</v>
      </c>
      <c r="J62">
        <v>1</v>
      </c>
      <c r="K62" t="s">
        <v>51</v>
      </c>
      <c r="L62">
        <v>1</v>
      </c>
      <c r="M62">
        <v>758</v>
      </c>
      <c r="N62">
        <v>2</v>
      </c>
      <c r="O62" t="s">
        <v>43</v>
      </c>
      <c r="P62">
        <v>37</v>
      </c>
      <c r="Q62">
        <v>3</v>
      </c>
      <c r="R62">
        <v>1</v>
      </c>
      <c r="S62" t="s">
        <v>44</v>
      </c>
      <c r="T62">
        <v>1</v>
      </c>
      <c r="U62" t="s">
        <v>104</v>
      </c>
      <c r="V62">
        <v>2500</v>
      </c>
      <c r="W62" t="s">
        <v>46</v>
      </c>
      <c r="X62">
        <v>4344</v>
      </c>
      <c r="Y62">
        <v>1</v>
      </c>
      <c r="Z62" t="s">
        <v>47</v>
      </c>
      <c r="AA62" t="s">
        <v>48</v>
      </c>
      <c r="AB62">
        <v>14</v>
      </c>
      <c r="AC62">
        <v>3</v>
      </c>
      <c r="AD62">
        <v>4</v>
      </c>
      <c r="AE62">
        <v>80</v>
      </c>
      <c r="AF62">
        <v>1</v>
      </c>
      <c r="AG62">
        <v>5</v>
      </c>
      <c r="AH62">
        <v>2</v>
      </c>
      <c r="AI62">
        <v>4</v>
      </c>
      <c r="AJ62">
        <v>4</v>
      </c>
      <c r="AK62">
        <v>3</v>
      </c>
      <c r="AL62">
        <v>0</v>
      </c>
    </row>
    <row r="63" spans="1:38" x14ac:dyDescent="0.3">
      <c r="A63" t="s">
        <v>123</v>
      </c>
      <c r="B63">
        <v>23</v>
      </c>
      <c r="C63" t="s">
        <v>38</v>
      </c>
      <c r="D63" t="s">
        <v>48</v>
      </c>
      <c r="E63">
        <f t="shared" si="0"/>
        <v>0</v>
      </c>
      <c r="F63" t="s">
        <v>40</v>
      </c>
      <c r="G63">
        <v>310</v>
      </c>
      <c r="H63" t="s">
        <v>41</v>
      </c>
      <c r="I63">
        <v>10</v>
      </c>
      <c r="J63">
        <v>1</v>
      </c>
      <c r="K63" t="s">
        <v>51</v>
      </c>
      <c r="L63">
        <v>1</v>
      </c>
      <c r="M63">
        <v>784</v>
      </c>
      <c r="N63">
        <v>1</v>
      </c>
      <c r="O63" t="s">
        <v>43</v>
      </c>
      <c r="P63">
        <v>79</v>
      </c>
      <c r="Q63">
        <v>4</v>
      </c>
      <c r="R63">
        <v>1</v>
      </c>
      <c r="S63" t="s">
        <v>59</v>
      </c>
      <c r="T63">
        <v>3</v>
      </c>
      <c r="U63" t="s">
        <v>45</v>
      </c>
      <c r="V63">
        <v>3505</v>
      </c>
      <c r="W63" t="s">
        <v>46</v>
      </c>
      <c r="X63">
        <v>19630</v>
      </c>
      <c r="Y63">
        <v>1</v>
      </c>
      <c r="Z63" t="s">
        <v>47</v>
      </c>
      <c r="AA63" t="s">
        <v>48</v>
      </c>
      <c r="AB63">
        <v>18</v>
      </c>
      <c r="AC63">
        <v>3</v>
      </c>
      <c r="AD63">
        <v>4</v>
      </c>
      <c r="AE63">
        <v>80</v>
      </c>
      <c r="AF63">
        <v>0</v>
      </c>
      <c r="AG63">
        <v>2</v>
      </c>
      <c r="AH63">
        <v>3</v>
      </c>
      <c r="AI63">
        <v>3</v>
      </c>
      <c r="AJ63">
        <v>2</v>
      </c>
      <c r="AK63">
        <v>2</v>
      </c>
      <c r="AL63">
        <v>0</v>
      </c>
    </row>
    <row r="64" spans="1:38" x14ac:dyDescent="0.3">
      <c r="A64" t="s">
        <v>124</v>
      </c>
      <c r="B64">
        <v>23</v>
      </c>
      <c r="C64" t="s">
        <v>38</v>
      </c>
      <c r="D64" t="s">
        <v>39</v>
      </c>
      <c r="E64">
        <f t="shared" si="0"/>
        <v>1</v>
      </c>
      <c r="F64" t="s">
        <v>40</v>
      </c>
      <c r="G64">
        <v>1243</v>
      </c>
      <c r="H64" t="s">
        <v>41</v>
      </c>
      <c r="I64">
        <v>6</v>
      </c>
      <c r="J64">
        <v>3</v>
      </c>
      <c r="K64" t="s">
        <v>42</v>
      </c>
      <c r="L64">
        <v>1</v>
      </c>
      <c r="M64">
        <v>811</v>
      </c>
      <c r="N64">
        <v>3</v>
      </c>
      <c r="O64" t="s">
        <v>43</v>
      </c>
      <c r="P64">
        <v>63</v>
      </c>
      <c r="Q64">
        <v>4</v>
      </c>
      <c r="R64">
        <v>1</v>
      </c>
      <c r="S64" t="s">
        <v>44</v>
      </c>
      <c r="T64">
        <v>1</v>
      </c>
      <c r="U64" t="s">
        <v>104</v>
      </c>
      <c r="V64">
        <v>1601</v>
      </c>
      <c r="W64" t="s">
        <v>46</v>
      </c>
      <c r="X64">
        <v>3445</v>
      </c>
      <c r="Y64">
        <v>1</v>
      </c>
      <c r="Z64" t="s">
        <v>47</v>
      </c>
      <c r="AA64" t="s">
        <v>39</v>
      </c>
      <c r="AB64">
        <v>21</v>
      </c>
      <c r="AC64">
        <v>4</v>
      </c>
      <c r="AD64">
        <v>3</v>
      </c>
      <c r="AE64">
        <v>80</v>
      </c>
      <c r="AF64">
        <v>2</v>
      </c>
      <c r="AG64">
        <v>1</v>
      </c>
      <c r="AH64">
        <v>2</v>
      </c>
      <c r="AI64">
        <v>3</v>
      </c>
      <c r="AJ64">
        <v>0</v>
      </c>
      <c r="AK64">
        <v>0</v>
      </c>
      <c r="AL64">
        <v>0</v>
      </c>
    </row>
    <row r="65" spans="1:38" x14ac:dyDescent="0.3">
      <c r="A65" t="s">
        <v>125</v>
      </c>
      <c r="B65">
        <v>23</v>
      </c>
      <c r="C65" t="s">
        <v>38</v>
      </c>
      <c r="D65" t="s">
        <v>48</v>
      </c>
      <c r="E65">
        <f t="shared" si="0"/>
        <v>0</v>
      </c>
      <c r="F65" t="s">
        <v>40</v>
      </c>
      <c r="G65">
        <v>373</v>
      </c>
      <c r="H65" t="s">
        <v>41</v>
      </c>
      <c r="I65">
        <v>1</v>
      </c>
      <c r="J65">
        <v>2</v>
      </c>
      <c r="K65" t="s">
        <v>42</v>
      </c>
      <c r="L65">
        <v>1</v>
      </c>
      <c r="M65">
        <v>1270</v>
      </c>
      <c r="N65">
        <v>4</v>
      </c>
      <c r="O65" t="s">
        <v>43</v>
      </c>
      <c r="P65">
        <v>47</v>
      </c>
      <c r="Q65">
        <v>3</v>
      </c>
      <c r="R65">
        <v>1</v>
      </c>
      <c r="S65" t="s">
        <v>59</v>
      </c>
      <c r="T65">
        <v>3</v>
      </c>
      <c r="U65" t="s">
        <v>104</v>
      </c>
      <c r="V65">
        <v>1223</v>
      </c>
      <c r="W65" t="s">
        <v>46</v>
      </c>
      <c r="X65">
        <v>16901</v>
      </c>
      <c r="Y65">
        <v>1</v>
      </c>
      <c r="Z65" t="s">
        <v>47</v>
      </c>
      <c r="AA65" t="s">
        <v>48</v>
      </c>
      <c r="AB65">
        <v>22</v>
      </c>
      <c r="AC65">
        <v>4</v>
      </c>
      <c r="AD65">
        <v>4</v>
      </c>
      <c r="AE65">
        <v>80</v>
      </c>
      <c r="AF65">
        <v>1</v>
      </c>
      <c r="AG65">
        <v>1</v>
      </c>
      <c r="AH65">
        <v>2</v>
      </c>
      <c r="AI65">
        <v>3</v>
      </c>
      <c r="AJ65">
        <v>1</v>
      </c>
      <c r="AK65">
        <v>0</v>
      </c>
      <c r="AL65">
        <v>0</v>
      </c>
    </row>
    <row r="66" spans="1:38" x14ac:dyDescent="0.3">
      <c r="A66" t="s">
        <v>126</v>
      </c>
      <c r="B66">
        <v>23</v>
      </c>
      <c r="C66" t="s">
        <v>38</v>
      </c>
      <c r="D66" t="s">
        <v>48</v>
      </c>
      <c r="E66">
        <f t="shared" si="0"/>
        <v>0</v>
      </c>
      <c r="F66" t="s">
        <v>40</v>
      </c>
      <c r="G66">
        <v>507</v>
      </c>
      <c r="H66" t="s">
        <v>41</v>
      </c>
      <c r="I66">
        <v>20</v>
      </c>
      <c r="J66">
        <v>1</v>
      </c>
      <c r="K66" t="s">
        <v>42</v>
      </c>
      <c r="L66">
        <v>1</v>
      </c>
      <c r="M66">
        <v>1533</v>
      </c>
      <c r="N66">
        <v>1</v>
      </c>
      <c r="O66" t="s">
        <v>43</v>
      </c>
      <c r="P66">
        <v>97</v>
      </c>
      <c r="Q66">
        <v>3</v>
      </c>
      <c r="R66">
        <v>2</v>
      </c>
      <c r="S66" t="s">
        <v>44</v>
      </c>
      <c r="T66">
        <v>3</v>
      </c>
      <c r="U66" t="s">
        <v>45</v>
      </c>
      <c r="V66">
        <v>2272</v>
      </c>
      <c r="W66" t="s">
        <v>46</v>
      </c>
      <c r="X66">
        <v>24812</v>
      </c>
      <c r="Y66">
        <v>0</v>
      </c>
      <c r="Z66" t="s">
        <v>47</v>
      </c>
      <c r="AA66" t="s">
        <v>48</v>
      </c>
      <c r="AB66">
        <v>14</v>
      </c>
      <c r="AC66">
        <v>3</v>
      </c>
      <c r="AD66">
        <v>2</v>
      </c>
      <c r="AE66">
        <v>80</v>
      </c>
      <c r="AF66">
        <v>0</v>
      </c>
      <c r="AG66">
        <v>5</v>
      </c>
      <c r="AH66">
        <v>2</v>
      </c>
      <c r="AI66">
        <v>3</v>
      </c>
      <c r="AJ66">
        <v>4</v>
      </c>
      <c r="AK66">
        <v>3</v>
      </c>
      <c r="AL66">
        <v>1</v>
      </c>
    </row>
    <row r="67" spans="1:38" x14ac:dyDescent="0.3">
      <c r="A67" t="s">
        <v>127</v>
      </c>
      <c r="B67">
        <v>23</v>
      </c>
      <c r="C67" t="s">
        <v>38</v>
      </c>
      <c r="D67" t="s">
        <v>48</v>
      </c>
      <c r="E67">
        <f t="shared" ref="E67:E130" si="1">IF(D67="Yes",1,0)</f>
        <v>0</v>
      </c>
      <c r="F67" t="s">
        <v>40</v>
      </c>
      <c r="G67">
        <v>977</v>
      </c>
      <c r="H67" t="s">
        <v>41</v>
      </c>
      <c r="I67">
        <v>10</v>
      </c>
      <c r="J67">
        <v>3</v>
      </c>
      <c r="K67" t="s">
        <v>67</v>
      </c>
      <c r="L67">
        <v>1</v>
      </c>
      <c r="M67">
        <v>1592</v>
      </c>
      <c r="N67">
        <v>4</v>
      </c>
      <c r="O67" t="s">
        <v>43</v>
      </c>
      <c r="P67">
        <v>45</v>
      </c>
      <c r="Q67">
        <v>4</v>
      </c>
      <c r="R67">
        <v>1</v>
      </c>
      <c r="S67" t="s">
        <v>59</v>
      </c>
      <c r="T67">
        <v>3</v>
      </c>
      <c r="U67" t="s">
        <v>104</v>
      </c>
      <c r="V67">
        <v>2073</v>
      </c>
      <c r="W67" t="s">
        <v>46</v>
      </c>
      <c r="X67">
        <v>12826</v>
      </c>
      <c r="Y67">
        <v>2</v>
      </c>
      <c r="Z67" t="s">
        <v>47</v>
      </c>
      <c r="AA67" t="s">
        <v>48</v>
      </c>
      <c r="AB67">
        <v>16</v>
      </c>
      <c r="AC67">
        <v>3</v>
      </c>
      <c r="AD67">
        <v>4</v>
      </c>
      <c r="AE67">
        <v>80</v>
      </c>
      <c r="AF67">
        <v>1</v>
      </c>
      <c r="AG67">
        <v>4</v>
      </c>
      <c r="AH67">
        <v>2</v>
      </c>
      <c r="AI67">
        <v>3</v>
      </c>
      <c r="AJ67">
        <v>2</v>
      </c>
      <c r="AK67">
        <v>2</v>
      </c>
      <c r="AL67">
        <v>2</v>
      </c>
    </row>
    <row r="68" spans="1:38" x14ac:dyDescent="0.3">
      <c r="A68" t="s">
        <v>128</v>
      </c>
      <c r="B68">
        <v>23</v>
      </c>
      <c r="C68" t="s">
        <v>38</v>
      </c>
      <c r="D68" t="s">
        <v>39</v>
      </c>
      <c r="E68">
        <f t="shared" si="1"/>
        <v>1</v>
      </c>
      <c r="F68" t="s">
        <v>40</v>
      </c>
      <c r="G68">
        <v>1320</v>
      </c>
      <c r="H68" t="s">
        <v>41</v>
      </c>
      <c r="I68">
        <v>8</v>
      </c>
      <c r="J68">
        <v>1</v>
      </c>
      <c r="K68" t="s">
        <v>51</v>
      </c>
      <c r="L68">
        <v>1</v>
      </c>
      <c r="M68">
        <v>1684</v>
      </c>
      <c r="N68">
        <v>4</v>
      </c>
      <c r="O68" t="s">
        <v>43</v>
      </c>
      <c r="P68">
        <v>93</v>
      </c>
      <c r="Q68">
        <v>2</v>
      </c>
      <c r="R68">
        <v>1</v>
      </c>
      <c r="S68" t="s">
        <v>44</v>
      </c>
      <c r="T68">
        <v>3</v>
      </c>
      <c r="U68" t="s">
        <v>45</v>
      </c>
      <c r="V68">
        <v>3989</v>
      </c>
      <c r="W68" t="s">
        <v>46</v>
      </c>
      <c r="X68">
        <v>20586</v>
      </c>
      <c r="Y68">
        <v>1</v>
      </c>
      <c r="Z68" t="s">
        <v>47</v>
      </c>
      <c r="AA68" t="s">
        <v>39</v>
      </c>
      <c r="AB68">
        <v>11</v>
      </c>
      <c r="AC68">
        <v>3</v>
      </c>
      <c r="AD68">
        <v>1</v>
      </c>
      <c r="AE68">
        <v>80</v>
      </c>
      <c r="AF68">
        <v>0</v>
      </c>
      <c r="AG68">
        <v>5</v>
      </c>
      <c r="AH68">
        <v>2</v>
      </c>
      <c r="AI68">
        <v>3</v>
      </c>
      <c r="AJ68">
        <v>5</v>
      </c>
      <c r="AK68">
        <v>4</v>
      </c>
      <c r="AL68">
        <v>1</v>
      </c>
    </row>
    <row r="69" spans="1:38" x14ac:dyDescent="0.3">
      <c r="A69" t="s">
        <v>129</v>
      </c>
      <c r="B69">
        <v>23</v>
      </c>
      <c r="C69" t="s">
        <v>38</v>
      </c>
      <c r="D69" t="s">
        <v>39</v>
      </c>
      <c r="E69">
        <f t="shared" si="1"/>
        <v>1</v>
      </c>
      <c r="F69" t="s">
        <v>40</v>
      </c>
      <c r="G69">
        <v>427</v>
      </c>
      <c r="H69" t="s">
        <v>50</v>
      </c>
      <c r="I69">
        <v>7</v>
      </c>
      <c r="J69">
        <v>3</v>
      </c>
      <c r="K69" t="s">
        <v>42</v>
      </c>
      <c r="L69">
        <v>1</v>
      </c>
      <c r="M69">
        <v>1702</v>
      </c>
      <c r="N69">
        <v>3</v>
      </c>
      <c r="O69" t="s">
        <v>43</v>
      </c>
      <c r="P69">
        <v>99</v>
      </c>
      <c r="Q69">
        <v>3</v>
      </c>
      <c r="R69">
        <v>1</v>
      </c>
      <c r="S69" t="s">
        <v>53</v>
      </c>
      <c r="T69">
        <v>4</v>
      </c>
      <c r="U69" t="s">
        <v>101</v>
      </c>
      <c r="V69">
        <v>2275</v>
      </c>
      <c r="W69" t="s">
        <v>46</v>
      </c>
      <c r="X69">
        <v>25103</v>
      </c>
      <c r="Y69">
        <v>1</v>
      </c>
      <c r="Z69" t="s">
        <v>47</v>
      </c>
      <c r="AA69" t="s">
        <v>39</v>
      </c>
      <c r="AB69">
        <v>21</v>
      </c>
      <c r="AC69">
        <v>4</v>
      </c>
      <c r="AD69">
        <v>2</v>
      </c>
      <c r="AE69">
        <v>80</v>
      </c>
      <c r="AF69">
        <v>1</v>
      </c>
      <c r="AG69">
        <v>3</v>
      </c>
      <c r="AH69">
        <v>2</v>
      </c>
      <c r="AI69">
        <v>3</v>
      </c>
      <c r="AJ69">
        <v>3</v>
      </c>
      <c r="AK69">
        <v>2</v>
      </c>
      <c r="AL69">
        <v>0</v>
      </c>
    </row>
    <row r="70" spans="1:38" x14ac:dyDescent="0.3">
      <c r="A70" t="s">
        <v>130</v>
      </c>
      <c r="B70">
        <v>23</v>
      </c>
      <c r="C70" t="s">
        <v>38</v>
      </c>
      <c r="D70" t="s">
        <v>48</v>
      </c>
      <c r="E70">
        <f t="shared" si="1"/>
        <v>0</v>
      </c>
      <c r="F70" t="s">
        <v>40</v>
      </c>
      <c r="G70">
        <v>160</v>
      </c>
      <c r="H70" t="s">
        <v>41</v>
      </c>
      <c r="I70">
        <v>4</v>
      </c>
      <c r="J70">
        <v>1</v>
      </c>
      <c r="K70" t="s">
        <v>51</v>
      </c>
      <c r="L70">
        <v>1</v>
      </c>
      <c r="M70">
        <v>1735</v>
      </c>
      <c r="N70">
        <v>3</v>
      </c>
      <c r="O70" t="s">
        <v>52</v>
      </c>
      <c r="P70">
        <v>51</v>
      </c>
      <c r="Q70">
        <v>3</v>
      </c>
      <c r="R70">
        <v>1</v>
      </c>
      <c r="S70" t="s">
        <v>44</v>
      </c>
      <c r="T70">
        <v>2</v>
      </c>
      <c r="U70" t="s">
        <v>45</v>
      </c>
      <c r="V70">
        <v>3295</v>
      </c>
      <c r="W70" t="s">
        <v>46</v>
      </c>
      <c r="X70">
        <v>12862</v>
      </c>
      <c r="Y70">
        <v>1</v>
      </c>
      <c r="Z70" t="s">
        <v>47</v>
      </c>
      <c r="AA70" t="s">
        <v>48</v>
      </c>
      <c r="AB70">
        <v>13</v>
      </c>
      <c r="AC70">
        <v>3</v>
      </c>
      <c r="AD70">
        <v>3</v>
      </c>
      <c r="AE70">
        <v>80</v>
      </c>
      <c r="AF70">
        <v>0</v>
      </c>
      <c r="AG70">
        <v>3</v>
      </c>
      <c r="AH70">
        <v>3</v>
      </c>
      <c r="AI70">
        <v>1</v>
      </c>
      <c r="AJ70">
        <v>3</v>
      </c>
      <c r="AK70">
        <v>2</v>
      </c>
      <c r="AL70">
        <v>1</v>
      </c>
    </row>
    <row r="71" spans="1:38" x14ac:dyDescent="0.3">
      <c r="A71" t="s">
        <v>131</v>
      </c>
      <c r="B71">
        <v>23</v>
      </c>
      <c r="C71" t="s">
        <v>38</v>
      </c>
      <c r="D71" t="s">
        <v>48</v>
      </c>
      <c r="E71">
        <f t="shared" si="1"/>
        <v>0</v>
      </c>
      <c r="F71" t="s">
        <v>40</v>
      </c>
      <c r="G71">
        <v>571</v>
      </c>
      <c r="H71" t="s">
        <v>41</v>
      </c>
      <c r="I71">
        <v>12</v>
      </c>
      <c r="J71">
        <v>2</v>
      </c>
      <c r="K71" t="s">
        <v>72</v>
      </c>
      <c r="L71">
        <v>1</v>
      </c>
      <c r="M71">
        <v>1982</v>
      </c>
      <c r="N71">
        <v>4</v>
      </c>
      <c r="O71" t="s">
        <v>43</v>
      </c>
      <c r="P71">
        <v>78</v>
      </c>
      <c r="Q71">
        <v>3</v>
      </c>
      <c r="R71">
        <v>1</v>
      </c>
      <c r="S71" t="s">
        <v>44</v>
      </c>
      <c r="T71">
        <v>4</v>
      </c>
      <c r="U71" t="s">
        <v>45</v>
      </c>
      <c r="V71">
        <v>2647</v>
      </c>
      <c r="W71" t="s">
        <v>46</v>
      </c>
      <c r="X71">
        <v>13672</v>
      </c>
      <c r="Y71">
        <v>1</v>
      </c>
      <c r="Z71" t="s">
        <v>47</v>
      </c>
      <c r="AA71" t="s">
        <v>48</v>
      </c>
      <c r="AB71">
        <v>13</v>
      </c>
      <c r="AC71">
        <v>3</v>
      </c>
      <c r="AD71">
        <v>3</v>
      </c>
      <c r="AE71">
        <v>80</v>
      </c>
      <c r="AF71">
        <v>0</v>
      </c>
      <c r="AG71">
        <v>5</v>
      </c>
      <c r="AH71">
        <v>6</v>
      </c>
      <c r="AI71">
        <v>4</v>
      </c>
      <c r="AJ71">
        <v>5</v>
      </c>
      <c r="AK71">
        <v>2</v>
      </c>
      <c r="AL71">
        <v>1</v>
      </c>
    </row>
    <row r="72" spans="1:38" x14ac:dyDescent="0.3">
      <c r="A72" t="s">
        <v>132</v>
      </c>
      <c r="B72">
        <v>23</v>
      </c>
      <c r="C72" t="s">
        <v>38</v>
      </c>
      <c r="D72" t="s">
        <v>39</v>
      </c>
      <c r="E72">
        <f t="shared" si="1"/>
        <v>1</v>
      </c>
      <c r="F72" t="s">
        <v>55</v>
      </c>
      <c r="G72">
        <v>638</v>
      </c>
      <c r="H72" t="s">
        <v>50</v>
      </c>
      <c r="I72">
        <v>9</v>
      </c>
      <c r="J72">
        <v>3</v>
      </c>
      <c r="K72" t="s">
        <v>56</v>
      </c>
      <c r="L72">
        <v>1</v>
      </c>
      <c r="M72">
        <v>2023</v>
      </c>
      <c r="N72">
        <v>4</v>
      </c>
      <c r="O72" t="s">
        <v>43</v>
      </c>
      <c r="P72">
        <v>33</v>
      </c>
      <c r="Q72">
        <v>3</v>
      </c>
      <c r="R72">
        <v>1</v>
      </c>
      <c r="S72" t="s">
        <v>53</v>
      </c>
      <c r="T72">
        <v>1</v>
      </c>
      <c r="U72" t="s">
        <v>104</v>
      </c>
      <c r="V72">
        <v>1790</v>
      </c>
      <c r="W72" t="s">
        <v>46</v>
      </c>
      <c r="X72">
        <v>26956</v>
      </c>
      <c r="Y72">
        <v>1</v>
      </c>
      <c r="Z72" t="s">
        <v>47</v>
      </c>
      <c r="AA72" t="s">
        <v>48</v>
      </c>
      <c r="AB72">
        <v>19</v>
      </c>
      <c r="AC72">
        <v>3</v>
      </c>
      <c r="AD72">
        <v>1</v>
      </c>
      <c r="AE72">
        <v>80</v>
      </c>
      <c r="AF72">
        <v>1</v>
      </c>
      <c r="AG72">
        <v>1</v>
      </c>
      <c r="AH72">
        <v>3</v>
      </c>
      <c r="AI72">
        <v>2</v>
      </c>
      <c r="AJ72">
        <v>1</v>
      </c>
      <c r="AK72">
        <v>0</v>
      </c>
      <c r="AL72">
        <v>1</v>
      </c>
    </row>
    <row r="73" spans="1:38" x14ac:dyDescent="0.3">
      <c r="A73" t="s">
        <v>133</v>
      </c>
      <c r="B73">
        <v>24</v>
      </c>
      <c r="C73" t="s">
        <v>38</v>
      </c>
      <c r="D73" t="s">
        <v>48</v>
      </c>
      <c r="E73">
        <f t="shared" si="1"/>
        <v>0</v>
      </c>
      <c r="F73" t="s">
        <v>58</v>
      </c>
      <c r="G73">
        <v>673</v>
      </c>
      <c r="H73" t="s">
        <v>41</v>
      </c>
      <c r="I73">
        <v>11</v>
      </c>
      <c r="J73">
        <v>2</v>
      </c>
      <c r="K73" t="s">
        <v>72</v>
      </c>
      <c r="L73">
        <v>1</v>
      </c>
      <c r="M73">
        <v>26</v>
      </c>
      <c r="N73">
        <v>1</v>
      </c>
      <c r="O73" t="s">
        <v>52</v>
      </c>
      <c r="P73">
        <v>96</v>
      </c>
      <c r="Q73">
        <v>4</v>
      </c>
      <c r="R73">
        <v>2</v>
      </c>
      <c r="S73" t="s">
        <v>111</v>
      </c>
      <c r="T73">
        <v>3</v>
      </c>
      <c r="U73" t="s">
        <v>101</v>
      </c>
      <c r="V73">
        <v>4011</v>
      </c>
      <c r="W73" t="s">
        <v>46</v>
      </c>
      <c r="X73">
        <v>8232</v>
      </c>
      <c r="Y73">
        <v>0</v>
      </c>
      <c r="Z73" t="s">
        <v>47</v>
      </c>
      <c r="AA73" t="s">
        <v>48</v>
      </c>
      <c r="AB73">
        <v>18</v>
      </c>
      <c r="AC73">
        <v>3</v>
      </c>
      <c r="AD73">
        <v>4</v>
      </c>
      <c r="AE73">
        <v>80</v>
      </c>
      <c r="AF73">
        <v>1</v>
      </c>
      <c r="AG73">
        <v>5</v>
      </c>
      <c r="AH73">
        <v>5</v>
      </c>
      <c r="AI73">
        <v>2</v>
      </c>
      <c r="AJ73">
        <v>4</v>
      </c>
      <c r="AK73">
        <v>2</v>
      </c>
      <c r="AL73">
        <v>1</v>
      </c>
    </row>
    <row r="74" spans="1:38" x14ac:dyDescent="0.3">
      <c r="A74" t="s">
        <v>134</v>
      </c>
      <c r="B74">
        <v>24</v>
      </c>
      <c r="C74" t="s">
        <v>38</v>
      </c>
      <c r="D74" t="s">
        <v>39</v>
      </c>
      <c r="E74">
        <f t="shared" si="1"/>
        <v>1</v>
      </c>
      <c r="F74" t="s">
        <v>40</v>
      </c>
      <c r="G74">
        <v>813</v>
      </c>
      <c r="H74" t="s">
        <v>41</v>
      </c>
      <c r="I74">
        <v>1</v>
      </c>
      <c r="J74">
        <v>3</v>
      </c>
      <c r="K74" t="s">
        <v>51</v>
      </c>
      <c r="L74">
        <v>1</v>
      </c>
      <c r="M74">
        <v>45</v>
      </c>
      <c r="N74">
        <v>2</v>
      </c>
      <c r="O74" t="s">
        <v>43</v>
      </c>
      <c r="P74">
        <v>61</v>
      </c>
      <c r="Q74">
        <v>3</v>
      </c>
      <c r="R74">
        <v>1</v>
      </c>
      <c r="S74" t="s">
        <v>59</v>
      </c>
      <c r="T74">
        <v>4</v>
      </c>
      <c r="U74" t="s">
        <v>104</v>
      </c>
      <c r="V74">
        <v>2293</v>
      </c>
      <c r="W74" t="s">
        <v>46</v>
      </c>
      <c r="X74">
        <v>3020</v>
      </c>
      <c r="Y74">
        <v>2</v>
      </c>
      <c r="Z74" t="s">
        <v>47</v>
      </c>
      <c r="AA74" t="s">
        <v>39</v>
      </c>
      <c r="AB74">
        <v>16</v>
      </c>
      <c r="AC74">
        <v>3</v>
      </c>
      <c r="AD74">
        <v>1</v>
      </c>
      <c r="AE74">
        <v>80</v>
      </c>
      <c r="AF74">
        <v>1</v>
      </c>
      <c r="AG74">
        <v>6</v>
      </c>
      <c r="AH74">
        <v>2</v>
      </c>
      <c r="AI74">
        <v>2</v>
      </c>
      <c r="AJ74">
        <v>2</v>
      </c>
      <c r="AK74">
        <v>0</v>
      </c>
      <c r="AL74">
        <v>2</v>
      </c>
    </row>
    <row r="75" spans="1:38" x14ac:dyDescent="0.3">
      <c r="A75" t="s">
        <v>135</v>
      </c>
      <c r="B75">
        <v>24</v>
      </c>
      <c r="C75" t="s">
        <v>38</v>
      </c>
      <c r="D75" t="s">
        <v>48</v>
      </c>
      <c r="E75">
        <f t="shared" si="1"/>
        <v>0</v>
      </c>
      <c r="F75" t="s">
        <v>40</v>
      </c>
      <c r="G75">
        <v>1353</v>
      </c>
      <c r="H75" t="s">
        <v>50</v>
      </c>
      <c r="I75">
        <v>3</v>
      </c>
      <c r="J75">
        <v>2</v>
      </c>
      <c r="K75" t="s">
        <v>72</v>
      </c>
      <c r="L75">
        <v>1</v>
      </c>
      <c r="M75">
        <v>128</v>
      </c>
      <c r="N75">
        <v>1</v>
      </c>
      <c r="O75" t="s">
        <v>52</v>
      </c>
      <c r="P75">
        <v>33</v>
      </c>
      <c r="Q75">
        <v>3</v>
      </c>
      <c r="R75">
        <v>2</v>
      </c>
      <c r="S75" t="s">
        <v>136</v>
      </c>
      <c r="T75">
        <v>3</v>
      </c>
      <c r="U75" t="s">
        <v>104</v>
      </c>
      <c r="V75">
        <v>4999</v>
      </c>
      <c r="W75" t="s">
        <v>46</v>
      </c>
      <c r="X75">
        <v>17519</v>
      </c>
      <c r="Y75">
        <v>0</v>
      </c>
      <c r="Z75" t="s">
        <v>47</v>
      </c>
      <c r="AA75" t="s">
        <v>48</v>
      </c>
      <c r="AB75">
        <v>21</v>
      </c>
      <c r="AC75">
        <v>4</v>
      </c>
      <c r="AD75">
        <v>1</v>
      </c>
      <c r="AE75">
        <v>80</v>
      </c>
      <c r="AF75">
        <v>1</v>
      </c>
      <c r="AG75">
        <v>4</v>
      </c>
      <c r="AH75">
        <v>2</v>
      </c>
      <c r="AI75">
        <v>2</v>
      </c>
      <c r="AJ75">
        <v>3</v>
      </c>
      <c r="AK75">
        <v>2</v>
      </c>
      <c r="AL75">
        <v>0</v>
      </c>
    </row>
    <row r="76" spans="1:38" x14ac:dyDescent="0.3">
      <c r="A76" t="s">
        <v>137</v>
      </c>
      <c r="B76">
        <v>24</v>
      </c>
      <c r="C76" t="s">
        <v>38</v>
      </c>
      <c r="D76" t="s">
        <v>48</v>
      </c>
      <c r="E76">
        <f t="shared" si="1"/>
        <v>0</v>
      </c>
      <c r="F76" t="s">
        <v>40</v>
      </c>
      <c r="G76">
        <v>1127</v>
      </c>
      <c r="H76" t="s">
        <v>41</v>
      </c>
      <c r="I76">
        <v>18</v>
      </c>
      <c r="J76">
        <v>1</v>
      </c>
      <c r="K76" t="s">
        <v>42</v>
      </c>
      <c r="L76">
        <v>1</v>
      </c>
      <c r="M76">
        <v>150</v>
      </c>
      <c r="N76">
        <v>2</v>
      </c>
      <c r="O76" t="s">
        <v>43</v>
      </c>
      <c r="P76">
        <v>52</v>
      </c>
      <c r="Q76">
        <v>3</v>
      </c>
      <c r="R76">
        <v>1</v>
      </c>
      <c r="S76" t="s">
        <v>44</v>
      </c>
      <c r="T76">
        <v>3</v>
      </c>
      <c r="U76" t="s">
        <v>104</v>
      </c>
      <c r="V76">
        <v>2774</v>
      </c>
      <c r="W76" t="s">
        <v>46</v>
      </c>
      <c r="X76">
        <v>13257</v>
      </c>
      <c r="Y76">
        <v>0</v>
      </c>
      <c r="Z76" t="s">
        <v>47</v>
      </c>
      <c r="AA76" t="s">
        <v>48</v>
      </c>
      <c r="AB76">
        <v>12</v>
      </c>
      <c r="AC76">
        <v>3</v>
      </c>
      <c r="AD76">
        <v>3</v>
      </c>
      <c r="AE76">
        <v>80</v>
      </c>
      <c r="AF76">
        <v>1</v>
      </c>
      <c r="AG76">
        <v>6</v>
      </c>
      <c r="AH76">
        <v>2</v>
      </c>
      <c r="AI76">
        <v>3</v>
      </c>
      <c r="AJ76">
        <v>5</v>
      </c>
      <c r="AK76">
        <v>3</v>
      </c>
      <c r="AL76">
        <v>1</v>
      </c>
    </row>
    <row r="77" spans="1:38" x14ac:dyDescent="0.3">
      <c r="A77" t="s">
        <v>138</v>
      </c>
      <c r="B77">
        <v>24</v>
      </c>
      <c r="C77" t="s">
        <v>38</v>
      </c>
      <c r="D77" t="s">
        <v>48</v>
      </c>
      <c r="E77">
        <f t="shared" si="1"/>
        <v>0</v>
      </c>
      <c r="F77" t="s">
        <v>40</v>
      </c>
      <c r="G77">
        <v>1371</v>
      </c>
      <c r="H77" t="s">
        <v>50</v>
      </c>
      <c r="I77">
        <v>10</v>
      </c>
      <c r="J77">
        <v>4</v>
      </c>
      <c r="K77" t="s">
        <v>56</v>
      </c>
      <c r="L77">
        <v>1</v>
      </c>
      <c r="M77">
        <v>507</v>
      </c>
      <c r="N77">
        <v>4</v>
      </c>
      <c r="O77" t="s">
        <v>52</v>
      </c>
      <c r="P77">
        <v>77</v>
      </c>
      <c r="Q77">
        <v>3</v>
      </c>
      <c r="R77">
        <v>2</v>
      </c>
      <c r="S77" t="s">
        <v>136</v>
      </c>
      <c r="T77">
        <v>3</v>
      </c>
      <c r="U77" t="s">
        <v>101</v>
      </c>
      <c r="V77">
        <v>4260</v>
      </c>
      <c r="W77" t="s">
        <v>46</v>
      </c>
      <c r="X77">
        <v>5915</v>
      </c>
      <c r="Y77">
        <v>1</v>
      </c>
      <c r="Z77" t="s">
        <v>47</v>
      </c>
      <c r="AA77" t="s">
        <v>39</v>
      </c>
      <c r="AB77">
        <v>12</v>
      </c>
      <c r="AC77">
        <v>3</v>
      </c>
      <c r="AD77">
        <v>4</v>
      </c>
      <c r="AE77">
        <v>80</v>
      </c>
      <c r="AF77">
        <v>1</v>
      </c>
      <c r="AG77">
        <v>5</v>
      </c>
      <c r="AH77">
        <v>2</v>
      </c>
      <c r="AI77">
        <v>4</v>
      </c>
      <c r="AJ77">
        <v>5</v>
      </c>
      <c r="AK77">
        <v>2</v>
      </c>
      <c r="AL77">
        <v>0</v>
      </c>
    </row>
    <row r="78" spans="1:38" x14ac:dyDescent="0.3">
      <c r="A78" t="s">
        <v>139</v>
      </c>
      <c r="B78">
        <v>24</v>
      </c>
      <c r="C78" t="s">
        <v>38</v>
      </c>
      <c r="D78" t="s">
        <v>39</v>
      </c>
      <c r="E78">
        <f t="shared" si="1"/>
        <v>1</v>
      </c>
      <c r="F78" t="s">
        <v>40</v>
      </c>
      <c r="G78">
        <v>1448</v>
      </c>
      <c r="H78" t="s">
        <v>50</v>
      </c>
      <c r="I78">
        <v>1</v>
      </c>
      <c r="J78">
        <v>1</v>
      </c>
      <c r="K78" t="s">
        <v>67</v>
      </c>
      <c r="L78">
        <v>1</v>
      </c>
      <c r="M78">
        <v>554</v>
      </c>
      <c r="N78">
        <v>1</v>
      </c>
      <c r="O78" t="s">
        <v>52</v>
      </c>
      <c r="P78">
        <v>62</v>
      </c>
      <c r="Q78">
        <v>3</v>
      </c>
      <c r="R78">
        <v>1</v>
      </c>
      <c r="S78" t="s">
        <v>53</v>
      </c>
      <c r="T78">
        <v>2</v>
      </c>
      <c r="U78" t="s">
        <v>45</v>
      </c>
      <c r="V78">
        <v>3202</v>
      </c>
      <c r="W78" t="s">
        <v>46</v>
      </c>
      <c r="X78">
        <v>21972</v>
      </c>
      <c r="Y78">
        <v>1</v>
      </c>
      <c r="Z78" t="s">
        <v>47</v>
      </c>
      <c r="AA78" t="s">
        <v>39</v>
      </c>
      <c r="AB78">
        <v>16</v>
      </c>
      <c r="AC78">
        <v>3</v>
      </c>
      <c r="AD78">
        <v>2</v>
      </c>
      <c r="AE78">
        <v>80</v>
      </c>
      <c r="AF78">
        <v>0</v>
      </c>
      <c r="AG78">
        <v>6</v>
      </c>
      <c r="AH78">
        <v>4</v>
      </c>
      <c r="AI78">
        <v>3</v>
      </c>
      <c r="AJ78">
        <v>5</v>
      </c>
      <c r="AK78">
        <v>3</v>
      </c>
      <c r="AL78">
        <v>1</v>
      </c>
    </row>
    <row r="79" spans="1:38" x14ac:dyDescent="0.3">
      <c r="A79" t="s">
        <v>140</v>
      </c>
      <c r="B79">
        <v>24</v>
      </c>
      <c r="C79" t="s">
        <v>38</v>
      </c>
      <c r="D79" t="s">
        <v>48</v>
      </c>
      <c r="E79">
        <f t="shared" si="1"/>
        <v>0</v>
      </c>
      <c r="F79" t="s">
        <v>55</v>
      </c>
      <c r="G79">
        <v>535</v>
      </c>
      <c r="H79" t="s">
        <v>50</v>
      </c>
      <c r="I79">
        <v>24</v>
      </c>
      <c r="J79">
        <v>3</v>
      </c>
      <c r="K79" t="s">
        <v>51</v>
      </c>
      <c r="L79">
        <v>1</v>
      </c>
      <c r="M79">
        <v>632</v>
      </c>
      <c r="N79">
        <v>4</v>
      </c>
      <c r="O79" t="s">
        <v>43</v>
      </c>
      <c r="P79">
        <v>38</v>
      </c>
      <c r="Q79">
        <v>3</v>
      </c>
      <c r="R79">
        <v>1</v>
      </c>
      <c r="S79" t="s">
        <v>53</v>
      </c>
      <c r="T79">
        <v>4</v>
      </c>
      <c r="U79" t="s">
        <v>104</v>
      </c>
      <c r="V79">
        <v>2400</v>
      </c>
      <c r="W79" t="s">
        <v>46</v>
      </c>
      <c r="X79">
        <v>5530</v>
      </c>
      <c r="Y79">
        <v>0</v>
      </c>
      <c r="Z79" t="s">
        <v>47</v>
      </c>
      <c r="AA79" t="s">
        <v>48</v>
      </c>
      <c r="AB79">
        <v>13</v>
      </c>
      <c r="AC79">
        <v>3</v>
      </c>
      <c r="AD79">
        <v>3</v>
      </c>
      <c r="AE79">
        <v>80</v>
      </c>
      <c r="AF79">
        <v>2</v>
      </c>
      <c r="AG79">
        <v>3</v>
      </c>
      <c r="AH79">
        <v>3</v>
      </c>
      <c r="AI79">
        <v>3</v>
      </c>
      <c r="AJ79">
        <v>2</v>
      </c>
      <c r="AK79">
        <v>2</v>
      </c>
      <c r="AL79">
        <v>2</v>
      </c>
    </row>
    <row r="80" spans="1:38" x14ac:dyDescent="0.3">
      <c r="A80" t="s">
        <v>141</v>
      </c>
      <c r="B80">
        <v>24</v>
      </c>
      <c r="C80" t="s">
        <v>38</v>
      </c>
      <c r="D80" t="s">
        <v>48</v>
      </c>
      <c r="E80">
        <f t="shared" si="1"/>
        <v>0</v>
      </c>
      <c r="F80" t="s">
        <v>40</v>
      </c>
      <c r="G80">
        <v>691</v>
      </c>
      <c r="H80" t="s">
        <v>41</v>
      </c>
      <c r="I80">
        <v>23</v>
      </c>
      <c r="J80">
        <v>3</v>
      </c>
      <c r="K80" t="s">
        <v>51</v>
      </c>
      <c r="L80">
        <v>1</v>
      </c>
      <c r="M80">
        <v>639</v>
      </c>
      <c r="N80">
        <v>2</v>
      </c>
      <c r="O80" t="s">
        <v>43</v>
      </c>
      <c r="P80">
        <v>89</v>
      </c>
      <c r="Q80">
        <v>4</v>
      </c>
      <c r="R80">
        <v>1</v>
      </c>
      <c r="S80" t="s">
        <v>59</v>
      </c>
      <c r="T80">
        <v>4</v>
      </c>
      <c r="U80" t="s">
        <v>104</v>
      </c>
      <c r="V80">
        <v>2725</v>
      </c>
      <c r="W80" t="s">
        <v>46</v>
      </c>
      <c r="X80">
        <v>21630</v>
      </c>
      <c r="Y80">
        <v>1</v>
      </c>
      <c r="Z80" t="s">
        <v>47</v>
      </c>
      <c r="AA80" t="s">
        <v>39</v>
      </c>
      <c r="AB80">
        <v>11</v>
      </c>
      <c r="AC80">
        <v>3</v>
      </c>
      <c r="AD80">
        <v>2</v>
      </c>
      <c r="AE80">
        <v>80</v>
      </c>
      <c r="AF80">
        <v>2</v>
      </c>
      <c r="AG80">
        <v>6</v>
      </c>
      <c r="AH80">
        <v>3</v>
      </c>
      <c r="AI80">
        <v>3</v>
      </c>
      <c r="AJ80">
        <v>6</v>
      </c>
      <c r="AK80">
        <v>5</v>
      </c>
      <c r="AL80">
        <v>1</v>
      </c>
    </row>
    <row r="81" spans="1:38" x14ac:dyDescent="0.3">
      <c r="A81" t="s">
        <v>142</v>
      </c>
      <c r="B81">
        <v>24</v>
      </c>
      <c r="C81" t="s">
        <v>38</v>
      </c>
      <c r="D81" t="s">
        <v>48</v>
      </c>
      <c r="E81">
        <f t="shared" si="1"/>
        <v>0</v>
      </c>
      <c r="F81" t="s">
        <v>40</v>
      </c>
      <c r="G81">
        <v>823</v>
      </c>
      <c r="H81" t="s">
        <v>41</v>
      </c>
      <c r="I81">
        <v>17</v>
      </c>
      <c r="J81">
        <v>2</v>
      </c>
      <c r="K81" t="s">
        <v>72</v>
      </c>
      <c r="L81">
        <v>1</v>
      </c>
      <c r="M81">
        <v>643</v>
      </c>
      <c r="N81">
        <v>4</v>
      </c>
      <c r="O81" t="s">
        <v>43</v>
      </c>
      <c r="P81">
        <v>94</v>
      </c>
      <c r="Q81">
        <v>2</v>
      </c>
      <c r="R81">
        <v>1</v>
      </c>
      <c r="S81" t="s">
        <v>44</v>
      </c>
      <c r="T81">
        <v>2</v>
      </c>
      <c r="U81" t="s">
        <v>104</v>
      </c>
      <c r="V81">
        <v>2127</v>
      </c>
      <c r="W81" t="s">
        <v>46</v>
      </c>
      <c r="X81">
        <v>9100</v>
      </c>
      <c r="Y81">
        <v>1</v>
      </c>
      <c r="Z81" t="s">
        <v>47</v>
      </c>
      <c r="AA81" t="s">
        <v>48</v>
      </c>
      <c r="AB81">
        <v>21</v>
      </c>
      <c r="AC81">
        <v>4</v>
      </c>
      <c r="AD81">
        <v>4</v>
      </c>
      <c r="AE81">
        <v>80</v>
      </c>
      <c r="AF81">
        <v>1</v>
      </c>
      <c r="AG81">
        <v>1</v>
      </c>
      <c r="AH81">
        <v>2</v>
      </c>
      <c r="AI81">
        <v>3</v>
      </c>
      <c r="AJ81">
        <v>1</v>
      </c>
      <c r="AK81">
        <v>0</v>
      </c>
      <c r="AL81">
        <v>0</v>
      </c>
    </row>
    <row r="82" spans="1:38" x14ac:dyDescent="0.3">
      <c r="A82" t="s">
        <v>143</v>
      </c>
      <c r="B82">
        <v>24</v>
      </c>
      <c r="C82" t="s">
        <v>38</v>
      </c>
      <c r="D82" t="s">
        <v>39</v>
      </c>
      <c r="E82">
        <f t="shared" si="1"/>
        <v>1</v>
      </c>
      <c r="F82" t="s">
        <v>55</v>
      </c>
      <c r="G82">
        <v>1287</v>
      </c>
      <c r="H82" t="s">
        <v>41</v>
      </c>
      <c r="I82">
        <v>7</v>
      </c>
      <c r="J82">
        <v>3</v>
      </c>
      <c r="K82" t="s">
        <v>42</v>
      </c>
      <c r="L82">
        <v>1</v>
      </c>
      <c r="M82">
        <v>647</v>
      </c>
      <c r="N82">
        <v>1</v>
      </c>
      <c r="O82" t="s">
        <v>52</v>
      </c>
      <c r="P82">
        <v>55</v>
      </c>
      <c r="Q82">
        <v>3</v>
      </c>
      <c r="R82">
        <v>1</v>
      </c>
      <c r="S82" t="s">
        <v>44</v>
      </c>
      <c r="T82">
        <v>3</v>
      </c>
      <c r="U82" t="s">
        <v>104</v>
      </c>
      <c r="V82">
        <v>2886</v>
      </c>
      <c r="W82" t="s">
        <v>46</v>
      </c>
      <c r="X82">
        <v>14168</v>
      </c>
      <c r="Y82">
        <v>1</v>
      </c>
      <c r="Z82" t="s">
        <v>47</v>
      </c>
      <c r="AA82" t="s">
        <v>39</v>
      </c>
      <c r="AB82">
        <v>16</v>
      </c>
      <c r="AC82">
        <v>3</v>
      </c>
      <c r="AD82">
        <v>4</v>
      </c>
      <c r="AE82">
        <v>80</v>
      </c>
      <c r="AF82">
        <v>1</v>
      </c>
      <c r="AG82">
        <v>6</v>
      </c>
      <c r="AH82">
        <v>4</v>
      </c>
      <c r="AI82">
        <v>3</v>
      </c>
      <c r="AJ82">
        <v>6</v>
      </c>
      <c r="AK82">
        <v>3</v>
      </c>
      <c r="AL82">
        <v>1</v>
      </c>
    </row>
    <row r="83" spans="1:38" x14ac:dyDescent="0.3">
      <c r="A83" t="s">
        <v>144</v>
      </c>
      <c r="B83">
        <v>24</v>
      </c>
      <c r="C83" t="s">
        <v>38</v>
      </c>
      <c r="D83" t="s">
        <v>39</v>
      </c>
      <c r="E83">
        <f t="shared" si="1"/>
        <v>1</v>
      </c>
      <c r="F83" t="s">
        <v>40</v>
      </c>
      <c r="G83">
        <v>693</v>
      </c>
      <c r="H83" t="s">
        <v>50</v>
      </c>
      <c r="I83">
        <v>3</v>
      </c>
      <c r="J83">
        <v>2</v>
      </c>
      <c r="K83" t="s">
        <v>42</v>
      </c>
      <c r="L83">
        <v>1</v>
      </c>
      <c r="M83">
        <v>720</v>
      </c>
      <c r="N83">
        <v>1</v>
      </c>
      <c r="O83" t="s">
        <v>52</v>
      </c>
      <c r="P83">
        <v>65</v>
      </c>
      <c r="Q83">
        <v>3</v>
      </c>
      <c r="R83">
        <v>2</v>
      </c>
      <c r="S83" t="s">
        <v>136</v>
      </c>
      <c r="T83">
        <v>3</v>
      </c>
      <c r="U83" t="s">
        <v>45</v>
      </c>
      <c r="V83">
        <v>4577</v>
      </c>
      <c r="W83" t="s">
        <v>46</v>
      </c>
      <c r="X83">
        <v>24785</v>
      </c>
      <c r="Y83">
        <v>9</v>
      </c>
      <c r="Z83" t="s">
        <v>47</v>
      </c>
      <c r="AA83" t="s">
        <v>48</v>
      </c>
      <c r="AB83">
        <v>14</v>
      </c>
      <c r="AC83">
        <v>3</v>
      </c>
      <c r="AD83">
        <v>1</v>
      </c>
      <c r="AE83">
        <v>80</v>
      </c>
      <c r="AF83">
        <v>0</v>
      </c>
      <c r="AG83">
        <v>4</v>
      </c>
      <c r="AH83">
        <v>3</v>
      </c>
      <c r="AI83">
        <v>3</v>
      </c>
      <c r="AJ83">
        <v>2</v>
      </c>
      <c r="AK83">
        <v>2</v>
      </c>
      <c r="AL83">
        <v>2</v>
      </c>
    </row>
    <row r="84" spans="1:38" x14ac:dyDescent="0.3">
      <c r="A84" t="s">
        <v>145</v>
      </c>
      <c r="B84">
        <v>24</v>
      </c>
      <c r="C84" t="s">
        <v>38</v>
      </c>
      <c r="D84" t="s">
        <v>48</v>
      </c>
      <c r="E84">
        <f t="shared" si="1"/>
        <v>0</v>
      </c>
      <c r="F84" t="s">
        <v>58</v>
      </c>
      <c r="G84">
        <v>1092</v>
      </c>
      <c r="H84" t="s">
        <v>41</v>
      </c>
      <c r="I84">
        <v>9</v>
      </c>
      <c r="J84">
        <v>3</v>
      </c>
      <c r="K84" t="s">
        <v>42</v>
      </c>
      <c r="L84">
        <v>1</v>
      </c>
      <c r="M84">
        <v>812</v>
      </c>
      <c r="N84">
        <v>3</v>
      </c>
      <c r="O84" t="s">
        <v>43</v>
      </c>
      <c r="P84">
        <v>60</v>
      </c>
      <c r="Q84">
        <v>2</v>
      </c>
      <c r="R84">
        <v>1</v>
      </c>
      <c r="S84" t="s">
        <v>44</v>
      </c>
      <c r="T84">
        <v>2</v>
      </c>
      <c r="U84" t="s">
        <v>101</v>
      </c>
      <c r="V84">
        <v>2694</v>
      </c>
      <c r="W84" t="s">
        <v>46</v>
      </c>
      <c r="X84">
        <v>26551</v>
      </c>
      <c r="Y84">
        <v>1</v>
      </c>
      <c r="Z84" t="s">
        <v>47</v>
      </c>
      <c r="AA84" t="s">
        <v>48</v>
      </c>
      <c r="AB84">
        <v>11</v>
      </c>
      <c r="AC84">
        <v>3</v>
      </c>
      <c r="AD84">
        <v>3</v>
      </c>
      <c r="AE84">
        <v>80</v>
      </c>
      <c r="AF84">
        <v>3</v>
      </c>
      <c r="AG84">
        <v>1</v>
      </c>
      <c r="AH84">
        <v>4</v>
      </c>
      <c r="AI84">
        <v>3</v>
      </c>
      <c r="AJ84">
        <v>1</v>
      </c>
      <c r="AK84">
        <v>0</v>
      </c>
      <c r="AL84">
        <v>0</v>
      </c>
    </row>
    <row r="85" spans="1:38" x14ac:dyDescent="0.3">
      <c r="A85" t="s">
        <v>146</v>
      </c>
      <c r="B85">
        <v>24</v>
      </c>
      <c r="C85" t="s">
        <v>38</v>
      </c>
      <c r="D85" t="s">
        <v>48</v>
      </c>
      <c r="E85">
        <f t="shared" si="1"/>
        <v>0</v>
      </c>
      <c r="F85" t="s">
        <v>58</v>
      </c>
      <c r="G85">
        <v>1269</v>
      </c>
      <c r="H85" t="s">
        <v>41</v>
      </c>
      <c r="I85">
        <v>4</v>
      </c>
      <c r="J85">
        <v>1</v>
      </c>
      <c r="K85" t="s">
        <v>42</v>
      </c>
      <c r="L85">
        <v>1</v>
      </c>
      <c r="M85">
        <v>888</v>
      </c>
      <c r="N85">
        <v>1</v>
      </c>
      <c r="O85" t="s">
        <v>43</v>
      </c>
      <c r="P85">
        <v>46</v>
      </c>
      <c r="Q85">
        <v>2</v>
      </c>
      <c r="R85">
        <v>1</v>
      </c>
      <c r="S85" t="s">
        <v>44</v>
      </c>
      <c r="T85">
        <v>4</v>
      </c>
      <c r="U85" t="s">
        <v>104</v>
      </c>
      <c r="V85">
        <v>3162</v>
      </c>
      <c r="W85" t="s">
        <v>46</v>
      </c>
      <c r="X85">
        <v>10778</v>
      </c>
      <c r="Y85">
        <v>0</v>
      </c>
      <c r="Z85" t="s">
        <v>47</v>
      </c>
      <c r="AA85" t="s">
        <v>48</v>
      </c>
      <c r="AB85">
        <v>17</v>
      </c>
      <c r="AC85">
        <v>3</v>
      </c>
      <c r="AD85">
        <v>4</v>
      </c>
      <c r="AE85">
        <v>80</v>
      </c>
      <c r="AF85">
        <v>0</v>
      </c>
      <c r="AG85">
        <v>6</v>
      </c>
      <c r="AH85">
        <v>2</v>
      </c>
      <c r="AI85">
        <v>2</v>
      </c>
      <c r="AJ85">
        <v>5</v>
      </c>
      <c r="AK85">
        <v>2</v>
      </c>
      <c r="AL85">
        <v>3</v>
      </c>
    </row>
    <row r="86" spans="1:38" x14ac:dyDescent="0.3">
      <c r="A86" t="s">
        <v>147</v>
      </c>
      <c r="B86">
        <v>24</v>
      </c>
      <c r="C86" t="s">
        <v>38</v>
      </c>
      <c r="D86" t="s">
        <v>48</v>
      </c>
      <c r="E86">
        <f t="shared" si="1"/>
        <v>0</v>
      </c>
      <c r="F86" t="s">
        <v>40</v>
      </c>
      <c r="G86">
        <v>1206</v>
      </c>
      <c r="H86" t="s">
        <v>41</v>
      </c>
      <c r="I86">
        <v>17</v>
      </c>
      <c r="J86">
        <v>1</v>
      </c>
      <c r="K86" t="s">
        <v>51</v>
      </c>
      <c r="L86">
        <v>1</v>
      </c>
      <c r="M86">
        <v>1009</v>
      </c>
      <c r="N86">
        <v>4</v>
      </c>
      <c r="O86" t="s">
        <v>52</v>
      </c>
      <c r="P86">
        <v>41</v>
      </c>
      <c r="Q86">
        <v>2</v>
      </c>
      <c r="R86">
        <v>2</v>
      </c>
      <c r="S86" t="s">
        <v>111</v>
      </c>
      <c r="T86">
        <v>3</v>
      </c>
      <c r="U86" t="s">
        <v>101</v>
      </c>
      <c r="V86">
        <v>4377</v>
      </c>
      <c r="W86" t="s">
        <v>46</v>
      </c>
      <c r="X86">
        <v>24117</v>
      </c>
      <c r="Y86">
        <v>1</v>
      </c>
      <c r="Z86" t="s">
        <v>47</v>
      </c>
      <c r="AA86" t="s">
        <v>48</v>
      </c>
      <c r="AB86">
        <v>15</v>
      </c>
      <c r="AC86">
        <v>3</v>
      </c>
      <c r="AD86">
        <v>2</v>
      </c>
      <c r="AE86">
        <v>80</v>
      </c>
      <c r="AF86">
        <v>2</v>
      </c>
      <c r="AG86">
        <v>5</v>
      </c>
      <c r="AH86">
        <v>6</v>
      </c>
      <c r="AI86">
        <v>3</v>
      </c>
      <c r="AJ86">
        <v>4</v>
      </c>
      <c r="AK86">
        <v>2</v>
      </c>
      <c r="AL86">
        <v>3</v>
      </c>
    </row>
    <row r="87" spans="1:38" x14ac:dyDescent="0.3">
      <c r="A87" t="s">
        <v>148</v>
      </c>
      <c r="B87">
        <v>24</v>
      </c>
      <c r="C87" t="s">
        <v>38</v>
      </c>
      <c r="D87" t="s">
        <v>48</v>
      </c>
      <c r="E87">
        <f t="shared" si="1"/>
        <v>0</v>
      </c>
      <c r="F87" t="s">
        <v>40</v>
      </c>
      <c r="G87">
        <v>477</v>
      </c>
      <c r="H87" t="s">
        <v>41</v>
      </c>
      <c r="I87">
        <v>24</v>
      </c>
      <c r="J87">
        <v>3</v>
      </c>
      <c r="K87" t="s">
        <v>51</v>
      </c>
      <c r="L87">
        <v>1</v>
      </c>
      <c r="M87">
        <v>1173</v>
      </c>
      <c r="N87">
        <v>4</v>
      </c>
      <c r="O87" t="s">
        <v>43</v>
      </c>
      <c r="P87">
        <v>49</v>
      </c>
      <c r="Q87">
        <v>3</v>
      </c>
      <c r="R87">
        <v>1</v>
      </c>
      <c r="S87" t="s">
        <v>44</v>
      </c>
      <c r="T87">
        <v>2</v>
      </c>
      <c r="U87" t="s">
        <v>45</v>
      </c>
      <c r="V87">
        <v>3597</v>
      </c>
      <c r="W87" t="s">
        <v>46</v>
      </c>
      <c r="X87">
        <v>6409</v>
      </c>
      <c r="Y87">
        <v>8</v>
      </c>
      <c r="Z87" t="s">
        <v>47</v>
      </c>
      <c r="AA87" t="s">
        <v>48</v>
      </c>
      <c r="AB87">
        <v>22</v>
      </c>
      <c r="AC87">
        <v>4</v>
      </c>
      <c r="AD87">
        <v>4</v>
      </c>
      <c r="AE87">
        <v>80</v>
      </c>
      <c r="AF87">
        <v>0</v>
      </c>
      <c r="AG87">
        <v>6</v>
      </c>
      <c r="AH87">
        <v>2</v>
      </c>
      <c r="AI87">
        <v>3</v>
      </c>
      <c r="AJ87">
        <v>4</v>
      </c>
      <c r="AK87">
        <v>3</v>
      </c>
      <c r="AL87">
        <v>1</v>
      </c>
    </row>
    <row r="88" spans="1:38" x14ac:dyDescent="0.3">
      <c r="A88" t="s">
        <v>149</v>
      </c>
      <c r="B88">
        <v>24</v>
      </c>
      <c r="C88" t="s">
        <v>38</v>
      </c>
      <c r="D88" t="s">
        <v>39</v>
      </c>
      <c r="E88">
        <f t="shared" si="1"/>
        <v>1</v>
      </c>
      <c r="F88" t="s">
        <v>40</v>
      </c>
      <c r="G88">
        <v>984</v>
      </c>
      <c r="H88" t="s">
        <v>41</v>
      </c>
      <c r="I88">
        <v>17</v>
      </c>
      <c r="J88">
        <v>2</v>
      </c>
      <c r="K88" t="s">
        <v>42</v>
      </c>
      <c r="L88">
        <v>1</v>
      </c>
      <c r="M88">
        <v>1219</v>
      </c>
      <c r="N88">
        <v>4</v>
      </c>
      <c r="O88" t="s">
        <v>52</v>
      </c>
      <c r="P88">
        <v>97</v>
      </c>
      <c r="Q88">
        <v>3</v>
      </c>
      <c r="R88">
        <v>1</v>
      </c>
      <c r="S88" t="s">
        <v>44</v>
      </c>
      <c r="T88">
        <v>2</v>
      </c>
      <c r="U88" t="s">
        <v>104</v>
      </c>
      <c r="V88">
        <v>2210</v>
      </c>
      <c r="W88" t="s">
        <v>46</v>
      </c>
      <c r="X88">
        <v>3372</v>
      </c>
      <c r="Y88">
        <v>1</v>
      </c>
      <c r="Z88" t="s">
        <v>47</v>
      </c>
      <c r="AA88" t="s">
        <v>48</v>
      </c>
      <c r="AB88">
        <v>13</v>
      </c>
      <c r="AC88">
        <v>3</v>
      </c>
      <c r="AD88">
        <v>1</v>
      </c>
      <c r="AE88">
        <v>80</v>
      </c>
      <c r="AF88">
        <v>1</v>
      </c>
      <c r="AG88">
        <v>1</v>
      </c>
      <c r="AH88">
        <v>3</v>
      </c>
      <c r="AI88">
        <v>1</v>
      </c>
      <c r="AJ88">
        <v>1</v>
      </c>
      <c r="AK88">
        <v>0</v>
      </c>
      <c r="AL88">
        <v>0</v>
      </c>
    </row>
    <row r="89" spans="1:38" x14ac:dyDescent="0.3">
      <c r="A89" t="s">
        <v>150</v>
      </c>
      <c r="B89">
        <v>24</v>
      </c>
      <c r="C89" t="s">
        <v>38</v>
      </c>
      <c r="D89" t="s">
        <v>48</v>
      </c>
      <c r="E89">
        <f t="shared" si="1"/>
        <v>0</v>
      </c>
      <c r="F89" t="s">
        <v>40</v>
      </c>
      <c r="G89">
        <v>1476</v>
      </c>
      <c r="H89" t="s">
        <v>50</v>
      </c>
      <c r="I89">
        <v>4</v>
      </c>
      <c r="J89">
        <v>1</v>
      </c>
      <c r="K89" t="s">
        <v>51</v>
      </c>
      <c r="L89">
        <v>1</v>
      </c>
      <c r="M89">
        <v>1445</v>
      </c>
      <c r="N89">
        <v>4</v>
      </c>
      <c r="O89" t="s">
        <v>52</v>
      </c>
      <c r="P89">
        <v>42</v>
      </c>
      <c r="Q89">
        <v>3</v>
      </c>
      <c r="R89">
        <v>2</v>
      </c>
      <c r="S89" t="s">
        <v>136</v>
      </c>
      <c r="T89">
        <v>3</v>
      </c>
      <c r="U89" t="s">
        <v>104</v>
      </c>
      <c r="V89">
        <v>4162</v>
      </c>
      <c r="W89" t="s">
        <v>46</v>
      </c>
      <c r="X89">
        <v>15211</v>
      </c>
      <c r="Y89">
        <v>1</v>
      </c>
      <c r="Z89" t="s">
        <v>47</v>
      </c>
      <c r="AA89" t="s">
        <v>39</v>
      </c>
      <c r="AB89">
        <v>12</v>
      </c>
      <c r="AC89">
        <v>3</v>
      </c>
      <c r="AD89">
        <v>3</v>
      </c>
      <c r="AE89">
        <v>80</v>
      </c>
      <c r="AF89">
        <v>2</v>
      </c>
      <c r="AG89">
        <v>5</v>
      </c>
      <c r="AH89">
        <v>3</v>
      </c>
      <c r="AI89">
        <v>3</v>
      </c>
      <c r="AJ89">
        <v>5</v>
      </c>
      <c r="AK89">
        <v>4</v>
      </c>
      <c r="AL89">
        <v>0</v>
      </c>
    </row>
    <row r="90" spans="1:38" x14ac:dyDescent="0.3">
      <c r="A90" t="s">
        <v>151</v>
      </c>
      <c r="B90">
        <v>24</v>
      </c>
      <c r="C90" t="s">
        <v>38</v>
      </c>
      <c r="D90" t="s">
        <v>39</v>
      </c>
      <c r="E90">
        <f t="shared" si="1"/>
        <v>1</v>
      </c>
      <c r="F90" t="s">
        <v>55</v>
      </c>
      <c r="G90">
        <v>381</v>
      </c>
      <c r="H90" t="s">
        <v>41</v>
      </c>
      <c r="I90">
        <v>9</v>
      </c>
      <c r="J90">
        <v>3</v>
      </c>
      <c r="K90" t="s">
        <v>51</v>
      </c>
      <c r="L90">
        <v>1</v>
      </c>
      <c r="M90">
        <v>1494</v>
      </c>
      <c r="N90">
        <v>2</v>
      </c>
      <c r="O90" t="s">
        <v>43</v>
      </c>
      <c r="P90">
        <v>89</v>
      </c>
      <c r="Q90">
        <v>3</v>
      </c>
      <c r="R90">
        <v>1</v>
      </c>
      <c r="S90" t="s">
        <v>44</v>
      </c>
      <c r="T90">
        <v>1</v>
      </c>
      <c r="U90" t="s">
        <v>45</v>
      </c>
      <c r="V90">
        <v>3172</v>
      </c>
      <c r="W90" t="s">
        <v>46</v>
      </c>
      <c r="X90">
        <v>16998</v>
      </c>
      <c r="Y90">
        <v>2</v>
      </c>
      <c r="Z90" t="s">
        <v>47</v>
      </c>
      <c r="AA90" t="s">
        <v>39</v>
      </c>
      <c r="AB90">
        <v>11</v>
      </c>
      <c r="AC90">
        <v>3</v>
      </c>
      <c r="AD90">
        <v>3</v>
      </c>
      <c r="AE90">
        <v>80</v>
      </c>
      <c r="AF90">
        <v>0</v>
      </c>
      <c r="AG90">
        <v>4</v>
      </c>
      <c r="AH90">
        <v>2</v>
      </c>
      <c r="AI90">
        <v>2</v>
      </c>
      <c r="AJ90">
        <v>0</v>
      </c>
      <c r="AK90">
        <v>0</v>
      </c>
      <c r="AL90">
        <v>0</v>
      </c>
    </row>
    <row r="91" spans="1:38" x14ac:dyDescent="0.3">
      <c r="A91" t="s">
        <v>152</v>
      </c>
      <c r="B91">
        <v>24</v>
      </c>
      <c r="C91" t="s">
        <v>38</v>
      </c>
      <c r="D91" t="s">
        <v>48</v>
      </c>
      <c r="E91">
        <f t="shared" si="1"/>
        <v>0</v>
      </c>
      <c r="F91" t="s">
        <v>58</v>
      </c>
      <c r="G91">
        <v>830</v>
      </c>
      <c r="H91" t="s">
        <v>50</v>
      </c>
      <c r="I91">
        <v>13</v>
      </c>
      <c r="J91">
        <v>2</v>
      </c>
      <c r="K91" t="s">
        <v>42</v>
      </c>
      <c r="L91">
        <v>1</v>
      </c>
      <c r="M91">
        <v>1495</v>
      </c>
      <c r="N91">
        <v>4</v>
      </c>
      <c r="O91" t="s">
        <v>52</v>
      </c>
      <c r="P91">
        <v>78</v>
      </c>
      <c r="Q91">
        <v>3</v>
      </c>
      <c r="R91">
        <v>1</v>
      </c>
      <c r="S91" t="s">
        <v>53</v>
      </c>
      <c r="T91">
        <v>2</v>
      </c>
      <c r="U91" t="s">
        <v>104</v>
      </c>
      <c r="V91">
        <v>2033</v>
      </c>
      <c r="W91" t="s">
        <v>46</v>
      </c>
      <c r="X91">
        <v>7103</v>
      </c>
      <c r="Y91">
        <v>1</v>
      </c>
      <c r="Z91" t="s">
        <v>47</v>
      </c>
      <c r="AA91" t="s">
        <v>48</v>
      </c>
      <c r="AB91">
        <v>13</v>
      </c>
      <c r="AC91">
        <v>3</v>
      </c>
      <c r="AD91">
        <v>3</v>
      </c>
      <c r="AE91">
        <v>80</v>
      </c>
      <c r="AF91">
        <v>1</v>
      </c>
      <c r="AG91">
        <v>1</v>
      </c>
      <c r="AH91">
        <v>2</v>
      </c>
      <c r="AI91">
        <v>3</v>
      </c>
      <c r="AJ91">
        <v>1</v>
      </c>
      <c r="AK91">
        <v>0</v>
      </c>
      <c r="AL91">
        <v>0</v>
      </c>
    </row>
    <row r="92" spans="1:38" x14ac:dyDescent="0.3">
      <c r="A92" t="s">
        <v>153</v>
      </c>
      <c r="B92">
        <v>24</v>
      </c>
      <c r="C92" t="s">
        <v>38</v>
      </c>
      <c r="D92" t="s">
        <v>48</v>
      </c>
      <c r="E92">
        <f t="shared" si="1"/>
        <v>0</v>
      </c>
      <c r="F92" t="s">
        <v>40</v>
      </c>
      <c r="G92">
        <v>350</v>
      </c>
      <c r="H92" t="s">
        <v>41</v>
      </c>
      <c r="I92">
        <v>21</v>
      </c>
      <c r="J92">
        <v>2</v>
      </c>
      <c r="K92" t="s">
        <v>67</v>
      </c>
      <c r="L92">
        <v>1</v>
      </c>
      <c r="M92">
        <v>1551</v>
      </c>
      <c r="N92">
        <v>3</v>
      </c>
      <c r="O92" t="s">
        <v>43</v>
      </c>
      <c r="P92">
        <v>57</v>
      </c>
      <c r="Q92">
        <v>2</v>
      </c>
      <c r="R92">
        <v>1</v>
      </c>
      <c r="S92" t="s">
        <v>44</v>
      </c>
      <c r="T92">
        <v>1</v>
      </c>
      <c r="U92" t="s">
        <v>101</v>
      </c>
      <c r="V92">
        <v>2296</v>
      </c>
      <c r="W92" t="s">
        <v>46</v>
      </c>
      <c r="X92">
        <v>10036</v>
      </c>
      <c r="Y92">
        <v>0</v>
      </c>
      <c r="Z92" t="s">
        <v>47</v>
      </c>
      <c r="AA92" t="s">
        <v>48</v>
      </c>
      <c r="AB92">
        <v>14</v>
      </c>
      <c r="AC92">
        <v>3</v>
      </c>
      <c r="AD92">
        <v>2</v>
      </c>
      <c r="AE92">
        <v>80</v>
      </c>
      <c r="AF92">
        <v>3</v>
      </c>
      <c r="AG92">
        <v>2</v>
      </c>
      <c r="AH92">
        <v>3</v>
      </c>
      <c r="AI92">
        <v>3</v>
      </c>
      <c r="AJ92">
        <v>1</v>
      </c>
      <c r="AK92">
        <v>1</v>
      </c>
      <c r="AL92">
        <v>0</v>
      </c>
    </row>
    <row r="93" spans="1:38" x14ac:dyDescent="0.3">
      <c r="A93" t="s">
        <v>154</v>
      </c>
      <c r="B93">
        <v>24</v>
      </c>
      <c r="C93" t="s">
        <v>38</v>
      </c>
      <c r="D93" t="s">
        <v>48</v>
      </c>
      <c r="E93">
        <f t="shared" si="1"/>
        <v>0</v>
      </c>
      <c r="F93" t="s">
        <v>55</v>
      </c>
      <c r="G93">
        <v>567</v>
      </c>
      <c r="H93" t="s">
        <v>41</v>
      </c>
      <c r="I93">
        <v>2</v>
      </c>
      <c r="J93">
        <v>1</v>
      </c>
      <c r="K93" t="s">
        <v>67</v>
      </c>
      <c r="L93">
        <v>1</v>
      </c>
      <c r="M93">
        <v>1646</v>
      </c>
      <c r="N93">
        <v>1</v>
      </c>
      <c r="O93" t="s">
        <v>52</v>
      </c>
      <c r="P93">
        <v>32</v>
      </c>
      <c r="Q93">
        <v>3</v>
      </c>
      <c r="R93">
        <v>1</v>
      </c>
      <c r="S93" t="s">
        <v>59</v>
      </c>
      <c r="T93">
        <v>4</v>
      </c>
      <c r="U93" t="s">
        <v>45</v>
      </c>
      <c r="V93">
        <v>3760</v>
      </c>
      <c r="W93" t="s">
        <v>46</v>
      </c>
      <c r="X93">
        <v>17218</v>
      </c>
      <c r="Y93">
        <v>1</v>
      </c>
      <c r="Z93" t="s">
        <v>47</v>
      </c>
      <c r="AA93" t="s">
        <v>39</v>
      </c>
      <c r="AB93">
        <v>13</v>
      </c>
      <c r="AC93">
        <v>3</v>
      </c>
      <c r="AD93">
        <v>3</v>
      </c>
      <c r="AE93">
        <v>80</v>
      </c>
      <c r="AF93">
        <v>0</v>
      </c>
      <c r="AG93">
        <v>6</v>
      </c>
      <c r="AH93">
        <v>2</v>
      </c>
      <c r="AI93">
        <v>3</v>
      </c>
      <c r="AJ93">
        <v>6</v>
      </c>
      <c r="AK93">
        <v>3</v>
      </c>
      <c r="AL93">
        <v>1</v>
      </c>
    </row>
    <row r="94" spans="1:38" x14ac:dyDescent="0.3">
      <c r="A94" t="s">
        <v>155</v>
      </c>
      <c r="B94">
        <v>24</v>
      </c>
      <c r="C94" t="s">
        <v>38</v>
      </c>
      <c r="D94" t="s">
        <v>48</v>
      </c>
      <c r="E94">
        <f t="shared" si="1"/>
        <v>0</v>
      </c>
      <c r="F94" t="s">
        <v>40</v>
      </c>
      <c r="G94">
        <v>581</v>
      </c>
      <c r="H94" t="s">
        <v>41</v>
      </c>
      <c r="I94">
        <v>9</v>
      </c>
      <c r="J94">
        <v>3</v>
      </c>
      <c r="K94" t="s">
        <v>51</v>
      </c>
      <c r="L94">
        <v>1</v>
      </c>
      <c r="M94">
        <v>1707</v>
      </c>
      <c r="N94">
        <v>3</v>
      </c>
      <c r="O94" t="s">
        <v>43</v>
      </c>
      <c r="P94">
        <v>62</v>
      </c>
      <c r="Q94">
        <v>4</v>
      </c>
      <c r="R94">
        <v>1</v>
      </c>
      <c r="S94" t="s">
        <v>59</v>
      </c>
      <c r="T94">
        <v>3</v>
      </c>
      <c r="U94" t="s">
        <v>104</v>
      </c>
      <c r="V94">
        <v>4401</v>
      </c>
      <c r="W94" t="s">
        <v>46</v>
      </c>
      <c r="X94">
        <v>17616</v>
      </c>
      <c r="Y94">
        <v>1</v>
      </c>
      <c r="Z94" t="s">
        <v>47</v>
      </c>
      <c r="AA94" t="s">
        <v>48</v>
      </c>
      <c r="AB94">
        <v>16</v>
      </c>
      <c r="AC94">
        <v>3</v>
      </c>
      <c r="AD94">
        <v>4</v>
      </c>
      <c r="AE94">
        <v>80</v>
      </c>
      <c r="AF94">
        <v>1</v>
      </c>
      <c r="AG94">
        <v>5</v>
      </c>
      <c r="AH94">
        <v>1</v>
      </c>
      <c r="AI94">
        <v>3</v>
      </c>
      <c r="AJ94">
        <v>5</v>
      </c>
      <c r="AK94">
        <v>3</v>
      </c>
      <c r="AL94">
        <v>0</v>
      </c>
    </row>
    <row r="95" spans="1:38" x14ac:dyDescent="0.3">
      <c r="A95" t="s">
        <v>156</v>
      </c>
      <c r="B95">
        <v>24</v>
      </c>
      <c r="C95" t="s">
        <v>38</v>
      </c>
      <c r="D95" t="s">
        <v>39</v>
      </c>
      <c r="E95">
        <f t="shared" si="1"/>
        <v>1</v>
      </c>
      <c r="F95" t="s">
        <v>40</v>
      </c>
      <c r="G95">
        <v>240</v>
      </c>
      <c r="H95" t="s">
        <v>70</v>
      </c>
      <c r="I95">
        <v>22</v>
      </c>
      <c r="J95">
        <v>1</v>
      </c>
      <c r="K95" t="s">
        <v>70</v>
      </c>
      <c r="L95">
        <v>1</v>
      </c>
      <c r="M95">
        <v>1714</v>
      </c>
      <c r="N95">
        <v>4</v>
      </c>
      <c r="O95" t="s">
        <v>43</v>
      </c>
      <c r="P95">
        <v>58</v>
      </c>
      <c r="Q95">
        <v>1</v>
      </c>
      <c r="R95">
        <v>1</v>
      </c>
      <c r="S95" t="s">
        <v>70</v>
      </c>
      <c r="T95">
        <v>3</v>
      </c>
      <c r="U95" t="s">
        <v>104</v>
      </c>
      <c r="V95">
        <v>1555</v>
      </c>
      <c r="W95" t="s">
        <v>46</v>
      </c>
      <c r="X95">
        <v>11585</v>
      </c>
      <c r="Y95">
        <v>1</v>
      </c>
      <c r="Z95" t="s">
        <v>47</v>
      </c>
      <c r="AA95" t="s">
        <v>48</v>
      </c>
      <c r="AB95">
        <v>11</v>
      </c>
      <c r="AC95">
        <v>3</v>
      </c>
      <c r="AD95">
        <v>3</v>
      </c>
      <c r="AE95">
        <v>80</v>
      </c>
      <c r="AF95">
        <v>1</v>
      </c>
      <c r="AG95">
        <v>1</v>
      </c>
      <c r="AH95">
        <v>2</v>
      </c>
      <c r="AI95">
        <v>3</v>
      </c>
      <c r="AJ95">
        <v>1</v>
      </c>
      <c r="AK95">
        <v>0</v>
      </c>
      <c r="AL95">
        <v>0</v>
      </c>
    </row>
    <row r="96" spans="1:38" x14ac:dyDescent="0.3">
      <c r="A96" t="s">
        <v>157</v>
      </c>
      <c r="B96">
        <v>24</v>
      </c>
      <c r="C96" t="s">
        <v>38</v>
      </c>
      <c r="D96" t="s">
        <v>48</v>
      </c>
      <c r="E96">
        <f t="shared" si="1"/>
        <v>0</v>
      </c>
      <c r="F96" t="s">
        <v>40</v>
      </c>
      <c r="G96">
        <v>506</v>
      </c>
      <c r="H96" t="s">
        <v>41</v>
      </c>
      <c r="I96">
        <v>29</v>
      </c>
      <c r="J96">
        <v>1</v>
      </c>
      <c r="K96" t="s">
        <v>51</v>
      </c>
      <c r="L96">
        <v>1</v>
      </c>
      <c r="M96">
        <v>1725</v>
      </c>
      <c r="N96">
        <v>2</v>
      </c>
      <c r="O96" t="s">
        <v>43</v>
      </c>
      <c r="P96">
        <v>91</v>
      </c>
      <c r="Q96">
        <v>3</v>
      </c>
      <c r="R96">
        <v>1</v>
      </c>
      <c r="S96" t="s">
        <v>44</v>
      </c>
      <c r="T96">
        <v>1</v>
      </c>
      <c r="U96" t="s">
        <v>101</v>
      </c>
      <c r="V96">
        <v>3907</v>
      </c>
      <c r="W96" t="s">
        <v>46</v>
      </c>
      <c r="X96">
        <v>3622</v>
      </c>
      <c r="Y96">
        <v>1</v>
      </c>
      <c r="Z96" t="s">
        <v>47</v>
      </c>
      <c r="AA96" t="s">
        <v>48</v>
      </c>
      <c r="AB96">
        <v>13</v>
      </c>
      <c r="AC96">
        <v>3</v>
      </c>
      <c r="AD96">
        <v>2</v>
      </c>
      <c r="AE96">
        <v>80</v>
      </c>
      <c r="AF96">
        <v>3</v>
      </c>
      <c r="AG96">
        <v>6</v>
      </c>
      <c r="AH96">
        <v>2</v>
      </c>
      <c r="AI96">
        <v>4</v>
      </c>
      <c r="AJ96">
        <v>6</v>
      </c>
      <c r="AK96">
        <v>2</v>
      </c>
      <c r="AL96">
        <v>1</v>
      </c>
    </row>
    <row r="97" spans="1:38" x14ac:dyDescent="0.3">
      <c r="A97" t="s">
        <v>158</v>
      </c>
      <c r="B97">
        <v>24</v>
      </c>
      <c r="C97" t="s">
        <v>38</v>
      </c>
      <c r="D97" t="s">
        <v>48</v>
      </c>
      <c r="E97">
        <f t="shared" si="1"/>
        <v>0</v>
      </c>
      <c r="F97" t="s">
        <v>55</v>
      </c>
      <c r="G97">
        <v>897</v>
      </c>
      <c r="H97" t="s">
        <v>70</v>
      </c>
      <c r="I97">
        <v>10</v>
      </c>
      <c r="J97">
        <v>3</v>
      </c>
      <c r="K97" t="s">
        <v>51</v>
      </c>
      <c r="L97">
        <v>1</v>
      </c>
      <c r="M97">
        <v>1746</v>
      </c>
      <c r="N97">
        <v>1</v>
      </c>
      <c r="O97" t="s">
        <v>43</v>
      </c>
      <c r="P97">
        <v>59</v>
      </c>
      <c r="Q97">
        <v>3</v>
      </c>
      <c r="R97">
        <v>1</v>
      </c>
      <c r="S97" t="s">
        <v>70</v>
      </c>
      <c r="T97">
        <v>4</v>
      </c>
      <c r="U97" t="s">
        <v>104</v>
      </c>
      <c r="V97">
        <v>2145</v>
      </c>
      <c r="W97" t="s">
        <v>46</v>
      </c>
      <c r="X97">
        <v>2097</v>
      </c>
      <c r="Y97">
        <v>0</v>
      </c>
      <c r="Z97" t="s">
        <v>47</v>
      </c>
      <c r="AA97" t="s">
        <v>48</v>
      </c>
      <c r="AB97">
        <v>14</v>
      </c>
      <c r="AC97">
        <v>3</v>
      </c>
      <c r="AD97">
        <v>4</v>
      </c>
      <c r="AE97">
        <v>80</v>
      </c>
      <c r="AF97">
        <v>1</v>
      </c>
      <c r="AG97">
        <v>3</v>
      </c>
      <c r="AH97">
        <v>2</v>
      </c>
      <c r="AI97">
        <v>3</v>
      </c>
      <c r="AJ97">
        <v>2</v>
      </c>
      <c r="AK97">
        <v>2</v>
      </c>
      <c r="AL97">
        <v>2</v>
      </c>
    </row>
    <row r="98" spans="1:38" x14ac:dyDescent="0.3">
      <c r="A98" t="s">
        <v>159</v>
      </c>
      <c r="B98">
        <v>24</v>
      </c>
      <c r="C98" t="s">
        <v>38</v>
      </c>
      <c r="D98" t="s">
        <v>48</v>
      </c>
      <c r="E98">
        <f t="shared" si="1"/>
        <v>0</v>
      </c>
      <c r="F98" t="s">
        <v>40</v>
      </c>
      <c r="G98">
        <v>771</v>
      </c>
      <c r="H98" t="s">
        <v>41</v>
      </c>
      <c r="I98">
        <v>1</v>
      </c>
      <c r="J98">
        <v>2</v>
      </c>
      <c r="K98" t="s">
        <v>42</v>
      </c>
      <c r="L98">
        <v>1</v>
      </c>
      <c r="M98">
        <v>1981</v>
      </c>
      <c r="N98">
        <v>2</v>
      </c>
      <c r="O98" t="s">
        <v>43</v>
      </c>
      <c r="P98">
        <v>45</v>
      </c>
      <c r="Q98">
        <v>2</v>
      </c>
      <c r="R98">
        <v>2</v>
      </c>
      <c r="S98" t="s">
        <v>160</v>
      </c>
      <c r="T98">
        <v>3</v>
      </c>
      <c r="U98" t="s">
        <v>45</v>
      </c>
      <c r="V98">
        <v>4617</v>
      </c>
      <c r="W98" t="s">
        <v>46</v>
      </c>
      <c r="X98">
        <v>14120</v>
      </c>
      <c r="Y98">
        <v>1</v>
      </c>
      <c r="Z98" t="s">
        <v>47</v>
      </c>
      <c r="AA98" t="s">
        <v>48</v>
      </c>
      <c r="AB98">
        <v>12</v>
      </c>
      <c r="AC98">
        <v>3</v>
      </c>
      <c r="AD98">
        <v>2</v>
      </c>
      <c r="AE98">
        <v>80</v>
      </c>
      <c r="AF98">
        <v>0</v>
      </c>
      <c r="AG98">
        <v>4</v>
      </c>
      <c r="AH98">
        <v>2</v>
      </c>
      <c r="AI98">
        <v>2</v>
      </c>
      <c r="AJ98">
        <v>4</v>
      </c>
      <c r="AK98">
        <v>3</v>
      </c>
      <c r="AL98">
        <v>1</v>
      </c>
    </row>
    <row r="99" spans="1:38" x14ac:dyDescent="0.3">
      <c r="A99" t="s">
        <v>161</v>
      </c>
      <c r="B99">
        <v>25</v>
      </c>
      <c r="C99" t="s">
        <v>38</v>
      </c>
      <c r="D99" t="s">
        <v>39</v>
      </c>
      <c r="E99">
        <f t="shared" si="1"/>
        <v>1</v>
      </c>
      <c r="F99" t="s">
        <v>40</v>
      </c>
      <c r="G99">
        <v>240</v>
      </c>
      <c r="H99" t="s">
        <v>50</v>
      </c>
      <c r="I99">
        <v>5</v>
      </c>
      <c r="J99">
        <v>3</v>
      </c>
      <c r="K99" t="s">
        <v>56</v>
      </c>
      <c r="L99">
        <v>1</v>
      </c>
      <c r="M99">
        <v>142</v>
      </c>
      <c r="N99">
        <v>3</v>
      </c>
      <c r="O99" t="s">
        <v>43</v>
      </c>
      <c r="P99">
        <v>46</v>
      </c>
      <c r="Q99">
        <v>2</v>
      </c>
      <c r="R99">
        <v>2</v>
      </c>
      <c r="S99" t="s">
        <v>136</v>
      </c>
      <c r="T99">
        <v>3</v>
      </c>
      <c r="U99" t="s">
        <v>45</v>
      </c>
      <c r="V99">
        <v>5744</v>
      </c>
      <c r="W99" t="s">
        <v>162</v>
      </c>
      <c r="X99">
        <v>26959</v>
      </c>
      <c r="Y99">
        <v>1</v>
      </c>
      <c r="Z99" t="s">
        <v>47</v>
      </c>
      <c r="AA99" t="s">
        <v>39</v>
      </c>
      <c r="AB99">
        <v>11</v>
      </c>
      <c r="AC99">
        <v>3</v>
      </c>
      <c r="AD99">
        <v>4</v>
      </c>
      <c r="AE99">
        <v>80</v>
      </c>
      <c r="AF99">
        <v>0</v>
      </c>
      <c r="AG99">
        <v>6</v>
      </c>
      <c r="AH99">
        <v>1</v>
      </c>
      <c r="AI99">
        <v>3</v>
      </c>
      <c r="AJ99">
        <v>6</v>
      </c>
      <c r="AK99">
        <v>4</v>
      </c>
      <c r="AL99">
        <v>0</v>
      </c>
    </row>
    <row r="100" spans="1:38" x14ac:dyDescent="0.3">
      <c r="A100" t="s">
        <v>163</v>
      </c>
      <c r="B100">
        <v>25</v>
      </c>
      <c r="C100" t="s">
        <v>38</v>
      </c>
      <c r="D100" t="s">
        <v>48</v>
      </c>
      <c r="E100">
        <f t="shared" si="1"/>
        <v>0</v>
      </c>
      <c r="F100" t="s">
        <v>40</v>
      </c>
      <c r="G100">
        <v>1280</v>
      </c>
      <c r="H100" t="s">
        <v>41</v>
      </c>
      <c r="I100">
        <v>7</v>
      </c>
      <c r="J100">
        <v>1</v>
      </c>
      <c r="K100" t="s">
        <v>51</v>
      </c>
      <c r="L100">
        <v>1</v>
      </c>
      <c r="M100">
        <v>143</v>
      </c>
      <c r="N100">
        <v>4</v>
      </c>
      <c r="O100" t="s">
        <v>43</v>
      </c>
      <c r="P100">
        <v>64</v>
      </c>
      <c r="Q100">
        <v>2</v>
      </c>
      <c r="R100">
        <v>1</v>
      </c>
      <c r="S100" t="s">
        <v>59</v>
      </c>
      <c r="T100">
        <v>4</v>
      </c>
      <c r="U100" t="s">
        <v>104</v>
      </c>
      <c r="V100">
        <v>2889</v>
      </c>
      <c r="W100" t="s">
        <v>46</v>
      </c>
      <c r="X100">
        <v>26897</v>
      </c>
      <c r="Y100">
        <v>1</v>
      </c>
      <c r="Z100" t="s">
        <v>47</v>
      </c>
      <c r="AA100" t="s">
        <v>48</v>
      </c>
      <c r="AB100">
        <v>11</v>
      </c>
      <c r="AC100">
        <v>3</v>
      </c>
      <c r="AD100">
        <v>3</v>
      </c>
      <c r="AE100">
        <v>80</v>
      </c>
      <c r="AF100">
        <v>2</v>
      </c>
      <c r="AG100">
        <v>2</v>
      </c>
      <c r="AH100">
        <v>2</v>
      </c>
      <c r="AI100">
        <v>3</v>
      </c>
      <c r="AJ100">
        <v>2</v>
      </c>
      <c r="AK100">
        <v>2</v>
      </c>
      <c r="AL100">
        <v>2</v>
      </c>
    </row>
    <row r="101" spans="1:38" x14ac:dyDescent="0.3">
      <c r="A101" t="s">
        <v>164</v>
      </c>
      <c r="B101">
        <v>25</v>
      </c>
      <c r="C101" t="s">
        <v>38</v>
      </c>
      <c r="D101" t="s">
        <v>48</v>
      </c>
      <c r="E101">
        <f t="shared" si="1"/>
        <v>0</v>
      </c>
      <c r="F101" t="s">
        <v>40</v>
      </c>
      <c r="G101">
        <v>959</v>
      </c>
      <c r="H101" t="s">
        <v>50</v>
      </c>
      <c r="I101">
        <v>28</v>
      </c>
      <c r="J101">
        <v>3</v>
      </c>
      <c r="K101" t="s">
        <v>42</v>
      </c>
      <c r="L101">
        <v>1</v>
      </c>
      <c r="M101">
        <v>183</v>
      </c>
      <c r="N101">
        <v>1</v>
      </c>
      <c r="O101" t="s">
        <v>43</v>
      </c>
      <c r="P101">
        <v>41</v>
      </c>
      <c r="Q101">
        <v>2</v>
      </c>
      <c r="R101">
        <v>2</v>
      </c>
      <c r="S101" t="s">
        <v>136</v>
      </c>
      <c r="T101">
        <v>3</v>
      </c>
      <c r="U101" t="s">
        <v>104</v>
      </c>
      <c r="V101">
        <v>8639</v>
      </c>
      <c r="W101" t="s">
        <v>162</v>
      </c>
      <c r="X101">
        <v>24835</v>
      </c>
      <c r="Y101">
        <v>2</v>
      </c>
      <c r="Z101" t="s">
        <v>47</v>
      </c>
      <c r="AA101" t="s">
        <v>48</v>
      </c>
      <c r="AB101">
        <v>18</v>
      </c>
      <c r="AC101">
        <v>3</v>
      </c>
      <c r="AD101">
        <v>4</v>
      </c>
      <c r="AE101">
        <v>80</v>
      </c>
      <c r="AF101">
        <v>0</v>
      </c>
      <c r="AG101">
        <v>6</v>
      </c>
      <c r="AH101">
        <v>3</v>
      </c>
      <c r="AI101">
        <v>3</v>
      </c>
      <c r="AJ101">
        <v>2</v>
      </c>
      <c r="AK101">
        <v>2</v>
      </c>
      <c r="AL101">
        <v>2</v>
      </c>
    </row>
    <row r="102" spans="1:38" x14ac:dyDescent="0.3">
      <c r="A102" t="s">
        <v>165</v>
      </c>
      <c r="B102">
        <v>25</v>
      </c>
      <c r="C102" t="s">
        <v>38</v>
      </c>
      <c r="D102" t="s">
        <v>48</v>
      </c>
      <c r="E102">
        <f t="shared" si="1"/>
        <v>0</v>
      </c>
      <c r="F102" t="s">
        <v>40</v>
      </c>
      <c r="G102">
        <v>685</v>
      </c>
      <c r="H102" t="s">
        <v>41</v>
      </c>
      <c r="I102">
        <v>1</v>
      </c>
      <c r="J102">
        <v>3</v>
      </c>
      <c r="K102" t="s">
        <v>42</v>
      </c>
      <c r="L102">
        <v>1</v>
      </c>
      <c r="M102">
        <v>350</v>
      </c>
      <c r="N102">
        <v>1</v>
      </c>
      <c r="O102" t="s">
        <v>52</v>
      </c>
      <c r="P102">
        <v>62</v>
      </c>
      <c r="Q102">
        <v>3</v>
      </c>
      <c r="R102">
        <v>2</v>
      </c>
      <c r="S102" t="s">
        <v>111</v>
      </c>
      <c r="T102">
        <v>3</v>
      </c>
      <c r="U102" t="s">
        <v>104</v>
      </c>
      <c r="V102">
        <v>4898</v>
      </c>
      <c r="W102" t="s">
        <v>46</v>
      </c>
      <c r="X102">
        <v>7505</v>
      </c>
      <c r="Y102">
        <v>0</v>
      </c>
      <c r="Z102" t="s">
        <v>47</v>
      </c>
      <c r="AA102" t="s">
        <v>48</v>
      </c>
      <c r="AB102">
        <v>12</v>
      </c>
      <c r="AC102">
        <v>3</v>
      </c>
      <c r="AD102">
        <v>4</v>
      </c>
      <c r="AE102">
        <v>80</v>
      </c>
      <c r="AF102">
        <v>2</v>
      </c>
      <c r="AG102">
        <v>5</v>
      </c>
      <c r="AH102">
        <v>3</v>
      </c>
      <c r="AI102">
        <v>3</v>
      </c>
      <c r="AJ102">
        <v>4</v>
      </c>
      <c r="AK102">
        <v>2</v>
      </c>
      <c r="AL102">
        <v>1</v>
      </c>
    </row>
    <row r="103" spans="1:38" x14ac:dyDescent="0.3">
      <c r="A103" t="s">
        <v>166</v>
      </c>
      <c r="B103">
        <v>25</v>
      </c>
      <c r="C103" t="s">
        <v>38</v>
      </c>
      <c r="D103" t="s">
        <v>48</v>
      </c>
      <c r="E103">
        <f t="shared" si="1"/>
        <v>0</v>
      </c>
      <c r="F103" t="s">
        <v>58</v>
      </c>
      <c r="G103">
        <v>675</v>
      </c>
      <c r="H103" t="s">
        <v>41</v>
      </c>
      <c r="I103">
        <v>5</v>
      </c>
      <c r="J103">
        <v>2</v>
      </c>
      <c r="K103" t="s">
        <v>42</v>
      </c>
      <c r="L103">
        <v>1</v>
      </c>
      <c r="M103">
        <v>369</v>
      </c>
      <c r="N103">
        <v>2</v>
      </c>
      <c r="O103" t="s">
        <v>43</v>
      </c>
      <c r="P103">
        <v>85</v>
      </c>
      <c r="Q103">
        <v>4</v>
      </c>
      <c r="R103">
        <v>2</v>
      </c>
      <c r="S103" t="s">
        <v>160</v>
      </c>
      <c r="T103">
        <v>1</v>
      </c>
      <c r="U103" t="s">
        <v>101</v>
      </c>
      <c r="V103">
        <v>4000</v>
      </c>
      <c r="W103" t="s">
        <v>46</v>
      </c>
      <c r="X103">
        <v>18384</v>
      </c>
      <c r="Y103">
        <v>1</v>
      </c>
      <c r="Z103" t="s">
        <v>47</v>
      </c>
      <c r="AA103" t="s">
        <v>48</v>
      </c>
      <c r="AB103">
        <v>12</v>
      </c>
      <c r="AC103">
        <v>3</v>
      </c>
      <c r="AD103">
        <v>4</v>
      </c>
      <c r="AE103">
        <v>80</v>
      </c>
      <c r="AF103">
        <v>2</v>
      </c>
      <c r="AG103">
        <v>6</v>
      </c>
      <c r="AH103">
        <v>2</v>
      </c>
      <c r="AI103">
        <v>3</v>
      </c>
      <c r="AJ103">
        <v>6</v>
      </c>
      <c r="AK103">
        <v>3</v>
      </c>
      <c r="AL103">
        <v>1</v>
      </c>
    </row>
    <row r="104" spans="1:38" x14ac:dyDescent="0.3">
      <c r="A104" t="s">
        <v>167</v>
      </c>
      <c r="B104">
        <v>25</v>
      </c>
      <c r="C104" t="s">
        <v>38</v>
      </c>
      <c r="D104" t="s">
        <v>48</v>
      </c>
      <c r="E104">
        <f t="shared" si="1"/>
        <v>0</v>
      </c>
      <c r="F104" t="s">
        <v>40</v>
      </c>
      <c r="G104">
        <v>891</v>
      </c>
      <c r="H104" t="s">
        <v>50</v>
      </c>
      <c r="I104">
        <v>4</v>
      </c>
      <c r="J104">
        <v>2</v>
      </c>
      <c r="K104" t="s">
        <v>42</v>
      </c>
      <c r="L104">
        <v>1</v>
      </c>
      <c r="M104">
        <v>527</v>
      </c>
      <c r="N104">
        <v>2</v>
      </c>
      <c r="O104" t="s">
        <v>52</v>
      </c>
      <c r="P104">
        <v>99</v>
      </c>
      <c r="Q104">
        <v>2</v>
      </c>
      <c r="R104">
        <v>2</v>
      </c>
      <c r="S104" t="s">
        <v>136</v>
      </c>
      <c r="T104">
        <v>4</v>
      </c>
      <c r="U104" t="s">
        <v>45</v>
      </c>
      <c r="V104">
        <v>4487</v>
      </c>
      <c r="W104" t="s">
        <v>46</v>
      </c>
      <c r="X104">
        <v>12090</v>
      </c>
      <c r="Y104">
        <v>1</v>
      </c>
      <c r="Z104" t="s">
        <v>47</v>
      </c>
      <c r="AA104" t="s">
        <v>39</v>
      </c>
      <c r="AB104">
        <v>11</v>
      </c>
      <c r="AC104">
        <v>3</v>
      </c>
      <c r="AD104">
        <v>2</v>
      </c>
      <c r="AE104">
        <v>80</v>
      </c>
      <c r="AF104">
        <v>0</v>
      </c>
      <c r="AG104">
        <v>5</v>
      </c>
      <c r="AH104">
        <v>3</v>
      </c>
      <c r="AI104">
        <v>3</v>
      </c>
      <c r="AJ104">
        <v>5</v>
      </c>
      <c r="AK104">
        <v>4</v>
      </c>
      <c r="AL104">
        <v>1</v>
      </c>
    </row>
    <row r="105" spans="1:38" x14ac:dyDescent="0.3">
      <c r="A105" t="s">
        <v>168</v>
      </c>
      <c r="B105">
        <v>25</v>
      </c>
      <c r="C105" t="s">
        <v>38</v>
      </c>
      <c r="D105" t="s">
        <v>39</v>
      </c>
      <c r="E105">
        <f t="shared" si="1"/>
        <v>1</v>
      </c>
      <c r="F105" t="s">
        <v>40</v>
      </c>
      <c r="G105">
        <v>688</v>
      </c>
      <c r="H105" t="s">
        <v>41</v>
      </c>
      <c r="I105">
        <v>3</v>
      </c>
      <c r="J105">
        <v>3</v>
      </c>
      <c r="K105" t="s">
        <v>51</v>
      </c>
      <c r="L105">
        <v>1</v>
      </c>
      <c r="M105">
        <v>538</v>
      </c>
      <c r="N105">
        <v>1</v>
      </c>
      <c r="O105" t="s">
        <v>43</v>
      </c>
      <c r="P105">
        <v>91</v>
      </c>
      <c r="Q105">
        <v>3</v>
      </c>
      <c r="R105">
        <v>1</v>
      </c>
      <c r="S105" t="s">
        <v>44</v>
      </c>
      <c r="T105">
        <v>1</v>
      </c>
      <c r="U105" t="s">
        <v>104</v>
      </c>
      <c r="V105">
        <v>4031</v>
      </c>
      <c r="W105" t="s">
        <v>46</v>
      </c>
      <c r="X105">
        <v>9396</v>
      </c>
      <c r="Y105">
        <v>5</v>
      </c>
      <c r="Z105" t="s">
        <v>47</v>
      </c>
      <c r="AA105" t="s">
        <v>48</v>
      </c>
      <c r="AB105">
        <v>13</v>
      </c>
      <c r="AC105">
        <v>3</v>
      </c>
      <c r="AD105">
        <v>3</v>
      </c>
      <c r="AE105">
        <v>80</v>
      </c>
      <c r="AF105">
        <v>1</v>
      </c>
      <c r="AG105">
        <v>6</v>
      </c>
      <c r="AH105">
        <v>5</v>
      </c>
      <c r="AI105">
        <v>3</v>
      </c>
      <c r="AJ105">
        <v>2</v>
      </c>
      <c r="AK105">
        <v>2</v>
      </c>
      <c r="AL105">
        <v>0</v>
      </c>
    </row>
    <row r="106" spans="1:38" x14ac:dyDescent="0.3">
      <c r="A106" t="s">
        <v>169</v>
      </c>
      <c r="B106">
        <v>25</v>
      </c>
      <c r="C106" t="s">
        <v>38</v>
      </c>
      <c r="D106" t="s">
        <v>48</v>
      </c>
      <c r="E106">
        <f t="shared" si="1"/>
        <v>0</v>
      </c>
      <c r="F106" t="s">
        <v>40</v>
      </c>
      <c r="G106">
        <v>622</v>
      </c>
      <c r="H106" t="s">
        <v>50</v>
      </c>
      <c r="I106">
        <v>13</v>
      </c>
      <c r="J106">
        <v>1</v>
      </c>
      <c r="K106" t="s">
        <v>51</v>
      </c>
      <c r="L106">
        <v>1</v>
      </c>
      <c r="M106">
        <v>645</v>
      </c>
      <c r="N106">
        <v>2</v>
      </c>
      <c r="O106" t="s">
        <v>43</v>
      </c>
      <c r="P106">
        <v>40</v>
      </c>
      <c r="Q106">
        <v>3</v>
      </c>
      <c r="R106">
        <v>1</v>
      </c>
      <c r="S106" t="s">
        <v>53</v>
      </c>
      <c r="T106">
        <v>3</v>
      </c>
      <c r="U106" t="s">
        <v>104</v>
      </c>
      <c r="V106">
        <v>2096</v>
      </c>
      <c r="W106" t="s">
        <v>46</v>
      </c>
      <c r="X106">
        <v>26376</v>
      </c>
      <c r="Y106">
        <v>1</v>
      </c>
      <c r="Z106" t="s">
        <v>47</v>
      </c>
      <c r="AA106" t="s">
        <v>48</v>
      </c>
      <c r="AB106">
        <v>11</v>
      </c>
      <c r="AC106">
        <v>3</v>
      </c>
      <c r="AD106">
        <v>3</v>
      </c>
      <c r="AE106">
        <v>80</v>
      </c>
      <c r="AF106">
        <v>0</v>
      </c>
      <c r="AG106">
        <v>7</v>
      </c>
      <c r="AH106">
        <v>1</v>
      </c>
      <c r="AI106">
        <v>3</v>
      </c>
      <c r="AJ106">
        <v>7</v>
      </c>
      <c r="AK106">
        <v>4</v>
      </c>
      <c r="AL106">
        <v>0</v>
      </c>
    </row>
    <row r="107" spans="1:38" x14ac:dyDescent="0.3">
      <c r="A107" t="s">
        <v>170</v>
      </c>
      <c r="B107">
        <v>25</v>
      </c>
      <c r="C107" t="s">
        <v>38</v>
      </c>
      <c r="D107" t="s">
        <v>48</v>
      </c>
      <c r="E107">
        <f t="shared" si="1"/>
        <v>0</v>
      </c>
      <c r="F107" t="s">
        <v>40</v>
      </c>
      <c r="G107">
        <v>810</v>
      </c>
      <c r="H107" t="s">
        <v>50</v>
      </c>
      <c r="I107">
        <v>8</v>
      </c>
      <c r="J107">
        <v>3</v>
      </c>
      <c r="K107" t="s">
        <v>42</v>
      </c>
      <c r="L107">
        <v>1</v>
      </c>
      <c r="M107">
        <v>707</v>
      </c>
      <c r="N107">
        <v>4</v>
      </c>
      <c r="O107" t="s">
        <v>43</v>
      </c>
      <c r="P107">
        <v>57</v>
      </c>
      <c r="Q107">
        <v>4</v>
      </c>
      <c r="R107">
        <v>2</v>
      </c>
      <c r="S107" t="s">
        <v>136</v>
      </c>
      <c r="T107">
        <v>2</v>
      </c>
      <c r="U107" t="s">
        <v>104</v>
      </c>
      <c r="V107">
        <v>4851</v>
      </c>
      <c r="W107" t="s">
        <v>46</v>
      </c>
      <c r="X107">
        <v>15678</v>
      </c>
      <c r="Y107">
        <v>0</v>
      </c>
      <c r="Z107" t="s">
        <v>47</v>
      </c>
      <c r="AA107" t="s">
        <v>48</v>
      </c>
      <c r="AB107">
        <v>22</v>
      </c>
      <c r="AC107">
        <v>4</v>
      </c>
      <c r="AD107">
        <v>3</v>
      </c>
      <c r="AE107">
        <v>80</v>
      </c>
      <c r="AF107">
        <v>1</v>
      </c>
      <c r="AG107">
        <v>4</v>
      </c>
      <c r="AH107">
        <v>4</v>
      </c>
      <c r="AI107">
        <v>3</v>
      </c>
      <c r="AJ107">
        <v>3</v>
      </c>
      <c r="AK107">
        <v>2</v>
      </c>
      <c r="AL107">
        <v>1</v>
      </c>
    </row>
    <row r="108" spans="1:38" x14ac:dyDescent="0.3">
      <c r="A108" t="s">
        <v>171</v>
      </c>
      <c r="B108">
        <v>25</v>
      </c>
      <c r="C108" t="s">
        <v>38</v>
      </c>
      <c r="D108" t="s">
        <v>48</v>
      </c>
      <c r="E108">
        <f t="shared" si="1"/>
        <v>0</v>
      </c>
      <c r="F108" t="s">
        <v>40</v>
      </c>
      <c r="G108">
        <v>883</v>
      </c>
      <c r="H108" t="s">
        <v>50</v>
      </c>
      <c r="I108">
        <v>26</v>
      </c>
      <c r="J108">
        <v>1</v>
      </c>
      <c r="K108" t="s">
        <v>51</v>
      </c>
      <c r="L108">
        <v>1</v>
      </c>
      <c r="M108">
        <v>781</v>
      </c>
      <c r="N108">
        <v>3</v>
      </c>
      <c r="O108" t="s">
        <v>52</v>
      </c>
      <c r="P108">
        <v>32</v>
      </c>
      <c r="Q108">
        <v>3</v>
      </c>
      <c r="R108">
        <v>2</v>
      </c>
      <c r="S108" t="s">
        <v>136</v>
      </c>
      <c r="T108">
        <v>4</v>
      </c>
      <c r="U108" t="s">
        <v>45</v>
      </c>
      <c r="V108">
        <v>6180</v>
      </c>
      <c r="W108" t="s">
        <v>162</v>
      </c>
      <c r="X108">
        <v>22807</v>
      </c>
      <c r="Y108">
        <v>1</v>
      </c>
      <c r="Z108" t="s">
        <v>47</v>
      </c>
      <c r="AA108" t="s">
        <v>48</v>
      </c>
      <c r="AB108">
        <v>23</v>
      </c>
      <c r="AC108">
        <v>4</v>
      </c>
      <c r="AD108">
        <v>2</v>
      </c>
      <c r="AE108">
        <v>80</v>
      </c>
      <c r="AF108">
        <v>0</v>
      </c>
      <c r="AG108">
        <v>6</v>
      </c>
      <c r="AH108">
        <v>5</v>
      </c>
      <c r="AI108">
        <v>2</v>
      </c>
      <c r="AJ108">
        <v>6</v>
      </c>
      <c r="AK108">
        <v>5</v>
      </c>
      <c r="AL108">
        <v>1</v>
      </c>
    </row>
    <row r="109" spans="1:38" x14ac:dyDescent="0.3">
      <c r="A109" t="s">
        <v>172</v>
      </c>
      <c r="B109">
        <v>25</v>
      </c>
      <c r="C109" t="s">
        <v>38</v>
      </c>
      <c r="D109" t="s">
        <v>48</v>
      </c>
      <c r="E109">
        <f t="shared" si="1"/>
        <v>0</v>
      </c>
      <c r="F109" t="s">
        <v>40</v>
      </c>
      <c r="G109">
        <v>180</v>
      </c>
      <c r="H109" t="s">
        <v>41</v>
      </c>
      <c r="I109">
        <v>2</v>
      </c>
      <c r="J109">
        <v>1</v>
      </c>
      <c r="K109" t="s">
        <v>51</v>
      </c>
      <c r="L109">
        <v>1</v>
      </c>
      <c r="M109">
        <v>854</v>
      </c>
      <c r="N109">
        <v>1</v>
      </c>
      <c r="O109" t="s">
        <v>43</v>
      </c>
      <c r="P109">
        <v>65</v>
      </c>
      <c r="Q109">
        <v>4</v>
      </c>
      <c r="R109">
        <v>1</v>
      </c>
      <c r="S109" t="s">
        <v>59</v>
      </c>
      <c r="T109">
        <v>1</v>
      </c>
      <c r="U109" t="s">
        <v>45</v>
      </c>
      <c r="V109">
        <v>3424</v>
      </c>
      <c r="W109" t="s">
        <v>46</v>
      </c>
      <c r="X109">
        <v>21632</v>
      </c>
      <c r="Y109">
        <v>7</v>
      </c>
      <c r="Z109" t="s">
        <v>47</v>
      </c>
      <c r="AA109" t="s">
        <v>48</v>
      </c>
      <c r="AB109">
        <v>13</v>
      </c>
      <c r="AC109">
        <v>3</v>
      </c>
      <c r="AD109">
        <v>3</v>
      </c>
      <c r="AE109">
        <v>80</v>
      </c>
      <c r="AF109">
        <v>0</v>
      </c>
      <c r="AG109">
        <v>6</v>
      </c>
      <c r="AH109">
        <v>3</v>
      </c>
      <c r="AI109">
        <v>2</v>
      </c>
      <c r="AJ109">
        <v>4</v>
      </c>
      <c r="AK109">
        <v>3</v>
      </c>
      <c r="AL109">
        <v>0</v>
      </c>
    </row>
    <row r="110" spans="1:38" x14ac:dyDescent="0.3">
      <c r="A110" t="s">
        <v>173</v>
      </c>
      <c r="B110">
        <v>25</v>
      </c>
      <c r="C110" t="s">
        <v>38</v>
      </c>
      <c r="D110" t="s">
        <v>48</v>
      </c>
      <c r="E110">
        <f t="shared" si="1"/>
        <v>0</v>
      </c>
      <c r="F110" t="s">
        <v>40</v>
      </c>
      <c r="G110">
        <v>141</v>
      </c>
      <c r="H110" t="s">
        <v>50</v>
      </c>
      <c r="I110">
        <v>3</v>
      </c>
      <c r="J110">
        <v>1</v>
      </c>
      <c r="K110" t="s">
        <v>72</v>
      </c>
      <c r="L110">
        <v>1</v>
      </c>
      <c r="M110">
        <v>879</v>
      </c>
      <c r="N110">
        <v>3</v>
      </c>
      <c r="O110" t="s">
        <v>43</v>
      </c>
      <c r="P110">
        <v>98</v>
      </c>
      <c r="Q110">
        <v>3</v>
      </c>
      <c r="R110">
        <v>2</v>
      </c>
      <c r="S110" t="s">
        <v>136</v>
      </c>
      <c r="T110">
        <v>1</v>
      </c>
      <c r="U110" t="s">
        <v>104</v>
      </c>
      <c r="V110">
        <v>4194</v>
      </c>
      <c r="W110" t="s">
        <v>46</v>
      </c>
      <c r="X110">
        <v>14363</v>
      </c>
      <c r="Y110">
        <v>1</v>
      </c>
      <c r="Z110" t="s">
        <v>47</v>
      </c>
      <c r="AA110" t="s">
        <v>39</v>
      </c>
      <c r="AB110">
        <v>18</v>
      </c>
      <c r="AC110">
        <v>3</v>
      </c>
      <c r="AD110">
        <v>4</v>
      </c>
      <c r="AE110">
        <v>80</v>
      </c>
      <c r="AF110">
        <v>0</v>
      </c>
      <c r="AG110">
        <v>5</v>
      </c>
      <c r="AH110">
        <v>3</v>
      </c>
      <c r="AI110">
        <v>3</v>
      </c>
      <c r="AJ110">
        <v>5</v>
      </c>
      <c r="AK110">
        <v>3</v>
      </c>
      <c r="AL110">
        <v>0</v>
      </c>
    </row>
    <row r="111" spans="1:38" x14ac:dyDescent="0.3">
      <c r="A111" t="s">
        <v>174</v>
      </c>
      <c r="B111">
        <v>25</v>
      </c>
      <c r="C111" t="s">
        <v>38</v>
      </c>
      <c r="D111" t="s">
        <v>48</v>
      </c>
      <c r="E111">
        <f t="shared" si="1"/>
        <v>0</v>
      </c>
      <c r="F111" t="s">
        <v>40</v>
      </c>
      <c r="G111">
        <v>583</v>
      </c>
      <c r="H111" t="s">
        <v>50</v>
      </c>
      <c r="I111">
        <v>4</v>
      </c>
      <c r="J111">
        <v>1</v>
      </c>
      <c r="K111" t="s">
        <v>56</v>
      </c>
      <c r="L111">
        <v>1</v>
      </c>
      <c r="M111">
        <v>885</v>
      </c>
      <c r="N111">
        <v>3</v>
      </c>
      <c r="O111" t="s">
        <v>43</v>
      </c>
      <c r="P111">
        <v>87</v>
      </c>
      <c r="Q111">
        <v>2</v>
      </c>
      <c r="R111">
        <v>2</v>
      </c>
      <c r="S111" t="s">
        <v>136</v>
      </c>
      <c r="T111">
        <v>1</v>
      </c>
      <c r="U111" t="s">
        <v>104</v>
      </c>
      <c r="V111">
        <v>4256</v>
      </c>
      <c r="W111" t="s">
        <v>46</v>
      </c>
      <c r="X111">
        <v>18154</v>
      </c>
      <c r="Y111">
        <v>1</v>
      </c>
      <c r="Z111" t="s">
        <v>47</v>
      </c>
      <c r="AA111" t="s">
        <v>48</v>
      </c>
      <c r="AB111">
        <v>12</v>
      </c>
      <c r="AC111">
        <v>3</v>
      </c>
      <c r="AD111">
        <v>1</v>
      </c>
      <c r="AE111">
        <v>80</v>
      </c>
      <c r="AF111">
        <v>0</v>
      </c>
      <c r="AG111">
        <v>5</v>
      </c>
      <c r="AH111">
        <v>1</v>
      </c>
      <c r="AI111">
        <v>4</v>
      </c>
      <c r="AJ111">
        <v>5</v>
      </c>
      <c r="AK111">
        <v>2</v>
      </c>
      <c r="AL111">
        <v>0</v>
      </c>
    </row>
    <row r="112" spans="1:38" x14ac:dyDescent="0.3">
      <c r="A112" t="s">
        <v>175</v>
      </c>
      <c r="B112">
        <v>25</v>
      </c>
      <c r="C112" t="s">
        <v>38</v>
      </c>
      <c r="D112" t="s">
        <v>39</v>
      </c>
      <c r="E112">
        <f t="shared" si="1"/>
        <v>1</v>
      </c>
      <c r="F112" t="s">
        <v>40</v>
      </c>
      <c r="G112">
        <v>867</v>
      </c>
      <c r="H112" t="s">
        <v>50</v>
      </c>
      <c r="I112">
        <v>19</v>
      </c>
      <c r="J112">
        <v>2</v>
      </c>
      <c r="K112" t="s">
        <v>56</v>
      </c>
      <c r="L112">
        <v>1</v>
      </c>
      <c r="M112">
        <v>952</v>
      </c>
      <c r="N112">
        <v>3</v>
      </c>
      <c r="O112" t="s">
        <v>43</v>
      </c>
      <c r="P112">
        <v>36</v>
      </c>
      <c r="Q112">
        <v>2</v>
      </c>
      <c r="R112">
        <v>1</v>
      </c>
      <c r="S112" t="s">
        <v>53</v>
      </c>
      <c r="T112">
        <v>2</v>
      </c>
      <c r="U112" t="s">
        <v>104</v>
      </c>
      <c r="V112">
        <v>2413</v>
      </c>
      <c r="W112" t="s">
        <v>46</v>
      </c>
      <c r="X112">
        <v>18798</v>
      </c>
      <c r="Y112">
        <v>1</v>
      </c>
      <c r="Z112" t="s">
        <v>47</v>
      </c>
      <c r="AA112" t="s">
        <v>39</v>
      </c>
      <c r="AB112">
        <v>18</v>
      </c>
      <c r="AC112">
        <v>3</v>
      </c>
      <c r="AD112">
        <v>3</v>
      </c>
      <c r="AE112">
        <v>80</v>
      </c>
      <c r="AF112">
        <v>3</v>
      </c>
      <c r="AG112">
        <v>1</v>
      </c>
      <c r="AH112">
        <v>2</v>
      </c>
      <c r="AI112">
        <v>3</v>
      </c>
      <c r="AJ112">
        <v>1</v>
      </c>
      <c r="AK112">
        <v>0</v>
      </c>
      <c r="AL112">
        <v>0</v>
      </c>
    </row>
    <row r="113" spans="1:38" x14ac:dyDescent="0.3">
      <c r="A113" t="s">
        <v>176</v>
      </c>
      <c r="B113">
        <v>25</v>
      </c>
      <c r="C113" t="s">
        <v>38</v>
      </c>
      <c r="D113" t="s">
        <v>39</v>
      </c>
      <c r="E113">
        <f t="shared" si="1"/>
        <v>1</v>
      </c>
      <c r="F113" t="s">
        <v>40</v>
      </c>
      <c r="G113">
        <v>1219</v>
      </c>
      <c r="H113" t="s">
        <v>41</v>
      </c>
      <c r="I113">
        <v>4</v>
      </c>
      <c r="J113">
        <v>1</v>
      </c>
      <c r="K113" t="s">
        <v>67</v>
      </c>
      <c r="L113">
        <v>1</v>
      </c>
      <c r="M113">
        <v>1106</v>
      </c>
      <c r="N113">
        <v>4</v>
      </c>
      <c r="O113" t="s">
        <v>43</v>
      </c>
      <c r="P113">
        <v>32</v>
      </c>
      <c r="Q113">
        <v>3</v>
      </c>
      <c r="R113">
        <v>1</v>
      </c>
      <c r="S113" t="s">
        <v>44</v>
      </c>
      <c r="T113">
        <v>4</v>
      </c>
      <c r="U113" t="s">
        <v>104</v>
      </c>
      <c r="V113">
        <v>3691</v>
      </c>
      <c r="W113" t="s">
        <v>46</v>
      </c>
      <c r="X113">
        <v>4605</v>
      </c>
      <c r="Y113">
        <v>1</v>
      </c>
      <c r="Z113" t="s">
        <v>47</v>
      </c>
      <c r="AA113" t="s">
        <v>39</v>
      </c>
      <c r="AB113">
        <v>15</v>
      </c>
      <c r="AC113">
        <v>3</v>
      </c>
      <c r="AD113">
        <v>2</v>
      </c>
      <c r="AE113">
        <v>80</v>
      </c>
      <c r="AF113">
        <v>1</v>
      </c>
      <c r="AG113">
        <v>7</v>
      </c>
      <c r="AH113">
        <v>3</v>
      </c>
      <c r="AI113">
        <v>4</v>
      </c>
      <c r="AJ113">
        <v>7</v>
      </c>
      <c r="AK113">
        <v>7</v>
      </c>
      <c r="AL113">
        <v>5</v>
      </c>
    </row>
    <row r="114" spans="1:38" x14ac:dyDescent="0.3">
      <c r="A114" t="s">
        <v>177</v>
      </c>
      <c r="B114">
        <v>25</v>
      </c>
      <c r="C114" t="s">
        <v>38</v>
      </c>
      <c r="D114" t="s">
        <v>48</v>
      </c>
      <c r="E114">
        <f t="shared" si="1"/>
        <v>0</v>
      </c>
      <c r="F114" t="s">
        <v>40</v>
      </c>
      <c r="G114">
        <v>1356</v>
      </c>
      <c r="H114" t="s">
        <v>50</v>
      </c>
      <c r="I114">
        <v>10</v>
      </c>
      <c r="J114">
        <v>4</v>
      </c>
      <c r="K114" t="s">
        <v>42</v>
      </c>
      <c r="L114">
        <v>1</v>
      </c>
      <c r="M114">
        <v>1240</v>
      </c>
      <c r="N114">
        <v>3</v>
      </c>
      <c r="O114" t="s">
        <v>43</v>
      </c>
      <c r="P114">
        <v>57</v>
      </c>
      <c r="Q114">
        <v>3</v>
      </c>
      <c r="R114">
        <v>2</v>
      </c>
      <c r="S114" t="s">
        <v>136</v>
      </c>
      <c r="T114">
        <v>4</v>
      </c>
      <c r="U114" t="s">
        <v>45</v>
      </c>
      <c r="V114">
        <v>4950</v>
      </c>
      <c r="W114" t="s">
        <v>46</v>
      </c>
      <c r="X114">
        <v>20623</v>
      </c>
      <c r="Y114">
        <v>0</v>
      </c>
      <c r="Z114" t="s">
        <v>47</v>
      </c>
      <c r="AA114" t="s">
        <v>48</v>
      </c>
      <c r="AB114">
        <v>14</v>
      </c>
      <c r="AC114">
        <v>3</v>
      </c>
      <c r="AD114">
        <v>2</v>
      </c>
      <c r="AE114">
        <v>80</v>
      </c>
      <c r="AF114">
        <v>0</v>
      </c>
      <c r="AG114">
        <v>5</v>
      </c>
      <c r="AH114">
        <v>4</v>
      </c>
      <c r="AI114">
        <v>3</v>
      </c>
      <c r="AJ114">
        <v>4</v>
      </c>
      <c r="AK114">
        <v>3</v>
      </c>
      <c r="AL114">
        <v>1</v>
      </c>
    </row>
    <row r="115" spans="1:38" x14ac:dyDescent="0.3">
      <c r="A115" t="s">
        <v>178</v>
      </c>
      <c r="B115">
        <v>25</v>
      </c>
      <c r="C115" t="s">
        <v>38</v>
      </c>
      <c r="D115" t="s">
        <v>39</v>
      </c>
      <c r="E115">
        <f t="shared" si="1"/>
        <v>1</v>
      </c>
      <c r="F115" t="s">
        <v>55</v>
      </c>
      <c r="G115">
        <v>599</v>
      </c>
      <c r="H115" t="s">
        <v>50</v>
      </c>
      <c r="I115">
        <v>24</v>
      </c>
      <c r="J115">
        <v>1</v>
      </c>
      <c r="K115" t="s">
        <v>42</v>
      </c>
      <c r="L115">
        <v>1</v>
      </c>
      <c r="M115">
        <v>1273</v>
      </c>
      <c r="N115">
        <v>3</v>
      </c>
      <c r="O115" t="s">
        <v>43</v>
      </c>
      <c r="P115">
        <v>73</v>
      </c>
      <c r="Q115">
        <v>1</v>
      </c>
      <c r="R115">
        <v>1</v>
      </c>
      <c r="S115" t="s">
        <v>53</v>
      </c>
      <c r="T115">
        <v>4</v>
      </c>
      <c r="U115" t="s">
        <v>45</v>
      </c>
      <c r="V115">
        <v>1118</v>
      </c>
      <c r="W115" t="s">
        <v>46</v>
      </c>
      <c r="X115">
        <v>8040</v>
      </c>
      <c r="Y115">
        <v>1</v>
      </c>
      <c r="Z115" t="s">
        <v>47</v>
      </c>
      <c r="AA115" t="s">
        <v>39</v>
      </c>
      <c r="AB115">
        <v>14</v>
      </c>
      <c r="AC115">
        <v>3</v>
      </c>
      <c r="AD115">
        <v>4</v>
      </c>
      <c r="AE115">
        <v>80</v>
      </c>
      <c r="AF115">
        <v>0</v>
      </c>
      <c r="AG115">
        <v>1</v>
      </c>
      <c r="AH115">
        <v>4</v>
      </c>
      <c r="AI115">
        <v>3</v>
      </c>
      <c r="AJ115">
        <v>1</v>
      </c>
      <c r="AK115">
        <v>0</v>
      </c>
      <c r="AL115">
        <v>1</v>
      </c>
    </row>
    <row r="116" spans="1:38" x14ac:dyDescent="0.3">
      <c r="A116" t="s">
        <v>179</v>
      </c>
      <c r="B116">
        <v>25</v>
      </c>
      <c r="C116" t="s">
        <v>38</v>
      </c>
      <c r="D116" t="s">
        <v>48</v>
      </c>
      <c r="E116">
        <f t="shared" si="1"/>
        <v>0</v>
      </c>
      <c r="F116" t="s">
        <v>40</v>
      </c>
      <c r="G116">
        <v>266</v>
      </c>
      <c r="H116" t="s">
        <v>41</v>
      </c>
      <c r="I116">
        <v>1</v>
      </c>
      <c r="J116">
        <v>3</v>
      </c>
      <c r="K116" t="s">
        <v>51</v>
      </c>
      <c r="L116">
        <v>1</v>
      </c>
      <c r="M116">
        <v>1303</v>
      </c>
      <c r="N116">
        <v>4</v>
      </c>
      <c r="O116" t="s">
        <v>52</v>
      </c>
      <c r="P116">
        <v>40</v>
      </c>
      <c r="Q116">
        <v>3</v>
      </c>
      <c r="R116">
        <v>1</v>
      </c>
      <c r="S116" t="s">
        <v>59</v>
      </c>
      <c r="T116">
        <v>2</v>
      </c>
      <c r="U116" t="s">
        <v>45</v>
      </c>
      <c r="V116">
        <v>2096</v>
      </c>
      <c r="W116" t="s">
        <v>46</v>
      </c>
      <c r="X116">
        <v>18830</v>
      </c>
      <c r="Y116">
        <v>1</v>
      </c>
      <c r="Z116" t="s">
        <v>47</v>
      </c>
      <c r="AA116" t="s">
        <v>48</v>
      </c>
      <c r="AB116">
        <v>18</v>
      </c>
      <c r="AC116">
        <v>3</v>
      </c>
      <c r="AD116">
        <v>4</v>
      </c>
      <c r="AE116">
        <v>80</v>
      </c>
      <c r="AF116">
        <v>0</v>
      </c>
      <c r="AG116">
        <v>2</v>
      </c>
      <c r="AH116">
        <v>3</v>
      </c>
      <c r="AI116">
        <v>2</v>
      </c>
      <c r="AJ116">
        <v>2</v>
      </c>
      <c r="AK116">
        <v>2</v>
      </c>
      <c r="AL116">
        <v>2</v>
      </c>
    </row>
    <row r="117" spans="1:38" x14ac:dyDescent="0.3">
      <c r="A117" t="s">
        <v>180</v>
      </c>
      <c r="B117">
        <v>25</v>
      </c>
      <c r="C117" t="s">
        <v>38</v>
      </c>
      <c r="D117" t="s">
        <v>48</v>
      </c>
      <c r="E117">
        <f t="shared" si="1"/>
        <v>0</v>
      </c>
      <c r="F117" t="s">
        <v>40</v>
      </c>
      <c r="G117">
        <v>882</v>
      </c>
      <c r="H117" t="s">
        <v>41</v>
      </c>
      <c r="I117">
        <v>19</v>
      </c>
      <c r="J117">
        <v>1</v>
      </c>
      <c r="K117" t="s">
        <v>51</v>
      </c>
      <c r="L117">
        <v>1</v>
      </c>
      <c r="M117">
        <v>1358</v>
      </c>
      <c r="N117">
        <v>4</v>
      </c>
      <c r="O117" t="s">
        <v>43</v>
      </c>
      <c r="P117">
        <v>67</v>
      </c>
      <c r="Q117">
        <v>3</v>
      </c>
      <c r="R117">
        <v>1</v>
      </c>
      <c r="S117" t="s">
        <v>44</v>
      </c>
      <c r="T117">
        <v>4</v>
      </c>
      <c r="U117" t="s">
        <v>104</v>
      </c>
      <c r="V117">
        <v>3669</v>
      </c>
      <c r="W117" t="s">
        <v>46</v>
      </c>
      <c r="X117">
        <v>9075</v>
      </c>
      <c r="Y117">
        <v>3</v>
      </c>
      <c r="Z117" t="s">
        <v>47</v>
      </c>
      <c r="AA117" t="s">
        <v>48</v>
      </c>
      <c r="AB117">
        <v>11</v>
      </c>
      <c r="AC117">
        <v>3</v>
      </c>
      <c r="AD117">
        <v>3</v>
      </c>
      <c r="AE117">
        <v>80</v>
      </c>
      <c r="AF117">
        <v>3</v>
      </c>
      <c r="AG117">
        <v>7</v>
      </c>
      <c r="AH117">
        <v>6</v>
      </c>
      <c r="AI117">
        <v>2</v>
      </c>
      <c r="AJ117">
        <v>3</v>
      </c>
      <c r="AK117">
        <v>2</v>
      </c>
      <c r="AL117">
        <v>1</v>
      </c>
    </row>
    <row r="118" spans="1:38" x14ac:dyDescent="0.3">
      <c r="A118" t="s">
        <v>181</v>
      </c>
      <c r="B118">
        <v>25</v>
      </c>
      <c r="C118" t="s">
        <v>38</v>
      </c>
      <c r="D118" t="s">
        <v>48</v>
      </c>
      <c r="E118">
        <f t="shared" si="1"/>
        <v>0</v>
      </c>
      <c r="F118" t="s">
        <v>40</v>
      </c>
      <c r="G118">
        <v>1372</v>
      </c>
      <c r="H118" t="s">
        <v>50</v>
      </c>
      <c r="I118">
        <v>18</v>
      </c>
      <c r="J118">
        <v>1</v>
      </c>
      <c r="K118" t="s">
        <v>42</v>
      </c>
      <c r="L118">
        <v>1</v>
      </c>
      <c r="M118">
        <v>1399</v>
      </c>
      <c r="N118">
        <v>1</v>
      </c>
      <c r="O118" t="s">
        <v>43</v>
      </c>
      <c r="P118">
        <v>93</v>
      </c>
      <c r="Q118">
        <v>4</v>
      </c>
      <c r="R118">
        <v>2</v>
      </c>
      <c r="S118" t="s">
        <v>136</v>
      </c>
      <c r="T118">
        <v>3</v>
      </c>
      <c r="U118" t="s">
        <v>104</v>
      </c>
      <c r="V118">
        <v>6232</v>
      </c>
      <c r="W118" t="s">
        <v>162</v>
      </c>
      <c r="X118">
        <v>12477</v>
      </c>
      <c r="Y118">
        <v>2</v>
      </c>
      <c r="Z118" t="s">
        <v>47</v>
      </c>
      <c r="AA118" t="s">
        <v>48</v>
      </c>
      <c r="AB118">
        <v>11</v>
      </c>
      <c r="AC118">
        <v>3</v>
      </c>
      <c r="AD118">
        <v>2</v>
      </c>
      <c r="AE118">
        <v>80</v>
      </c>
      <c r="AF118">
        <v>0</v>
      </c>
      <c r="AG118">
        <v>6</v>
      </c>
      <c r="AH118">
        <v>3</v>
      </c>
      <c r="AI118">
        <v>2</v>
      </c>
      <c r="AJ118">
        <v>3</v>
      </c>
      <c r="AK118">
        <v>2</v>
      </c>
      <c r="AL118">
        <v>1</v>
      </c>
    </row>
    <row r="119" spans="1:38" x14ac:dyDescent="0.3">
      <c r="A119" t="s">
        <v>182</v>
      </c>
      <c r="B119">
        <v>25</v>
      </c>
      <c r="C119" t="s">
        <v>38</v>
      </c>
      <c r="D119" t="s">
        <v>48</v>
      </c>
      <c r="E119">
        <f t="shared" si="1"/>
        <v>0</v>
      </c>
      <c r="F119" t="s">
        <v>40</v>
      </c>
      <c r="G119">
        <v>949</v>
      </c>
      <c r="H119" t="s">
        <v>41</v>
      </c>
      <c r="I119">
        <v>1</v>
      </c>
      <c r="J119">
        <v>3</v>
      </c>
      <c r="K119" t="s">
        <v>67</v>
      </c>
      <c r="L119">
        <v>1</v>
      </c>
      <c r="M119">
        <v>1415</v>
      </c>
      <c r="N119">
        <v>1</v>
      </c>
      <c r="O119" t="s">
        <v>43</v>
      </c>
      <c r="P119">
        <v>81</v>
      </c>
      <c r="Q119">
        <v>3</v>
      </c>
      <c r="R119">
        <v>1</v>
      </c>
      <c r="S119" t="s">
        <v>44</v>
      </c>
      <c r="T119">
        <v>4</v>
      </c>
      <c r="U119" t="s">
        <v>104</v>
      </c>
      <c r="V119">
        <v>3229</v>
      </c>
      <c r="W119" t="s">
        <v>46</v>
      </c>
      <c r="X119">
        <v>4910</v>
      </c>
      <c r="Y119">
        <v>4</v>
      </c>
      <c r="Z119" t="s">
        <v>47</v>
      </c>
      <c r="AA119" t="s">
        <v>48</v>
      </c>
      <c r="AB119">
        <v>11</v>
      </c>
      <c r="AC119">
        <v>3</v>
      </c>
      <c r="AD119">
        <v>2</v>
      </c>
      <c r="AE119">
        <v>80</v>
      </c>
      <c r="AF119">
        <v>1</v>
      </c>
      <c r="AG119">
        <v>7</v>
      </c>
      <c r="AH119">
        <v>2</v>
      </c>
      <c r="AI119">
        <v>2</v>
      </c>
      <c r="AJ119">
        <v>3</v>
      </c>
      <c r="AK119">
        <v>2</v>
      </c>
      <c r="AL119">
        <v>0</v>
      </c>
    </row>
    <row r="120" spans="1:38" x14ac:dyDescent="0.3">
      <c r="A120" t="s">
        <v>183</v>
      </c>
      <c r="B120">
        <v>25</v>
      </c>
      <c r="C120" t="s">
        <v>38</v>
      </c>
      <c r="D120" t="s">
        <v>39</v>
      </c>
      <c r="E120">
        <f t="shared" si="1"/>
        <v>1</v>
      </c>
      <c r="F120" t="s">
        <v>40</v>
      </c>
      <c r="G120">
        <v>383</v>
      </c>
      <c r="H120" t="s">
        <v>50</v>
      </c>
      <c r="I120">
        <v>9</v>
      </c>
      <c r="J120">
        <v>2</v>
      </c>
      <c r="K120" t="s">
        <v>42</v>
      </c>
      <c r="L120">
        <v>1</v>
      </c>
      <c r="M120">
        <v>1439</v>
      </c>
      <c r="N120">
        <v>1</v>
      </c>
      <c r="O120" t="s">
        <v>43</v>
      </c>
      <c r="P120">
        <v>68</v>
      </c>
      <c r="Q120">
        <v>2</v>
      </c>
      <c r="R120">
        <v>1</v>
      </c>
      <c r="S120" t="s">
        <v>53</v>
      </c>
      <c r="T120">
        <v>1</v>
      </c>
      <c r="U120" t="s">
        <v>104</v>
      </c>
      <c r="V120">
        <v>4400</v>
      </c>
      <c r="W120" t="s">
        <v>46</v>
      </c>
      <c r="X120">
        <v>15182</v>
      </c>
      <c r="Y120">
        <v>3</v>
      </c>
      <c r="Z120" t="s">
        <v>47</v>
      </c>
      <c r="AA120" t="s">
        <v>48</v>
      </c>
      <c r="AB120">
        <v>12</v>
      </c>
      <c r="AC120">
        <v>3</v>
      </c>
      <c r="AD120">
        <v>1</v>
      </c>
      <c r="AE120">
        <v>80</v>
      </c>
      <c r="AF120">
        <v>0</v>
      </c>
      <c r="AG120">
        <v>6</v>
      </c>
      <c r="AH120">
        <v>2</v>
      </c>
      <c r="AI120">
        <v>3</v>
      </c>
      <c r="AJ120">
        <v>3</v>
      </c>
      <c r="AK120">
        <v>2</v>
      </c>
      <c r="AL120">
        <v>2</v>
      </c>
    </row>
    <row r="121" spans="1:38" x14ac:dyDescent="0.3">
      <c r="A121" t="s">
        <v>184</v>
      </c>
      <c r="B121">
        <v>25</v>
      </c>
      <c r="C121" t="s">
        <v>38</v>
      </c>
      <c r="D121" t="s">
        <v>48</v>
      </c>
      <c r="E121">
        <f t="shared" si="1"/>
        <v>0</v>
      </c>
      <c r="F121" t="s">
        <v>55</v>
      </c>
      <c r="G121">
        <v>772</v>
      </c>
      <c r="H121" t="s">
        <v>41</v>
      </c>
      <c r="I121">
        <v>2</v>
      </c>
      <c r="J121">
        <v>1</v>
      </c>
      <c r="K121" t="s">
        <v>42</v>
      </c>
      <c r="L121">
        <v>1</v>
      </c>
      <c r="M121">
        <v>1653</v>
      </c>
      <c r="N121">
        <v>4</v>
      </c>
      <c r="O121" t="s">
        <v>43</v>
      </c>
      <c r="P121">
        <v>77</v>
      </c>
      <c r="Q121">
        <v>4</v>
      </c>
      <c r="R121">
        <v>2</v>
      </c>
      <c r="S121" t="s">
        <v>111</v>
      </c>
      <c r="T121">
        <v>3</v>
      </c>
      <c r="U121" t="s">
        <v>101</v>
      </c>
      <c r="V121">
        <v>5206</v>
      </c>
      <c r="W121" t="s">
        <v>162</v>
      </c>
      <c r="X121">
        <v>4973</v>
      </c>
      <c r="Y121">
        <v>1</v>
      </c>
      <c r="Z121" t="s">
        <v>47</v>
      </c>
      <c r="AA121" t="s">
        <v>48</v>
      </c>
      <c r="AB121">
        <v>17</v>
      </c>
      <c r="AC121">
        <v>3</v>
      </c>
      <c r="AD121">
        <v>3</v>
      </c>
      <c r="AE121">
        <v>80</v>
      </c>
      <c r="AF121">
        <v>2</v>
      </c>
      <c r="AG121">
        <v>7</v>
      </c>
      <c r="AH121">
        <v>6</v>
      </c>
      <c r="AI121">
        <v>3</v>
      </c>
      <c r="AJ121">
        <v>7</v>
      </c>
      <c r="AK121">
        <v>7</v>
      </c>
      <c r="AL121">
        <v>0</v>
      </c>
    </row>
    <row r="122" spans="1:38" x14ac:dyDescent="0.3">
      <c r="A122" t="s">
        <v>185</v>
      </c>
      <c r="B122">
        <v>25</v>
      </c>
      <c r="C122" t="s">
        <v>38</v>
      </c>
      <c r="D122" t="s">
        <v>48</v>
      </c>
      <c r="E122">
        <f t="shared" si="1"/>
        <v>0</v>
      </c>
      <c r="F122" t="s">
        <v>40</v>
      </c>
      <c r="G122">
        <v>309</v>
      </c>
      <c r="H122" t="s">
        <v>70</v>
      </c>
      <c r="I122">
        <v>2</v>
      </c>
      <c r="J122">
        <v>3</v>
      </c>
      <c r="K122" t="s">
        <v>70</v>
      </c>
      <c r="L122">
        <v>1</v>
      </c>
      <c r="M122">
        <v>1987</v>
      </c>
      <c r="N122">
        <v>3</v>
      </c>
      <c r="O122" t="s">
        <v>52</v>
      </c>
      <c r="P122">
        <v>82</v>
      </c>
      <c r="Q122">
        <v>3</v>
      </c>
      <c r="R122">
        <v>1</v>
      </c>
      <c r="S122" t="s">
        <v>70</v>
      </c>
      <c r="T122">
        <v>2</v>
      </c>
      <c r="U122" t="s">
        <v>104</v>
      </c>
      <c r="V122">
        <v>2187</v>
      </c>
      <c r="W122" t="s">
        <v>46</v>
      </c>
      <c r="X122">
        <v>19655</v>
      </c>
      <c r="Y122">
        <v>4</v>
      </c>
      <c r="Z122" t="s">
        <v>47</v>
      </c>
      <c r="AA122" t="s">
        <v>48</v>
      </c>
      <c r="AB122">
        <v>14</v>
      </c>
      <c r="AC122">
        <v>3</v>
      </c>
      <c r="AD122">
        <v>3</v>
      </c>
      <c r="AE122">
        <v>80</v>
      </c>
      <c r="AF122">
        <v>0</v>
      </c>
      <c r="AG122">
        <v>6</v>
      </c>
      <c r="AH122">
        <v>3</v>
      </c>
      <c r="AI122">
        <v>3</v>
      </c>
      <c r="AJ122">
        <v>2</v>
      </c>
      <c r="AK122">
        <v>0</v>
      </c>
      <c r="AL122">
        <v>1</v>
      </c>
    </row>
    <row r="123" spans="1:38" x14ac:dyDescent="0.3">
      <c r="A123" t="s">
        <v>186</v>
      </c>
      <c r="B123">
        <v>25</v>
      </c>
      <c r="C123" t="s">
        <v>38</v>
      </c>
      <c r="D123" t="s">
        <v>48</v>
      </c>
      <c r="E123">
        <f t="shared" si="1"/>
        <v>0</v>
      </c>
      <c r="F123" t="s">
        <v>40</v>
      </c>
      <c r="G123">
        <v>977</v>
      </c>
      <c r="H123" t="s">
        <v>41</v>
      </c>
      <c r="I123">
        <v>2</v>
      </c>
      <c r="J123">
        <v>1</v>
      </c>
      <c r="K123" t="s">
        <v>72</v>
      </c>
      <c r="L123">
        <v>1</v>
      </c>
      <c r="M123">
        <v>1992</v>
      </c>
      <c r="N123">
        <v>4</v>
      </c>
      <c r="O123" t="s">
        <v>43</v>
      </c>
      <c r="P123">
        <v>57</v>
      </c>
      <c r="Q123">
        <v>3</v>
      </c>
      <c r="R123">
        <v>1</v>
      </c>
      <c r="S123" t="s">
        <v>44</v>
      </c>
      <c r="T123">
        <v>3</v>
      </c>
      <c r="U123" t="s">
        <v>101</v>
      </c>
      <c r="V123">
        <v>3977</v>
      </c>
      <c r="W123" t="s">
        <v>46</v>
      </c>
      <c r="X123">
        <v>7298</v>
      </c>
      <c r="Y123">
        <v>6</v>
      </c>
      <c r="Z123" t="s">
        <v>47</v>
      </c>
      <c r="AA123" t="s">
        <v>39</v>
      </c>
      <c r="AB123">
        <v>19</v>
      </c>
      <c r="AC123">
        <v>3</v>
      </c>
      <c r="AD123">
        <v>3</v>
      </c>
      <c r="AE123">
        <v>80</v>
      </c>
      <c r="AF123">
        <v>1</v>
      </c>
      <c r="AG123">
        <v>7</v>
      </c>
      <c r="AH123">
        <v>2</v>
      </c>
      <c r="AI123">
        <v>2</v>
      </c>
      <c r="AJ123">
        <v>2</v>
      </c>
      <c r="AK123">
        <v>2</v>
      </c>
      <c r="AL123">
        <v>0</v>
      </c>
    </row>
    <row r="124" spans="1:38" x14ac:dyDescent="0.3">
      <c r="A124" t="s">
        <v>187</v>
      </c>
      <c r="B124">
        <v>25</v>
      </c>
      <c r="C124" t="s">
        <v>38</v>
      </c>
      <c r="D124" t="s">
        <v>48</v>
      </c>
      <c r="E124">
        <f t="shared" si="1"/>
        <v>0</v>
      </c>
      <c r="F124" t="s">
        <v>40</v>
      </c>
      <c r="G124">
        <v>1382</v>
      </c>
      <c r="H124" t="s">
        <v>50</v>
      </c>
      <c r="I124">
        <v>8</v>
      </c>
      <c r="J124">
        <v>2</v>
      </c>
      <c r="K124" t="s">
        <v>72</v>
      </c>
      <c r="L124">
        <v>1</v>
      </c>
      <c r="M124">
        <v>2018</v>
      </c>
      <c r="N124">
        <v>1</v>
      </c>
      <c r="O124" t="s">
        <v>52</v>
      </c>
      <c r="P124">
        <v>85</v>
      </c>
      <c r="Q124">
        <v>3</v>
      </c>
      <c r="R124">
        <v>2</v>
      </c>
      <c r="S124" t="s">
        <v>136</v>
      </c>
      <c r="T124">
        <v>3</v>
      </c>
      <c r="U124" t="s">
        <v>101</v>
      </c>
      <c r="V124">
        <v>4907</v>
      </c>
      <c r="W124" t="s">
        <v>46</v>
      </c>
      <c r="X124">
        <v>13684</v>
      </c>
      <c r="Y124">
        <v>0</v>
      </c>
      <c r="Z124" t="s">
        <v>47</v>
      </c>
      <c r="AA124" t="s">
        <v>39</v>
      </c>
      <c r="AB124">
        <v>22</v>
      </c>
      <c r="AC124">
        <v>4</v>
      </c>
      <c r="AD124">
        <v>2</v>
      </c>
      <c r="AE124">
        <v>80</v>
      </c>
      <c r="AF124">
        <v>1</v>
      </c>
      <c r="AG124">
        <v>6</v>
      </c>
      <c r="AH124">
        <v>3</v>
      </c>
      <c r="AI124">
        <v>2</v>
      </c>
      <c r="AJ124">
        <v>5</v>
      </c>
      <c r="AK124">
        <v>3</v>
      </c>
      <c r="AL124">
        <v>0</v>
      </c>
    </row>
    <row r="125" spans="1:38" x14ac:dyDescent="0.3">
      <c r="A125" t="s">
        <v>188</v>
      </c>
      <c r="B125">
        <v>26</v>
      </c>
      <c r="C125" t="s">
        <v>189</v>
      </c>
      <c r="D125" t="s">
        <v>39</v>
      </c>
      <c r="E125">
        <f t="shared" si="1"/>
        <v>1</v>
      </c>
      <c r="F125" t="s">
        <v>40</v>
      </c>
      <c r="G125">
        <v>1357</v>
      </c>
      <c r="H125" t="s">
        <v>41</v>
      </c>
      <c r="I125">
        <v>25</v>
      </c>
      <c r="J125">
        <v>3</v>
      </c>
      <c r="K125" t="s">
        <v>42</v>
      </c>
      <c r="L125">
        <v>1</v>
      </c>
      <c r="M125">
        <v>55</v>
      </c>
      <c r="N125">
        <v>1</v>
      </c>
      <c r="O125" t="s">
        <v>43</v>
      </c>
      <c r="P125">
        <v>48</v>
      </c>
      <c r="Q125">
        <v>1</v>
      </c>
      <c r="R125">
        <v>1</v>
      </c>
      <c r="S125" t="s">
        <v>44</v>
      </c>
      <c r="T125">
        <v>3</v>
      </c>
      <c r="U125" t="s">
        <v>45</v>
      </c>
      <c r="V125">
        <v>2293</v>
      </c>
      <c r="W125" t="s">
        <v>46</v>
      </c>
      <c r="X125">
        <v>10558</v>
      </c>
      <c r="Y125">
        <v>1</v>
      </c>
      <c r="Z125" t="s">
        <v>47</v>
      </c>
      <c r="AA125" t="s">
        <v>48</v>
      </c>
      <c r="AB125">
        <v>12</v>
      </c>
      <c r="AC125">
        <v>3</v>
      </c>
      <c r="AD125">
        <v>3</v>
      </c>
      <c r="AE125">
        <v>80</v>
      </c>
      <c r="AF125">
        <v>0</v>
      </c>
      <c r="AG125">
        <v>1</v>
      </c>
      <c r="AH125">
        <v>2</v>
      </c>
      <c r="AI125">
        <v>2</v>
      </c>
      <c r="AJ125">
        <v>1</v>
      </c>
      <c r="AK125">
        <v>0</v>
      </c>
      <c r="AL125">
        <v>0</v>
      </c>
    </row>
    <row r="126" spans="1:38" x14ac:dyDescent="0.3">
      <c r="A126" t="s">
        <v>190</v>
      </c>
      <c r="B126">
        <v>26</v>
      </c>
      <c r="C126" t="s">
        <v>189</v>
      </c>
      <c r="D126" t="s">
        <v>48</v>
      </c>
      <c r="E126">
        <f t="shared" si="1"/>
        <v>0</v>
      </c>
      <c r="F126" t="s">
        <v>40</v>
      </c>
      <c r="G126">
        <v>1443</v>
      </c>
      <c r="H126" t="s">
        <v>50</v>
      </c>
      <c r="I126">
        <v>23</v>
      </c>
      <c r="J126">
        <v>3</v>
      </c>
      <c r="K126" t="s">
        <v>56</v>
      </c>
      <c r="L126">
        <v>1</v>
      </c>
      <c r="M126">
        <v>72</v>
      </c>
      <c r="N126">
        <v>3</v>
      </c>
      <c r="O126" t="s">
        <v>52</v>
      </c>
      <c r="P126">
        <v>47</v>
      </c>
      <c r="Q126">
        <v>2</v>
      </c>
      <c r="R126">
        <v>2</v>
      </c>
      <c r="S126" t="s">
        <v>136</v>
      </c>
      <c r="T126">
        <v>4</v>
      </c>
      <c r="U126" t="s">
        <v>104</v>
      </c>
      <c r="V126">
        <v>4157</v>
      </c>
      <c r="W126" t="s">
        <v>46</v>
      </c>
      <c r="X126">
        <v>21436</v>
      </c>
      <c r="Y126">
        <v>7</v>
      </c>
      <c r="Z126" t="s">
        <v>47</v>
      </c>
      <c r="AA126" t="s">
        <v>39</v>
      </c>
      <c r="AB126">
        <v>19</v>
      </c>
      <c r="AC126">
        <v>3</v>
      </c>
      <c r="AD126">
        <v>3</v>
      </c>
      <c r="AE126">
        <v>80</v>
      </c>
      <c r="AF126">
        <v>1</v>
      </c>
      <c r="AG126">
        <v>5</v>
      </c>
      <c r="AH126">
        <v>2</v>
      </c>
      <c r="AI126">
        <v>2</v>
      </c>
      <c r="AJ126">
        <v>2</v>
      </c>
      <c r="AK126">
        <v>2</v>
      </c>
      <c r="AL126">
        <v>0</v>
      </c>
    </row>
    <row r="127" spans="1:38" x14ac:dyDescent="0.3">
      <c r="A127" t="s">
        <v>191</v>
      </c>
      <c r="B127">
        <v>26</v>
      </c>
      <c r="C127" t="s">
        <v>189</v>
      </c>
      <c r="D127" t="s">
        <v>48</v>
      </c>
      <c r="E127">
        <f t="shared" si="1"/>
        <v>0</v>
      </c>
      <c r="F127" t="s">
        <v>40</v>
      </c>
      <c r="G127">
        <v>841</v>
      </c>
      <c r="H127" t="s">
        <v>41</v>
      </c>
      <c r="I127">
        <v>6</v>
      </c>
      <c r="J127">
        <v>3</v>
      </c>
      <c r="K127" t="s">
        <v>72</v>
      </c>
      <c r="L127">
        <v>1</v>
      </c>
      <c r="M127">
        <v>164</v>
      </c>
      <c r="N127">
        <v>3</v>
      </c>
      <c r="O127" t="s">
        <v>52</v>
      </c>
      <c r="P127">
        <v>46</v>
      </c>
      <c r="Q127">
        <v>2</v>
      </c>
      <c r="R127">
        <v>1</v>
      </c>
      <c r="S127" t="s">
        <v>59</v>
      </c>
      <c r="T127">
        <v>2</v>
      </c>
      <c r="U127" t="s">
        <v>104</v>
      </c>
      <c r="V127">
        <v>2368</v>
      </c>
      <c r="W127" t="s">
        <v>46</v>
      </c>
      <c r="X127">
        <v>23300</v>
      </c>
      <c r="Y127">
        <v>1</v>
      </c>
      <c r="Z127" t="s">
        <v>47</v>
      </c>
      <c r="AA127" t="s">
        <v>48</v>
      </c>
      <c r="AB127">
        <v>19</v>
      </c>
      <c r="AC127">
        <v>3</v>
      </c>
      <c r="AD127">
        <v>3</v>
      </c>
      <c r="AE127">
        <v>80</v>
      </c>
      <c r="AF127">
        <v>0</v>
      </c>
      <c r="AG127">
        <v>5</v>
      </c>
      <c r="AH127">
        <v>3</v>
      </c>
      <c r="AI127">
        <v>2</v>
      </c>
      <c r="AJ127">
        <v>5</v>
      </c>
      <c r="AK127">
        <v>4</v>
      </c>
      <c r="AL127">
        <v>4</v>
      </c>
    </row>
    <row r="128" spans="1:38" x14ac:dyDescent="0.3">
      <c r="A128" t="s">
        <v>192</v>
      </c>
      <c r="B128">
        <v>26</v>
      </c>
      <c r="C128" t="s">
        <v>189</v>
      </c>
      <c r="D128" t="s">
        <v>48</v>
      </c>
      <c r="E128">
        <f t="shared" si="1"/>
        <v>0</v>
      </c>
      <c r="F128" t="s">
        <v>40</v>
      </c>
      <c r="G128">
        <v>1355</v>
      </c>
      <c r="H128" t="s">
        <v>70</v>
      </c>
      <c r="I128">
        <v>25</v>
      </c>
      <c r="J128">
        <v>1</v>
      </c>
      <c r="K128" t="s">
        <v>42</v>
      </c>
      <c r="L128">
        <v>1</v>
      </c>
      <c r="M128">
        <v>177</v>
      </c>
      <c r="N128">
        <v>3</v>
      </c>
      <c r="O128" t="s">
        <v>52</v>
      </c>
      <c r="P128">
        <v>61</v>
      </c>
      <c r="Q128">
        <v>3</v>
      </c>
      <c r="R128">
        <v>1</v>
      </c>
      <c r="S128" t="s">
        <v>70</v>
      </c>
      <c r="T128">
        <v>3</v>
      </c>
      <c r="U128" t="s">
        <v>104</v>
      </c>
      <c r="V128">
        <v>2942</v>
      </c>
      <c r="W128" t="s">
        <v>46</v>
      </c>
      <c r="X128">
        <v>8916</v>
      </c>
      <c r="Y128">
        <v>1</v>
      </c>
      <c r="Z128" t="s">
        <v>47</v>
      </c>
      <c r="AA128" t="s">
        <v>48</v>
      </c>
      <c r="AB128">
        <v>23</v>
      </c>
      <c r="AC128">
        <v>4</v>
      </c>
      <c r="AD128">
        <v>4</v>
      </c>
      <c r="AE128">
        <v>80</v>
      </c>
      <c r="AF128">
        <v>1</v>
      </c>
      <c r="AG128">
        <v>8</v>
      </c>
      <c r="AH128">
        <v>3</v>
      </c>
      <c r="AI128">
        <v>3</v>
      </c>
      <c r="AJ128">
        <v>8</v>
      </c>
      <c r="AK128">
        <v>7</v>
      </c>
      <c r="AL128">
        <v>5</v>
      </c>
    </row>
    <row r="129" spans="1:38" x14ac:dyDescent="0.3">
      <c r="A129" t="s">
        <v>193</v>
      </c>
      <c r="B129">
        <v>26</v>
      </c>
      <c r="C129" t="s">
        <v>189</v>
      </c>
      <c r="D129" t="s">
        <v>48</v>
      </c>
      <c r="E129">
        <f t="shared" si="1"/>
        <v>0</v>
      </c>
      <c r="F129" t="s">
        <v>55</v>
      </c>
      <c r="G129">
        <v>1479</v>
      </c>
      <c r="H129" t="s">
        <v>41</v>
      </c>
      <c r="I129">
        <v>1</v>
      </c>
      <c r="J129">
        <v>3</v>
      </c>
      <c r="K129" t="s">
        <v>42</v>
      </c>
      <c r="L129">
        <v>1</v>
      </c>
      <c r="M129">
        <v>384</v>
      </c>
      <c r="N129">
        <v>3</v>
      </c>
      <c r="O129" t="s">
        <v>52</v>
      </c>
      <c r="P129">
        <v>84</v>
      </c>
      <c r="Q129">
        <v>3</v>
      </c>
      <c r="R129">
        <v>2</v>
      </c>
      <c r="S129" t="s">
        <v>111</v>
      </c>
      <c r="T129">
        <v>2</v>
      </c>
      <c r="U129" t="s">
        <v>101</v>
      </c>
      <c r="V129">
        <v>6397</v>
      </c>
      <c r="W129" t="s">
        <v>162</v>
      </c>
      <c r="X129">
        <v>26767</v>
      </c>
      <c r="Y129">
        <v>1</v>
      </c>
      <c r="Z129" t="s">
        <v>47</v>
      </c>
      <c r="AA129" t="s">
        <v>48</v>
      </c>
      <c r="AB129">
        <v>20</v>
      </c>
      <c r="AC129">
        <v>4</v>
      </c>
      <c r="AD129">
        <v>1</v>
      </c>
      <c r="AE129">
        <v>80</v>
      </c>
      <c r="AF129">
        <v>1</v>
      </c>
      <c r="AG129">
        <v>6</v>
      </c>
      <c r="AH129">
        <v>6</v>
      </c>
      <c r="AI129">
        <v>1</v>
      </c>
      <c r="AJ129">
        <v>6</v>
      </c>
      <c r="AK129">
        <v>5</v>
      </c>
      <c r="AL129">
        <v>1</v>
      </c>
    </row>
    <row r="130" spans="1:38" x14ac:dyDescent="0.3">
      <c r="A130" t="s">
        <v>194</v>
      </c>
      <c r="B130">
        <v>26</v>
      </c>
      <c r="C130" t="s">
        <v>189</v>
      </c>
      <c r="D130" t="s">
        <v>48</v>
      </c>
      <c r="E130">
        <f t="shared" si="1"/>
        <v>0</v>
      </c>
      <c r="F130" t="s">
        <v>55</v>
      </c>
      <c r="G130">
        <v>496</v>
      </c>
      <c r="H130" t="s">
        <v>41</v>
      </c>
      <c r="I130">
        <v>11</v>
      </c>
      <c r="J130">
        <v>2</v>
      </c>
      <c r="K130" t="s">
        <v>51</v>
      </c>
      <c r="L130">
        <v>1</v>
      </c>
      <c r="M130">
        <v>390</v>
      </c>
      <c r="N130">
        <v>1</v>
      </c>
      <c r="O130" t="s">
        <v>43</v>
      </c>
      <c r="P130">
        <v>60</v>
      </c>
      <c r="Q130">
        <v>3</v>
      </c>
      <c r="R130">
        <v>2</v>
      </c>
      <c r="S130" t="s">
        <v>160</v>
      </c>
      <c r="T130">
        <v>1</v>
      </c>
      <c r="U130" t="s">
        <v>104</v>
      </c>
      <c r="V130">
        <v>4741</v>
      </c>
      <c r="W130" t="s">
        <v>46</v>
      </c>
      <c r="X130">
        <v>22722</v>
      </c>
      <c r="Y130">
        <v>1</v>
      </c>
      <c r="Z130" t="s">
        <v>47</v>
      </c>
      <c r="AA130" t="s">
        <v>39</v>
      </c>
      <c r="AB130">
        <v>13</v>
      </c>
      <c r="AC130">
        <v>3</v>
      </c>
      <c r="AD130">
        <v>3</v>
      </c>
      <c r="AE130">
        <v>80</v>
      </c>
      <c r="AF130">
        <v>1</v>
      </c>
      <c r="AG130">
        <v>5</v>
      </c>
      <c r="AH130">
        <v>3</v>
      </c>
      <c r="AI130">
        <v>3</v>
      </c>
      <c r="AJ130">
        <v>5</v>
      </c>
      <c r="AK130">
        <v>3</v>
      </c>
      <c r="AL130">
        <v>3</v>
      </c>
    </row>
    <row r="131" spans="1:38" x14ac:dyDescent="0.3">
      <c r="A131" t="s">
        <v>195</v>
      </c>
      <c r="B131">
        <v>26</v>
      </c>
      <c r="C131" t="s">
        <v>189</v>
      </c>
      <c r="D131" t="s">
        <v>39</v>
      </c>
      <c r="E131">
        <f t="shared" ref="E131:E194" si="2">IF(D131="Yes",1,0)</f>
        <v>1</v>
      </c>
      <c r="F131" t="s">
        <v>40</v>
      </c>
      <c r="G131">
        <v>1449</v>
      </c>
      <c r="H131" t="s">
        <v>41</v>
      </c>
      <c r="I131">
        <v>16</v>
      </c>
      <c r="J131">
        <v>4</v>
      </c>
      <c r="K131" t="s">
        <v>51</v>
      </c>
      <c r="L131">
        <v>1</v>
      </c>
      <c r="M131">
        <v>394</v>
      </c>
      <c r="N131">
        <v>1</v>
      </c>
      <c r="O131" t="s">
        <v>43</v>
      </c>
      <c r="P131">
        <v>45</v>
      </c>
      <c r="Q131">
        <v>3</v>
      </c>
      <c r="R131">
        <v>1</v>
      </c>
      <c r="S131" t="s">
        <v>44</v>
      </c>
      <c r="T131">
        <v>2</v>
      </c>
      <c r="U131" t="s">
        <v>101</v>
      </c>
      <c r="V131">
        <v>2373</v>
      </c>
      <c r="W131" t="s">
        <v>46</v>
      </c>
      <c r="X131">
        <v>14180</v>
      </c>
      <c r="Y131">
        <v>2</v>
      </c>
      <c r="Z131" t="s">
        <v>47</v>
      </c>
      <c r="AA131" t="s">
        <v>39</v>
      </c>
      <c r="AB131">
        <v>13</v>
      </c>
      <c r="AC131">
        <v>3</v>
      </c>
      <c r="AD131">
        <v>4</v>
      </c>
      <c r="AE131">
        <v>80</v>
      </c>
      <c r="AF131">
        <v>1</v>
      </c>
      <c r="AG131">
        <v>5</v>
      </c>
      <c r="AH131">
        <v>2</v>
      </c>
      <c r="AI131">
        <v>3</v>
      </c>
      <c r="AJ131">
        <v>3</v>
      </c>
      <c r="AK131">
        <v>2</v>
      </c>
      <c r="AL131">
        <v>0</v>
      </c>
    </row>
    <row r="132" spans="1:38" x14ac:dyDescent="0.3">
      <c r="A132" t="s">
        <v>196</v>
      </c>
      <c r="B132">
        <v>26</v>
      </c>
      <c r="C132" t="s">
        <v>189</v>
      </c>
      <c r="D132" t="s">
        <v>39</v>
      </c>
      <c r="E132">
        <f t="shared" si="2"/>
        <v>1</v>
      </c>
      <c r="F132" t="s">
        <v>40</v>
      </c>
      <c r="G132">
        <v>950</v>
      </c>
      <c r="H132" t="s">
        <v>50</v>
      </c>
      <c r="I132">
        <v>4</v>
      </c>
      <c r="J132">
        <v>4</v>
      </c>
      <c r="K132" t="s">
        <v>56</v>
      </c>
      <c r="L132">
        <v>1</v>
      </c>
      <c r="M132">
        <v>401</v>
      </c>
      <c r="N132">
        <v>4</v>
      </c>
      <c r="O132" t="s">
        <v>43</v>
      </c>
      <c r="P132">
        <v>48</v>
      </c>
      <c r="Q132">
        <v>2</v>
      </c>
      <c r="R132">
        <v>2</v>
      </c>
      <c r="S132" t="s">
        <v>136</v>
      </c>
      <c r="T132">
        <v>4</v>
      </c>
      <c r="U132" t="s">
        <v>45</v>
      </c>
      <c r="V132">
        <v>5828</v>
      </c>
      <c r="W132" t="s">
        <v>162</v>
      </c>
      <c r="X132">
        <v>8450</v>
      </c>
      <c r="Y132">
        <v>1</v>
      </c>
      <c r="Z132" t="s">
        <v>47</v>
      </c>
      <c r="AA132" t="s">
        <v>39</v>
      </c>
      <c r="AB132">
        <v>12</v>
      </c>
      <c r="AC132">
        <v>3</v>
      </c>
      <c r="AD132">
        <v>2</v>
      </c>
      <c r="AE132">
        <v>80</v>
      </c>
      <c r="AF132">
        <v>0</v>
      </c>
      <c r="AG132">
        <v>8</v>
      </c>
      <c r="AH132">
        <v>0</v>
      </c>
      <c r="AI132">
        <v>3</v>
      </c>
      <c r="AJ132">
        <v>8</v>
      </c>
      <c r="AK132">
        <v>7</v>
      </c>
      <c r="AL132">
        <v>7</v>
      </c>
    </row>
    <row r="133" spans="1:38" x14ac:dyDescent="0.3">
      <c r="A133" t="s">
        <v>197</v>
      </c>
      <c r="B133">
        <v>26</v>
      </c>
      <c r="C133" t="s">
        <v>189</v>
      </c>
      <c r="D133" t="s">
        <v>48</v>
      </c>
      <c r="E133">
        <f t="shared" si="2"/>
        <v>0</v>
      </c>
      <c r="F133" t="s">
        <v>40</v>
      </c>
      <c r="G133">
        <v>933</v>
      </c>
      <c r="H133" t="s">
        <v>50</v>
      </c>
      <c r="I133">
        <v>1</v>
      </c>
      <c r="J133">
        <v>3</v>
      </c>
      <c r="K133" t="s">
        <v>42</v>
      </c>
      <c r="L133">
        <v>1</v>
      </c>
      <c r="M133">
        <v>476</v>
      </c>
      <c r="N133">
        <v>3</v>
      </c>
      <c r="O133" t="s">
        <v>43</v>
      </c>
      <c r="P133">
        <v>57</v>
      </c>
      <c r="Q133">
        <v>3</v>
      </c>
      <c r="R133">
        <v>2</v>
      </c>
      <c r="S133" t="s">
        <v>136</v>
      </c>
      <c r="T133">
        <v>3</v>
      </c>
      <c r="U133" t="s">
        <v>104</v>
      </c>
      <c r="V133">
        <v>5296</v>
      </c>
      <c r="W133" t="s">
        <v>162</v>
      </c>
      <c r="X133">
        <v>20156</v>
      </c>
      <c r="Y133">
        <v>1</v>
      </c>
      <c r="Z133" t="s">
        <v>47</v>
      </c>
      <c r="AA133" t="s">
        <v>48</v>
      </c>
      <c r="AB133">
        <v>17</v>
      </c>
      <c r="AC133">
        <v>3</v>
      </c>
      <c r="AD133">
        <v>2</v>
      </c>
      <c r="AE133">
        <v>80</v>
      </c>
      <c r="AF133">
        <v>1</v>
      </c>
      <c r="AG133">
        <v>8</v>
      </c>
      <c r="AH133">
        <v>3</v>
      </c>
      <c r="AI133">
        <v>3</v>
      </c>
      <c r="AJ133">
        <v>8</v>
      </c>
      <c r="AK133">
        <v>7</v>
      </c>
      <c r="AL133">
        <v>7</v>
      </c>
    </row>
    <row r="134" spans="1:38" x14ac:dyDescent="0.3">
      <c r="A134" t="s">
        <v>198</v>
      </c>
      <c r="B134">
        <v>26</v>
      </c>
      <c r="C134" t="s">
        <v>189</v>
      </c>
      <c r="D134" t="s">
        <v>39</v>
      </c>
      <c r="E134">
        <f t="shared" si="2"/>
        <v>1</v>
      </c>
      <c r="F134" t="s">
        <v>55</v>
      </c>
      <c r="G134">
        <v>575</v>
      </c>
      <c r="H134" t="s">
        <v>41</v>
      </c>
      <c r="I134">
        <v>3</v>
      </c>
      <c r="J134">
        <v>1</v>
      </c>
      <c r="K134" t="s">
        <v>67</v>
      </c>
      <c r="L134">
        <v>1</v>
      </c>
      <c r="M134">
        <v>510</v>
      </c>
      <c r="N134">
        <v>3</v>
      </c>
      <c r="O134" t="s">
        <v>43</v>
      </c>
      <c r="P134">
        <v>73</v>
      </c>
      <c r="Q134">
        <v>3</v>
      </c>
      <c r="R134">
        <v>1</v>
      </c>
      <c r="S134" t="s">
        <v>59</v>
      </c>
      <c r="T134">
        <v>1</v>
      </c>
      <c r="U134" t="s">
        <v>45</v>
      </c>
      <c r="V134">
        <v>3102</v>
      </c>
      <c r="W134" t="s">
        <v>46</v>
      </c>
      <c r="X134">
        <v>6582</v>
      </c>
      <c r="Y134">
        <v>0</v>
      </c>
      <c r="Z134" t="s">
        <v>47</v>
      </c>
      <c r="AA134" t="s">
        <v>48</v>
      </c>
      <c r="AB134">
        <v>22</v>
      </c>
      <c r="AC134">
        <v>4</v>
      </c>
      <c r="AD134">
        <v>3</v>
      </c>
      <c r="AE134">
        <v>80</v>
      </c>
      <c r="AF134">
        <v>0</v>
      </c>
      <c r="AG134">
        <v>7</v>
      </c>
      <c r="AH134">
        <v>2</v>
      </c>
      <c r="AI134">
        <v>3</v>
      </c>
      <c r="AJ134">
        <v>6</v>
      </c>
      <c r="AK134">
        <v>4</v>
      </c>
      <c r="AL134">
        <v>0</v>
      </c>
    </row>
    <row r="135" spans="1:38" x14ac:dyDescent="0.3">
      <c r="A135" t="s">
        <v>199</v>
      </c>
      <c r="B135">
        <v>26</v>
      </c>
      <c r="C135" t="s">
        <v>189</v>
      </c>
      <c r="D135" t="s">
        <v>48</v>
      </c>
      <c r="E135">
        <f t="shared" si="2"/>
        <v>0</v>
      </c>
      <c r="F135" t="s">
        <v>40</v>
      </c>
      <c r="G135">
        <v>1349</v>
      </c>
      <c r="H135" t="s">
        <v>41</v>
      </c>
      <c r="I135">
        <v>23</v>
      </c>
      <c r="J135">
        <v>3</v>
      </c>
      <c r="K135" t="s">
        <v>42</v>
      </c>
      <c r="L135">
        <v>1</v>
      </c>
      <c r="M135">
        <v>560</v>
      </c>
      <c r="N135">
        <v>1</v>
      </c>
      <c r="O135" t="s">
        <v>52</v>
      </c>
      <c r="P135">
        <v>90</v>
      </c>
      <c r="Q135">
        <v>3</v>
      </c>
      <c r="R135">
        <v>1</v>
      </c>
      <c r="S135" t="s">
        <v>59</v>
      </c>
      <c r="T135">
        <v>4</v>
      </c>
      <c r="U135" t="s">
        <v>101</v>
      </c>
      <c r="V135">
        <v>2886</v>
      </c>
      <c r="W135" t="s">
        <v>46</v>
      </c>
      <c r="X135">
        <v>3032</v>
      </c>
      <c r="Y135">
        <v>1</v>
      </c>
      <c r="Z135" t="s">
        <v>47</v>
      </c>
      <c r="AA135" t="s">
        <v>48</v>
      </c>
      <c r="AB135">
        <v>22</v>
      </c>
      <c r="AC135">
        <v>4</v>
      </c>
      <c r="AD135">
        <v>2</v>
      </c>
      <c r="AE135">
        <v>80</v>
      </c>
      <c r="AF135">
        <v>2</v>
      </c>
      <c r="AG135">
        <v>3</v>
      </c>
      <c r="AH135">
        <v>3</v>
      </c>
      <c r="AI135">
        <v>1</v>
      </c>
      <c r="AJ135">
        <v>3</v>
      </c>
      <c r="AK135">
        <v>2</v>
      </c>
      <c r="AL135">
        <v>0</v>
      </c>
    </row>
    <row r="136" spans="1:38" x14ac:dyDescent="0.3">
      <c r="A136" t="s">
        <v>200</v>
      </c>
      <c r="B136">
        <v>26</v>
      </c>
      <c r="C136" t="s">
        <v>189</v>
      </c>
      <c r="D136" t="s">
        <v>39</v>
      </c>
      <c r="E136">
        <f t="shared" si="2"/>
        <v>1</v>
      </c>
      <c r="F136" t="s">
        <v>55</v>
      </c>
      <c r="G136">
        <v>426</v>
      </c>
      <c r="H136" t="s">
        <v>70</v>
      </c>
      <c r="I136">
        <v>17</v>
      </c>
      <c r="J136">
        <v>4</v>
      </c>
      <c r="K136" t="s">
        <v>42</v>
      </c>
      <c r="L136">
        <v>1</v>
      </c>
      <c r="M136">
        <v>608</v>
      </c>
      <c r="N136">
        <v>2</v>
      </c>
      <c r="O136" t="s">
        <v>52</v>
      </c>
      <c r="P136">
        <v>58</v>
      </c>
      <c r="Q136">
        <v>3</v>
      </c>
      <c r="R136">
        <v>1</v>
      </c>
      <c r="S136" t="s">
        <v>70</v>
      </c>
      <c r="T136">
        <v>3</v>
      </c>
      <c r="U136" t="s">
        <v>101</v>
      </c>
      <c r="V136">
        <v>2741</v>
      </c>
      <c r="W136" t="s">
        <v>46</v>
      </c>
      <c r="X136">
        <v>22808</v>
      </c>
      <c r="Y136">
        <v>0</v>
      </c>
      <c r="Z136" t="s">
        <v>47</v>
      </c>
      <c r="AA136" t="s">
        <v>39</v>
      </c>
      <c r="AB136">
        <v>11</v>
      </c>
      <c r="AC136">
        <v>3</v>
      </c>
      <c r="AD136">
        <v>2</v>
      </c>
      <c r="AE136">
        <v>80</v>
      </c>
      <c r="AF136">
        <v>1</v>
      </c>
      <c r="AG136">
        <v>8</v>
      </c>
      <c r="AH136">
        <v>2</v>
      </c>
      <c r="AI136">
        <v>2</v>
      </c>
      <c r="AJ136">
        <v>7</v>
      </c>
      <c r="AK136">
        <v>7</v>
      </c>
      <c r="AL136">
        <v>1</v>
      </c>
    </row>
    <row r="137" spans="1:38" x14ac:dyDescent="0.3">
      <c r="A137" t="s">
        <v>201</v>
      </c>
      <c r="B137">
        <v>26</v>
      </c>
      <c r="C137" t="s">
        <v>189</v>
      </c>
      <c r="D137" t="s">
        <v>48</v>
      </c>
      <c r="E137">
        <f t="shared" si="2"/>
        <v>0</v>
      </c>
      <c r="F137" t="s">
        <v>40</v>
      </c>
      <c r="G137">
        <v>775</v>
      </c>
      <c r="H137" t="s">
        <v>50</v>
      </c>
      <c r="I137">
        <v>29</v>
      </c>
      <c r="J137">
        <v>2</v>
      </c>
      <c r="K137" t="s">
        <v>51</v>
      </c>
      <c r="L137">
        <v>1</v>
      </c>
      <c r="M137">
        <v>618</v>
      </c>
      <c r="N137">
        <v>1</v>
      </c>
      <c r="O137" t="s">
        <v>43</v>
      </c>
      <c r="P137">
        <v>45</v>
      </c>
      <c r="Q137">
        <v>3</v>
      </c>
      <c r="R137">
        <v>2</v>
      </c>
      <c r="S137" t="s">
        <v>136</v>
      </c>
      <c r="T137">
        <v>3</v>
      </c>
      <c r="U137" t="s">
        <v>101</v>
      </c>
      <c r="V137">
        <v>4306</v>
      </c>
      <c r="W137" t="s">
        <v>46</v>
      </c>
      <c r="X137">
        <v>4267</v>
      </c>
      <c r="Y137">
        <v>5</v>
      </c>
      <c r="Z137" t="s">
        <v>47</v>
      </c>
      <c r="AA137" t="s">
        <v>48</v>
      </c>
      <c r="AB137">
        <v>12</v>
      </c>
      <c r="AC137">
        <v>3</v>
      </c>
      <c r="AD137">
        <v>1</v>
      </c>
      <c r="AE137">
        <v>80</v>
      </c>
      <c r="AF137">
        <v>2</v>
      </c>
      <c r="AG137">
        <v>8</v>
      </c>
      <c r="AH137">
        <v>5</v>
      </c>
      <c r="AI137">
        <v>3</v>
      </c>
      <c r="AJ137">
        <v>0</v>
      </c>
      <c r="AK137">
        <v>0</v>
      </c>
      <c r="AL137">
        <v>0</v>
      </c>
    </row>
    <row r="138" spans="1:38" x14ac:dyDescent="0.3">
      <c r="A138" t="s">
        <v>202</v>
      </c>
      <c r="B138">
        <v>26</v>
      </c>
      <c r="C138" t="s">
        <v>189</v>
      </c>
      <c r="D138" t="s">
        <v>39</v>
      </c>
      <c r="E138">
        <f t="shared" si="2"/>
        <v>1</v>
      </c>
      <c r="F138" t="s">
        <v>40</v>
      </c>
      <c r="G138">
        <v>471</v>
      </c>
      <c r="H138" t="s">
        <v>41</v>
      </c>
      <c r="I138">
        <v>24</v>
      </c>
      <c r="J138">
        <v>3</v>
      </c>
      <c r="K138" t="s">
        <v>67</v>
      </c>
      <c r="L138">
        <v>1</v>
      </c>
      <c r="M138">
        <v>622</v>
      </c>
      <c r="N138">
        <v>3</v>
      </c>
      <c r="O138" t="s">
        <v>43</v>
      </c>
      <c r="P138">
        <v>66</v>
      </c>
      <c r="Q138">
        <v>1</v>
      </c>
      <c r="R138">
        <v>1</v>
      </c>
      <c r="S138" t="s">
        <v>44</v>
      </c>
      <c r="T138">
        <v>4</v>
      </c>
      <c r="U138" t="s">
        <v>45</v>
      </c>
      <c r="V138">
        <v>2340</v>
      </c>
      <c r="W138" t="s">
        <v>46</v>
      </c>
      <c r="X138">
        <v>23213</v>
      </c>
      <c r="Y138">
        <v>1</v>
      </c>
      <c r="Z138" t="s">
        <v>47</v>
      </c>
      <c r="AA138" t="s">
        <v>39</v>
      </c>
      <c r="AB138">
        <v>18</v>
      </c>
      <c r="AC138">
        <v>3</v>
      </c>
      <c r="AD138">
        <v>2</v>
      </c>
      <c r="AE138">
        <v>80</v>
      </c>
      <c r="AF138">
        <v>0</v>
      </c>
      <c r="AG138">
        <v>1</v>
      </c>
      <c r="AH138">
        <v>3</v>
      </c>
      <c r="AI138">
        <v>1</v>
      </c>
      <c r="AJ138">
        <v>1</v>
      </c>
      <c r="AK138">
        <v>0</v>
      </c>
      <c r="AL138">
        <v>0</v>
      </c>
    </row>
    <row r="139" spans="1:38" x14ac:dyDescent="0.3">
      <c r="A139" t="s">
        <v>203</v>
      </c>
      <c r="B139">
        <v>26</v>
      </c>
      <c r="C139" t="s">
        <v>189</v>
      </c>
      <c r="D139" t="s">
        <v>48</v>
      </c>
      <c r="E139">
        <f t="shared" si="2"/>
        <v>0</v>
      </c>
      <c r="F139" t="s">
        <v>40</v>
      </c>
      <c r="G139">
        <v>703</v>
      </c>
      <c r="H139" t="s">
        <v>50</v>
      </c>
      <c r="I139">
        <v>28</v>
      </c>
      <c r="J139">
        <v>2</v>
      </c>
      <c r="K139" t="s">
        <v>56</v>
      </c>
      <c r="L139">
        <v>1</v>
      </c>
      <c r="M139">
        <v>641</v>
      </c>
      <c r="N139">
        <v>1</v>
      </c>
      <c r="O139" t="s">
        <v>43</v>
      </c>
      <c r="P139">
        <v>66</v>
      </c>
      <c r="Q139">
        <v>3</v>
      </c>
      <c r="R139">
        <v>2</v>
      </c>
      <c r="S139" t="s">
        <v>136</v>
      </c>
      <c r="T139">
        <v>2</v>
      </c>
      <c r="U139" t="s">
        <v>104</v>
      </c>
      <c r="V139">
        <v>6272</v>
      </c>
      <c r="W139" t="s">
        <v>162</v>
      </c>
      <c r="X139">
        <v>7428</v>
      </c>
      <c r="Y139">
        <v>1</v>
      </c>
      <c r="Z139" t="s">
        <v>47</v>
      </c>
      <c r="AA139" t="s">
        <v>48</v>
      </c>
      <c r="AB139">
        <v>20</v>
      </c>
      <c r="AC139">
        <v>4</v>
      </c>
      <c r="AD139">
        <v>4</v>
      </c>
      <c r="AE139">
        <v>80</v>
      </c>
      <c r="AF139">
        <v>2</v>
      </c>
      <c r="AG139">
        <v>6</v>
      </c>
      <c r="AH139">
        <v>5</v>
      </c>
      <c r="AI139">
        <v>4</v>
      </c>
      <c r="AJ139">
        <v>5</v>
      </c>
      <c r="AK139">
        <v>3</v>
      </c>
      <c r="AL139">
        <v>1</v>
      </c>
    </row>
    <row r="140" spans="1:38" x14ac:dyDescent="0.3">
      <c r="A140" t="s">
        <v>204</v>
      </c>
      <c r="B140">
        <v>26</v>
      </c>
      <c r="C140" t="s">
        <v>189</v>
      </c>
      <c r="D140" t="s">
        <v>48</v>
      </c>
      <c r="E140">
        <f t="shared" si="2"/>
        <v>0</v>
      </c>
      <c r="F140" t="s">
        <v>40</v>
      </c>
      <c r="G140">
        <v>991</v>
      </c>
      <c r="H140" t="s">
        <v>41</v>
      </c>
      <c r="I140">
        <v>6</v>
      </c>
      <c r="J140">
        <v>3</v>
      </c>
      <c r="K140" t="s">
        <v>42</v>
      </c>
      <c r="L140">
        <v>1</v>
      </c>
      <c r="M140">
        <v>686</v>
      </c>
      <c r="N140">
        <v>3</v>
      </c>
      <c r="O140" t="s">
        <v>52</v>
      </c>
      <c r="P140">
        <v>71</v>
      </c>
      <c r="Q140">
        <v>3</v>
      </c>
      <c r="R140">
        <v>1</v>
      </c>
      <c r="S140" t="s">
        <v>44</v>
      </c>
      <c r="T140">
        <v>4</v>
      </c>
      <c r="U140" t="s">
        <v>104</v>
      </c>
      <c r="V140">
        <v>2659</v>
      </c>
      <c r="W140" t="s">
        <v>46</v>
      </c>
      <c r="X140">
        <v>17759</v>
      </c>
      <c r="Y140">
        <v>1</v>
      </c>
      <c r="Z140" t="s">
        <v>47</v>
      </c>
      <c r="AA140" t="s">
        <v>39</v>
      </c>
      <c r="AB140">
        <v>13</v>
      </c>
      <c r="AC140">
        <v>3</v>
      </c>
      <c r="AD140">
        <v>3</v>
      </c>
      <c r="AE140">
        <v>80</v>
      </c>
      <c r="AF140">
        <v>1</v>
      </c>
      <c r="AG140">
        <v>3</v>
      </c>
      <c r="AH140">
        <v>2</v>
      </c>
      <c r="AI140">
        <v>3</v>
      </c>
      <c r="AJ140">
        <v>3</v>
      </c>
      <c r="AK140">
        <v>2</v>
      </c>
      <c r="AL140">
        <v>0</v>
      </c>
    </row>
    <row r="141" spans="1:38" x14ac:dyDescent="0.3">
      <c r="A141" t="s">
        <v>205</v>
      </c>
      <c r="B141">
        <v>26</v>
      </c>
      <c r="C141" t="s">
        <v>189</v>
      </c>
      <c r="D141" t="s">
        <v>48</v>
      </c>
      <c r="E141">
        <f t="shared" si="2"/>
        <v>0</v>
      </c>
      <c r="F141" t="s">
        <v>55</v>
      </c>
      <c r="G141">
        <v>575</v>
      </c>
      <c r="H141" t="s">
        <v>41</v>
      </c>
      <c r="I141">
        <v>1</v>
      </c>
      <c r="J141">
        <v>2</v>
      </c>
      <c r="K141" t="s">
        <v>42</v>
      </c>
      <c r="L141">
        <v>1</v>
      </c>
      <c r="M141">
        <v>792</v>
      </c>
      <c r="N141">
        <v>1</v>
      </c>
      <c r="O141" t="s">
        <v>52</v>
      </c>
      <c r="P141">
        <v>71</v>
      </c>
      <c r="Q141">
        <v>1</v>
      </c>
      <c r="R141">
        <v>1</v>
      </c>
      <c r="S141" t="s">
        <v>44</v>
      </c>
      <c r="T141">
        <v>4</v>
      </c>
      <c r="U141" t="s">
        <v>101</v>
      </c>
      <c r="V141">
        <v>4364</v>
      </c>
      <c r="W141" t="s">
        <v>46</v>
      </c>
      <c r="X141">
        <v>5288</v>
      </c>
      <c r="Y141">
        <v>3</v>
      </c>
      <c r="Z141" t="s">
        <v>47</v>
      </c>
      <c r="AA141" t="s">
        <v>48</v>
      </c>
      <c r="AB141">
        <v>14</v>
      </c>
      <c r="AC141">
        <v>3</v>
      </c>
      <c r="AD141">
        <v>1</v>
      </c>
      <c r="AE141">
        <v>80</v>
      </c>
      <c r="AF141">
        <v>1</v>
      </c>
      <c r="AG141">
        <v>5</v>
      </c>
      <c r="AH141">
        <v>2</v>
      </c>
      <c r="AI141">
        <v>3</v>
      </c>
      <c r="AJ141">
        <v>2</v>
      </c>
      <c r="AK141">
        <v>2</v>
      </c>
      <c r="AL141">
        <v>2</v>
      </c>
    </row>
    <row r="142" spans="1:38" x14ac:dyDescent="0.3">
      <c r="A142" t="s">
        <v>206</v>
      </c>
      <c r="B142">
        <v>26</v>
      </c>
      <c r="C142" t="s">
        <v>189</v>
      </c>
      <c r="D142" t="s">
        <v>39</v>
      </c>
      <c r="E142">
        <f t="shared" si="2"/>
        <v>1</v>
      </c>
      <c r="F142" t="s">
        <v>40</v>
      </c>
      <c r="G142">
        <v>1146</v>
      </c>
      <c r="H142" t="s">
        <v>50</v>
      </c>
      <c r="I142">
        <v>8</v>
      </c>
      <c r="J142">
        <v>3</v>
      </c>
      <c r="K142" t="s">
        <v>67</v>
      </c>
      <c r="L142">
        <v>1</v>
      </c>
      <c r="M142">
        <v>796</v>
      </c>
      <c r="N142">
        <v>4</v>
      </c>
      <c r="O142" t="s">
        <v>43</v>
      </c>
      <c r="P142">
        <v>38</v>
      </c>
      <c r="Q142">
        <v>2</v>
      </c>
      <c r="R142">
        <v>2</v>
      </c>
      <c r="S142" t="s">
        <v>136</v>
      </c>
      <c r="T142">
        <v>1</v>
      </c>
      <c r="U142" t="s">
        <v>45</v>
      </c>
      <c r="V142">
        <v>5326</v>
      </c>
      <c r="W142" t="s">
        <v>162</v>
      </c>
      <c r="X142">
        <v>3064</v>
      </c>
      <c r="Y142">
        <v>6</v>
      </c>
      <c r="Z142" t="s">
        <v>47</v>
      </c>
      <c r="AA142" t="s">
        <v>48</v>
      </c>
      <c r="AB142">
        <v>17</v>
      </c>
      <c r="AC142">
        <v>3</v>
      </c>
      <c r="AD142">
        <v>3</v>
      </c>
      <c r="AE142">
        <v>80</v>
      </c>
      <c r="AF142">
        <v>0</v>
      </c>
      <c r="AG142">
        <v>6</v>
      </c>
      <c r="AH142">
        <v>2</v>
      </c>
      <c r="AI142">
        <v>2</v>
      </c>
      <c r="AJ142">
        <v>4</v>
      </c>
      <c r="AK142">
        <v>3</v>
      </c>
      <c r="AL142">
        <v>1</v>
      </c>
    </row>
    <row r="143" spans="1:38" x14ac:dyDescent="0.3">
      <c r="A143" t="s">
        <v>207</v>
      </c>
      <c r="B143">
        <v>26</v>
      </c>
      <c r="C143" t="s">
        <v>189</v>
      </c>
      <c r="D143" t="s">
        <v>39</v>
      </c>
      <c r="E143">
        <f t="shared" si="2"/>
        <v>1</v>
      </c>
      <c r="F143" t="s">
        <v>55</v>
      </c>
      <c r="G143">
        <v>887</v>
      </c>
      <c r="H143" t="s">
        <v>41</v>
      </c>
      <c r="I143">
        <v>5</v>
      </c>
      <c r="J143">
        <v>2</v>
      </c>
      <c r="K143" t="s">
        <v>51</v>
      </c>
      <c r="L143">
        <v>1</v>
      </c>
      <c r="M143">
        <v>848</v>
      </c>
      <c r="N143">
        <v>3</v>
      </c>
      <c r="O143" t="s">
        <v>52</v>
      </c>
      <c r="P143">
        <v>88</v>
      </c>
      <c r="Q143">
        <v>2</v>
      </c>
      <c r="R143">
        <v>1</v>
      </c>
      <c r="S143" t="s">
        <v>59</v>
      </c>
      <c r="T143">
        <v>3</v>
      </c>
      <c r="U143" t="s">
        <v>104</v>
      </c>
      <c r="V143">
        <v>2366</v>
      </c>
      <c r="W143" t="s">
        <v>46</v>
      </c>
      <c r="X143">
        <v>20898</v>
      </c>
      <c r="Y143">
        <v>1</v>
      </c>
      <c r="Z143" t="s">
        <v>47</v>
      </c>
      <c r="AA143" t="s">
        <v>39</v>
      </c>
      <c r="AB143">
        <v>14</v>
      </c>
      <c r="AC143">
        <v>3</v>
      </c>
      <c r="AD143">
        <v>1</v>
      </c>
      <c r="AE143">
        <v>80</v>
      </c>
      <c r="AF143">
        <v>1</v>
      </c>
      <c r="AG143">
        <v>8</v>
      </c>
      <c r="AH143">
        <v>2</v>
      </c>
      <c r="AI143">
        <v>3</v>
      </c>
      <c r="AJ143">
        <v>8</v>
      </c>
      <c r="AK143">
        <v>7</v>
      </c>
      <c r="AL143">
        <v>1</v>
      </c>
    </row>
    <row r="144" spans="1:38" x14ac:dyDescent="0.3">
      <c r="A144" t="s">
        <v>208</v>
      </c>
      <c r="B144">
        <v>26</v>
      </c>
      <c r="C144" t="s">
        <v>189</v>
      </c>
      <c r="D144" t="s">
        <v>48</v>
      </c>
      <c r="E144">
        <f t="shared" si="2"/>
        <v>0</v>
      </c>
      <c r="F144" t="s">
        <v>55</v>
      </c>
      <c r="G144">
        <v>1283</v>
      </c>
      <c r="H144" t="s">
        <v>50</v>
      </c>
      <c r="I144">
        <v>1</v>
      </c>
      <c r="J144">
        <v>3</v>
      </c>
      <c r="K144" t="s">
        <v>51</v>
      </c>
      <c r="L144">
        <v>1</v>
      </c>
      <c r="M144">
        <v>956</v>
      </c>
      <c r="N144">
        <v>3</v>
      </c>
      <c r="O144" t="s">
        <v>43</v>
      </c>
      <c r="P144">
        <v>52</v>
      </c>
      <c r="Q144">
        <v>2</v>
      </c>
      <c r="R144">
        <v>2</v>
      </c>
      <c r="S144" t="s">
        <v>136</v>
      </c>
      <c r="T144">
        <v>1</v>
      </c>
      <c r="U144" t="s">
        <v>45</v>
      </c>
      <c r="V144">
        <v>4294</v>
      </c>
      <c r="W144" t="s">
        <v>46</v>
      </c>
      <c r="X144">
        <v>11148</v>
      </c>
      <c r="Y144">
        <v>1</v>
      </c>
      <c r="Z144" t="s">
        <v>47</v>
      </c>
      <c r="AA144" t="s">
        <v>48</v>
      </c>
      <c r="AB144">
        <v>12</v>
      </c>
      <c r="AC144">
        <v>3</v>
      </c>
      <c r="AD144">
        <v>2</v>
      </c>
      <c r="AE144">
        <v>80</v>
      </c>
      <c r="AF144">
        <v>0</v>
      </c>
      <c r="AG144">
        <v>7</v>
      </c>
      <c r="AH144">
        <v>2</v>
      </c>
      <c r="AI144">
        <v>3</v>
      </c>
      <c r="AJ144">
        <v>7</v>
      </c>
      <c r="AK144">
        <v>7</v>
      </c>
      <c r="AL144">
        <v>0</v>
      </c>
    </row>
    <row r="145" spans="1:38" x14ac:dyDescent="0.3">
      <c r="A145" t="s">
        <v>209</v>
      </c>
      <c r="B145">
        <v>26</v>
      </c>
      <c r="C145" t="s">
        <v>189</v>
      </c>
      <c r="D145" t="s">
        <v>48</v>
      </c>
      <c r="E145">
        <f t="shared" si="2"/>
        <v>0</v>
      </c>
      <c r="F145" t="s">
        <v>40</v>
      </c>
      <c r="G145">
        <v>1066</v>
      </c>
      <c r="H145" t="s">
        <v>41</v>
      </c>
      <c r="I145">
        <v>2</v>
      </c>
      <c r="J145">
        <v>2</v>
      </c>
      <c r="K145" t="s">
        <v>51</v>
      </c>
      <c r="L145">
        <v>1</v>
      </c>
      <c r="M145">
        <v>1018</v>
      </c>
      <c r="N145">
        <v>4</v>
      </c>
      <c r="O145" t="s">
        <v>43</v>
      </c>
      <c r="P145">
        <v>32</v>
      </c>
      <c r="Q145">
        <v>4</v>
      </c>
      <c r="R145">
        <v>2</v>
      </c>
      <c r="S145" t="s">
        <v>111</v>
      </c>
      <c r="T145">
        <v>4</v>
      </c>
      <c r="U145" t="s">
        <v>104</v>
      </c>
      <c r="V145">
        <v>5472</v>
      </c>
      <c r="W145" t="s">
        <v>162</v>
      </c>
      <c r="X145">
        <v>3334</v>
      </c>
      <c r="Y145">
        <v>1</v>
      </c>
      <c r="Z145" t="s">
        <v>47</v>
      </c>
      <c r="AA145" t="s">
        <v>48</v>
      </c>
      <c r="AB145">
        <v>12</v>
      </c>
      <c r="AC145">
        <v>3</v>
      </c>
      <c r="AD145">
        <v>2</v>
      </c>
      <c r="AE145">
        <v>80</v>
      </c>
      <c r="AF145">
        <v>0</v>
      </c>
      <c r="AG145">
        <v>8</v>
      </c>
      <c r="AH145">
        <v>2</v>
      </c>
      <c r="AI145">
        <v>3</v>
      </c>
      <c r="AJ145">
        <v>8</v>
      </c>
      <c r="AK145">
        <v>7</v>
      </c>
      <c r="AL145">
        <v>1</v>
      </c>
    </row>
    <row r="146" spans="1:38" x14ac:dyDescent="0.3">
      <c r="A146" t="s">
        <v>210</v>
      </c>
      <c r="B146">
        <v>26</v>
      </c>
      <c r="C146" t="s">
        <v>189</v>
      </c>
      <c r="D146" t="s">
        <v>39</v>
      </c>
      <c r="E146">
        <f t="shared" si="2"/>
        <v>1</v>
      </c>
      <c r="F146" t="s">
        <v>58</v>
      </c>
      <c r="G146">
        <v>265</v>
      </c>
      <c r="H146" t="s">
        <v>50</v>
      </c>
      <c r="I146">
        <v>29</v>
      </c>
      <c r="J146">
        <v>2</v>
      </c>
      <c r="K146" t="s">
        <v>51</v>
      </c>
      <c r="L146">
        <v>1</v>
      </c>
      <c r="M146">
        <v>1037</v>
      </c>
      <c r="N146">
        <v>2</v>
      </c>
      <c r="O146" t="s">
        <v>43</v>
      </c>
      <c r="P146">
        <v>79</v>
      </c>
      <c r="Q146">
        <v>1</v>
      </c>
      <c r="R146">
        <v>2</v>
      </c>
      <c r="S146" t="s">
        <v>136</v>
      </c>
      <c r="T146">
        <v>1</v>
      </c>
      <c r="U146" t="s">
        <v>45</v>
      </c>
      <c r="V146">
        <v>4969</v>
      </c>
      <c r="W146" t="s">
        <v>46</v>
      </c>
      <c r="X146">
        <v>21813</v>
      </c>
      <c r="Y146">
        <v>8</v>
      </c>
      <c r="Z146" t="s">
        <v>47</v>
      </c>
      <c r="AA146" t="s">
        <v>48</v>
      </c>
      <c r="AB146">
        <v>18</v>
      </c>
      <c r="AC146">
        <v>3</v>
      </c>
      <c r="AD146">
        <v>4</v>
      </c>
      <c r="AE146">
        <v>80</v>
      </c>
      <c r="AF146">
        <v>0</v>
      </c>
      <c r="AG146">
        <v>7</v>
      </c>
      <c r="AH146">
        <v>6</v>
      </c>
      <c r="AI146">
        <v>3</v>
      </c>
      <c r="AJ146">
        <v>2</v>
      </c>
      <c r="AK146">
        <v>2</v>
      </c>
      <c r="AL146">
        <v>2</v>
      </c>
    </row>
    <row r="147" spans="1:38" x14ac:dyDescent="0.3">
      <c r="A147" t="s">
        <v>211</v>
      </c>
      <c r="B147">
        <v>26</v>
      </c>
      <c r="C147" t="s">
        <v>189</v>
      </c>
      <c r="D147" t="s">
        <v>39</v>
      </c>
      <c r="E147">
        <f t="shared" si="2"/>
        <v>1</v>
      </c>
      <c r="F147" t="s">
        <v>55</v>
      </c>
      <c r="G147">
        <v>342</v>
      </c>
      <c r="H147" t="s">
        <v>41</v>
      </c>
      <c r="I147">
        <v>2</v>
      </c>
      <c r="J147">
        <v>3</v>
      </c>
      <c r="K147" t="s">
        <v>42</v>
      </c>
      <c r="L147">
        <v>1</v>
      </c>
      <c r="M147">
        <v>1053</v>
      </c>
      <c r="N147">
        <v>1</v>
      </c>
      <c r="O147" t="s">
        <v>43</v>
      </c>
      <c r="P147">
        <v>57</v>
      </c>
      <c r="Q147">
        <v>3</v>
      </c>
      <c r="R147">
        <v>1</v>
      </c>
      <c r="S147" t="s">
        <v>59</v>
      </c>
      <c r="T147">
        <v>1</v>
      </c>
      <c r="U147" t="s">
        <v>104</v>
      </c>
      <c r="V147">
        <v>2042</v>
      </c>
      <c r="W147" t="s">
        <v>46</v>
      </c>
      <c r="X147">
        <v>15346</v>
      </c>
      <c r="Y147">
        <v>6</v>
      </c>
      <c r="Z147" t="s">
        <v>47</v>
      </c>
      <c r="AA147" t="s">
        <v>39</v>
      </c>
      <c r="AB147">
        <v>14</v>
      </c>
      <c r="AC147">
        <v>3</v>
      </c>
      <c r="AD147">
        <v>2</v>
      </c>
      <c r="AE147">
        <v>80</v>
      </c>
      <c r="AF147">
        <v>1</v>
      </c>
      <c r="AG147">
        <v>6</v>
      </c>
      <c r="AH147">
        <v>2</v>
      </c>
      <c r="AI147">
        <v>3</v>
      </c>
      <c r="AJ147">
        <v>3</v>
      </c>
      <c r="AK147">
        <v>2</v>
      </c>
      <c r="AL147">
        <v>1</v>
      </c>
    </row>
    <row r="148" spans="1:38" x14ac:dyDescent="0.3">
      <c r="A148" t="s">
        <v>212</v>
      </c>
      <c r="B148">
        <v>26</v>
      </c>
      <c r="C148" t="s">
        <v>189</v>
      </c>
      <c r="D148" t="s">
        <v>48</v>
      </c>
      <c r="E148">
        <f t="shared" si="2"/>
        <v>0</v>
      </c>
      <c r="F148" t="s">
        <v>55</v>
      </c>
      <c r="G148">
        <v>921</v>
      </c>
      <c r="H148" t="s">
        <v>41</v>
      </c>
      <c r="I148">
        <v>1</v>
      </c>
      <c r="J148">
        <v>1</v>
      </c>
      <c r="K148" t="s">
        <v>51</v>
      </c>
      <c r="L148">
        <v>1</v>
      </c>
      <c r="M148">
        <v>1068</v>
      </c>
      <c r="N148">
        <v>1</v>
      </c>
      <c r="O148" t="s">
        <v>52</v>
      </c>
      <c r="P148">
        <v>66</v>
      </c>
      <c r="Q148">
        <v>2</v>
      </c>
      <c r="R148">
        <v>1</v>
      </c>
      <c r="S148" t="s">
        <v>59</v>
      </c>
      <c r="T148">
        <v>3</v>
      </c>
      <c r="U148" t="s">
        <v>101</v>
      </c>
      <c r="V148">
        <v>2007</v>
      </c>
      <c r="W148" t="s">
        <v>46</v>
      </c>
      <c r="X148">
        <v>25265</v>
      </c>
      <c r="Y148">
        <v>1</v>
      </c>
      <c r="Z148" t="s">
        <v>47</v>
      </c>
      <c r="AA148" t="s">
        <v>48</v>
      </c>
      <c r="AB148">
        <v>13</v>
      </c>
      <c r="AC148">
        <v>3</v>
      </c>
      <c r="AD148">
        <v>3</v>
      </c>
      <c r="AE148">
        <v>80</v>
      </c>
      <c r="AF148">
        <v>2</v>
      </c>
      <c r="AG148">
        <v>5</v>
      </c>
      <c r="AH148">
        <v>5</v>
      </c>
      <c r="AI148">
        <v>3</v>
      </c>
      <c r="AJ148">
        <v>5</v>
      </c>
      <c r="AK148">
        <v>3</v>
      </c>
      <c r="AL148">
        <v>1</v>
      </c>
    </row>
    <row r="149" spans="1:38" x14ac:dyDescent="0.3">
      <c r="A149" t="s">
        <v>213</v>
      </c>
      <c r="B149">
        <v>26</v>
      </c>
      <c r="C149" t="s">
        <v>189</v>
      </c>
      <c r="D149" t="s">
        <v>48</v>
      </c>
      <c r="E149">
        <f t="shared" si="2"/>
        <v>0</v>
      </c>
      <c r="F149" t="s">
        <v>40</v>
      </c>
      <c r="G149">
        <v>192</v>
      </c>
      <c r="H149" t="s">
        <v>41</v>
      </c>
      <c r="I149">
        <v>1</v>
      </c>
      <c r="J149">
        <v>2</v>
      </c>
      <c r="K149" t="s">
        <v>51</v>
      </c>
      <c r="L149">
        <v>1</v>
      </c>
      <c r="M149">
        <v>1083</v>
      </c>
      <c r="N149">
        <v>1</v>
      </c>
      <c r="O149" t="s">
        <v>43</v>
      </c>
      <c r="P149">
        <v>59</v>
      </c>
      <c r="Q149">
        <v>2</v>
      </c>
      <c r="R149">
        <v>1</v>
      </c>
      <c r="S149" t="s">
        <v>44</v>
      </c>
      <c r="T149">
        <v>1</v>
      </c>
      <c r="U149" t="s">
        <v>104</v>
      </c>
      <c r="V149">
        <v>3955</v>
      </c>
      <c r="W149" t="s">
        <v>46</v>
      </c>
      <c r="X149">
        <v>11141</v>
      </c>
      <c r="Y149">
        <v>1</v>
      </c>
      <c r="Z149" t="s">
        <v>47</v>
      </c>
      <c r="AA149" t="s">
        <v>48</v>
      </c>
      <c r="AB149">
        <v>16</v>
      </c>
      <c r="AC149">
        <v>3</v>
      </c>
      <c r="AD149">
        <v>1</v>
      </c>
      <c r="AE149">
        <v>80</v>
      </c>
      <c r="AF149">
        <v>2</v>
      </c>
      <c r="AG149">
        <v>6</v>
      </c>
      <c r="AH149">
        <v>2</v>
      </c>
      <c r="AI149">
        <v>3</v>
      </c>
      <c r="AJ149">
        <v>5</v>
      </c>
      <c r="AK149">
        <v>3</v>
      </c>
      <c r="AL149">
        <v>1</v>
      </c>
    </row>
    <row r="150" spans="1:38" x14ac:dyDescent="0.3">
      <c r="A150" t="s">
        <v>214</v>
      </c>
      <c r="B150">
        <v>26</v>
      </c>
      <c r="C150" t="s">
        <v>189</v>
      </c>
      <c r="D150" t="s">
        <v>39</v>
      </c>
      <c r="E150">
        <f t="shared" si="2"/>
        <v>1</v>
      </c>
      <c r="F150" t="s">
        <v>40</v>
      </c>
      <c r="G150">
        <v>1330</v>
      </c>
      <c r="H150" t="s">
        <v>41</v>
      </c>
      <c r="I150">
        <v>21</v>
      </c>
      <c r="J150">
        <v>3</v>
      </c>
      <c r="K150" t="s">
        <v>51</v>
      </c>
      <c r="L150">
        <v>1</v>
      </c>
      <c r="M150">
        <v>1107</v>
      </c>
      <c r="N150">
        <v>1</v>
      </c>
      <c r="O150" t="s">
        <v>43</v>
      </c>
      <c r="P150">
        <v>37</v>
      </c>
      <c r="Q150">
        <v>3</v>
      </c>
      <c r="R150">
        <v>1</v>
      </c>
      <c r="S150" t="s">
        <v>44</v>
      </c>
      <c r="T150">
        <v>3</v>
      </c>
      <c r="U150" t="s">
        <v>101</v>
      </c>
      <c r="V150">
        <v>2377</v>
      </c>
      <c r="W150" t="s">
        <v>46</v>
      </c>
      <c r="X150">
        <v>19373</v>
      </c>
      <c r="Y150">
        <v>1</v>
      </c>
      <c r="Z150" t="s">
        <v>47</v>
      </c>
      <c r="AA150" t="s">
        <v>48</v>
      </c>
      <c r="AB150">
        <v>20</v>
      </c>
      <c r="AC150">
        <v>4</v>
      </c>
      <c r="AD150">
        <v>3</v>
      </c>
      <c r="AE150">
        <v>80</v>
      </c>
      <c r="AF150">
        <v>1</v>
      </c>
      <c r="AG150">
        <v>1</v>
      </c>
      <c r="AH150">
        <v>0</v>
      </c>
      <c r="AI150">
        <v>2</v>
      </c>
      <c r="AJ150">
        <v>1</v>
      </c>
      <c r="AK150">
        <v>1</v>
      </c>
      <c r="AL150">
        <v>0</v>
      </c>
    </row>
    <row r="151" spans="1:38" x14ac:dyDescent="0.3">
      <c r="A151" t="s">
        <v>215</v>
      </c>
      <c r="B151">
        <v>26</v>
      </c>
      <c r="C151" t="s">
        <v>189</v>
      </c>
      <c r="D151" t="s">
        <v>48</v>
      </c>
      <c r="E151">
        <f t="shared" si="2"/>
        <v>0</v>
      </c>
      <c r="F151" t="s">
        <v>40</v>
      </c>
      <c r="G151">
        <v>1384</v>
      </c>
      <c r="H151" t="s">
        <v>41</v>
      </c>
      <c r="I151">
        <v>3</v>
      </c>
      <c r="J151">
        <v>4</v>
      </c>
      <c r="K151" t="s">
        <v>51</v>
      </c>
      <c r="L151">
        <v>1</v>
      </c>
      <c r="M151">
        <v>1177</v>
      </c>
      <c r="N151">
        <v>1</v>
      </c>
      <c r="O151" t="s">
        <v>43</v>
      </c>
      <c r="P151">
        <v>82</v>
      </c>
      <c r="Q151">
        <v>4</v>
      </c>
      <c r="R151">
        <v>1</v>
      </c>
      <c r="S151" t="s">
        <v>44</v>
      </c>
      <c r="T151">
        <v>4</v>
      </c>
      <c r="U151" t="s">
        <v>104</v>
      </c>
      <c r="V151">
        <v>4420</v>
      </c>
      <c r="W151" t="s">
        <v>46</v>
      </c>
      <c r="X151">
        <v>13421</v>
      </c>
      <c r="Y151">
        <v>1</v>
      </c>
      <c r="Z151" t="s">
        <v>47</v>
      </c>
      <c r="AA151" t="s">
        <v>48</v>
      </c>
      <c r="AB151">
        <v>22</v>
      </c>
      <c r="AC151">
        <v>4</v>
      </c>
      <c r="AD151">
        <v>2</v>
      </c>
      <c r="AE151">
        <v>80</v>
      </c>
      <c r="AF151">
        <v>1</v>
      </c>
      <c r="AG151">
        <v>8</v>
      </c>
      <c r="AH151">
        <v>2</v>
      </c>
      <c r="AI151">
        <v>3</v>
      </c>
      <c r="AJ151">
        <v>8</v>
      </c>
      <c r="AK151">
        <v>7</v>
      </c>
      <c r="AL151">
        <v>0</v>
      </c>
    </row>
    <row r="152" spans="1:38" x14ac:dyDescent="0.3">
      <c r="A152" t="s">
        <v>216</v>
      </c>
      <c r="B152">
        <v>26</v>
      </c>
      <c r="C152" t="s">
        <v>189</v>
      </c>
      <c r="D152" t="s">
        <v>48</v>
      </c>
      <c r="E152">
        <f t="shared" si="2"/>
        <v>0</v>
      </c>
      <c r="F152" t="s">
        <v>40</v>
      </c>
      <c r="G152">
        <v>583</v>
      </c>
      <c r="H152" t="s">
        <v>41</v>
      </c>
      <c r="I152">
        <v>4</v>
      </c>
      <c r="J152">
        <v>2</v>
      </c>
      <c r="K152" t="s">
        <v>42</v>
      </c>
      <c r="L152">
        <v>1</v>
      </c>
      <c r="M152">
        <v>1275</v>
      </c>
      <c r="N152">
        <v>3</v>
      </c>
      <c r="O152" t="s">
        <v>43</v>
      </c>
      <c r="P152">
        <v>53</v>
      </c>
      <c r="Q152">
        <v>3</v>
      </c>
      <c r="R152">
        <v>1</v>
      </c>
      <c r="S152" t="s">
        <v>59</v>
      </c>
      <c r="T152">
        <v>4</v>
      </c>
      <c r="U152" t="s">
        <v>45</v>
      </c>
      <c r="V152">
        <v>2875</v>
      </c>
      <c r="W152" t="s">
        <v>46</v>
      </c>
      <c r="X152">
        <v>9973</v>
      </c>
      <c r="Y152">
        <v>1</v>
      </c>
      <c r="Z152" t="s">
        <v>47</v>
      </c>
      <c r="AA152" t="s">
        <v>39</v>
      </c>
      <c r="AB152">
        <v>20</v>
      </c>
      <c r="AC152">
        <v>4</v>
      </c>
      <c r="AD152">
        <v>2</v>
      </c>
      <c r="AE152">
        <v>80</v>
      </c>
      <c r="AF152">
        <v>0</v>
      </c>
      <c r="AG152">
        <v>8</v>
      </c>
      <c r="AH152">
        <v>2</v>
      </c>
      <c r="AI152">
        <v>2</v>
      </c>
      <c r="AJ152">
        <v>8</v>
      </c>
      <c r="AK152">
        <v>5</v>
      </c>
      <c r="AL152">
        <v>2</v>
      </c>
    </row>
    <row r="153" spans="1:38" x14ac:dyDescent="0.3">
      <c r="A153" t="s">
        <v>217</v>
      </c>
      <c r="B153">
        <v>26</v>
      </c>
      <c r="C153" t="s">
        <v>189</v>
      </c>
      <c r="D153" t="s">
        <v>48</v>
      </c>
      <c r="E153">
        <f t="shared" si="2"/>
        <v>0</v>
      </c>
      <c r="F153" t="s">
        <v>40</v>
      </c>
      <c r="G153">
        <v>683</v>
      </c>
      <c r="H153" t="s">
        <v>41</v>
      </c>
      <c r="I153">
        <v>2</v>
      </c>
      <c r="J153">
        <v>1</v>
      </c>
      <c r="K153" t="s">
        <v>51</v>
      </c>
      <c r="L153">
        <v>1</v>
      </c>
      <c r="M153">
        <v>1407</v>
      </c>
      <c r="N153">
        <v>1</v>
      </c>
      <c r="O153" t="s">
        <v>43</v>
      </c>
      <c r="P153">
        <v>36</v>
      </c>
      <c r="Q153">
        <v>2</v>
      </c>
      <c r="R153">
        <v>1</v>
      </c>
      <c r="S153" t="s">
        <v>59</v>
      </c>
      <c r="T153">
        <v>4</v>
      </c>
      <c r="U153" t="s">
        <v>45</v>
      </c>
      <c r="V153">
        <v>3904</v>
      </c>
      <c r="W153" t="s">
        <v>46</v>
      </c>
      <c r="X153">
        <v>4050</v>
      </c>
      <c r="Y153">
        <v>0</v>
      </c>
      <c r="Z153" t="s">
        <v>47</v>
      </c>
      <c r="AA153" t="s">
        <v>48</v>
      </c>
      <c r="AB153">
        <v>12</v>
      </c>
      <c r="AC153">
        <v>3</v>
      </c>
      <c r="AD153">
        <v>4</v>
      </c>
      <c r="AE153">
        <v>80</v>
      </c>
      <c r="AF153">
        <v>0</v>
      </c>
      <c r="AG153">
        <v>5</v>
      </c>
      <c r="AH153">
        <v>2</v>
      </c>
      <c r="AI153">
        <v>3</v>
      </c>
      <c r="AJ153">
        <v>4</v>
      </c>
      <c r="AK153">
        <v>3</v>
      </c>
      <c r="AL153">
        <v>1</v>
      </c>
    </row>
    <row r="154" spans="1:38" x14ac:dyDescent="0.3">
      <c r="A154" t="s">
        <v>218</v>
      </c>
      <c r="B154">
        <v>26</v>
      </c>
      <c r="C154" t="s">
        <v>189</v>
      </c>
      <c r="D154" t="s">
        <v>48</v>
      </c>
      <c r="E154">
        <f t="shared" si="2"/>
        <v>0</v>
      </c>
      <c r="F154" t="s">
        <v>40</v>
      </c>
      <c r="G154">
        <v>652</v>
      </c>
      <c r="H154" t="s">
        <v>41</v>
      </c>
      <c r="I154">
        <v>7</v>
      </c>
      <c r="J154">
        <v>3</v>
      </c>
      <c r="K154" t="s">
        <v>72</v>
      </c>
      <c r="L154">
        <v>1</v>
      </c>
      <c r="M154">
        <v>1417</v>
      </c>
      <c r="N154">
        <v>3</v>
      </c>
      <c r="O154" t="s">
        <v>43</v>
      </c>
      <c r="P154">
        <v>100</v>
      </c>
      <c r="Q154">
        <v>4</v>
      </c>
      <c r="R154">
        <v>1</v>
      </c>
      <c r="S154" t="s">
        <v>44</v>
      </c>
      <c r="T154">
        <v>1</v>
      </c>
      <c r="U154" t="s">
        <v>45</v>
      </c>
      <c r="V154">
        <v>3578</v>
      </c>
      <c r="W154" t="s">
        <v>46</v>
      </c>
      <c r="X154">
        <v>23577</v>
      </c>
      <c r="Y154">
        <v>0</v>
      </c>
      <c r="Z154" t="s">
        <v>47</v>
      </c>
      <c r="AA154" t="s">
        <v>48</v>
      </c>
      <c r="AB154">
        <v>12</v>
      </c>
      <c r="AC154">
        <v>3</v>
      </c>
      <c r="AD154">
        <v>4</v>
      </c>
      <c r="AE154">
        <v>80</v>
      </c>
      <c r="AF154">
        <v>0</v>
      </c>
      <c r="AG154">
        <v>8</v>
      </c>
      <c r="AH154">
        <v>2</v>
      </c>
      <c r="AI154">
        <v>3</v>
      </c>
      <c r="AJ154">
        <v>7</v>
      </c>
      <c r="AK154">
        <v>7</v>
      </c>
      <c r="AL154">
        <v>0</v>
      </c>
    </row>
    <row r="155" spans="1:38" x14ac:dyDescent="0.3">
      <c r="A155" t="s">
        <v>219</v>
      </c>
      <c r="B155">
        <v>26</v>
      </c>
      <c r="C155" t="s">
        <v>189</v>
      </c>
      <c r="D155" t="s">
        <v>48</v>
      </c>
      <c r="E155">
        <f t="shared" si="2"/>
        <v>0</v>
      </c>
      <c r="F155" t="s">
        <v>40</v>
      </c>
      <c r="G155">
        <v>474</v>
      </c>
      <c r="H155" t="s">
        <v>41</v>
      </c>
      <c r="I155">
        <v>3</v>
      </c>
      <c r="J155">
        <v>3</v>
      </c>
      <c r="K155" t="s">
        <v>42</v>
      </c>
      <c r="L155">
        <v>1</v>
      </c>
      <c r="M155">
        <v>1581</v>
      </c>
      <c r="N155">
        <v>1</v>
      </c>
      <c r="O155" t="s">
        <v>52</v>
      </c>
      <c r="P155">
        <v>89</v>
      </c>
      <c r="Q155">
        <v>3</v>
      </c>
      <c r="R155">
        <v>1</v>
      </c>
      <c r="S155" t="s">
        <v>59</v>
      </c>
      <c r="T155">
        <v>4</v>
      </c>
      <c r="U155" t="s">
        <v>104</v>
      </c>
      <c r="V155">
        <v>2061</v>
      </c>
      <c r="W155" t="s">
        <v>46</v>
      </c>
      <c r="X155">
        <v>11133</v>
      </c>
      <c r="Y155">
        <v>1</v>
      </c>
      <c r="Z155" t="s">
        <v>47</v>
      </c>
      <c r="AA155" t="s">
        <v>48</v>
      </c>
      <c r="AB155">
        <v>21</v>
      </c>
      <c r="AC155">
        <v>4</v>
      </c>
      <c r="AD155">
        <v>1</v>
      </c>
      <c r="AE155">
        <v>80</v>
      </c>
      <c r="AF155">
        <v>0</v>
      </c>
      <c r="AG155">
        <v>1</v>
      </c>
      <c r="AH155">
        <v>5</v>
      </c>
      <c r="AI155">
        <v>3</v>
      </c>
      <c r="AJ155">
        <v>1</v>
      </c>
      <c r="AK155">
        <v>0</v>
      </c>
      <c r="AL155">
        <v>0</v>
      </c>
    </row>
    <row r="156" spans="1:38" x14ac:dyDescent="0.3">
      <c r="A156" t="s">
        <v>220</v>
      </c>
      <c r="B156">
        <v>26</v>
      </c>
      <c r="C156" t="s">
        <v>189</v>
      </c>
      <c r="D156" t="s">
        <v>48</v>
      </c>
      <c r="E156">
        <f t="shared" si="2"/>
        <v>0</v>
      </c>
      <c r="F156" t="s">
        <v>58</v>
      </c>
      <c r="G156">
        <v>786</v>
      </c>
      <c r="H156" t="s">
        <v>41</v>
      </c>
      <c r="I156">
        <v>7</v>
      </c>
      <c r="J156">
        <v>3</v>
      </c>
      <c r="K156" t="s">
        <v>51</v>
      </c>
      <c r="L156">
        <v>1</v>
      </c>
      <c r="M156">
        <v>1693</v>
      </c>
      <c r="N156">
        <v>4</v>
      </c>
      <c r="O156" t="s">
        <v>43</v>
      </c>
      <c r="P156">
        <v>76</v>
      </c>
      <c r="Q156">
        <v>3</v>
      </c>
      <c r="R156">
        <v>1</v>
      </c>
      <c r="S156" t="s">
        <v>44</v>
      </c>
      <c r="T156">
        <v>4</v>
      </c>
      <c r="U156" t="s">
        <v>45</v>
      </c>
      <c r="V156">
        <v>2570</v>
      </c>
      <c r="W156" t="s">
        <v>46</v>
      </c>
      <c r="X156">
        <v>11925</v>
      </c>
      <c r="Y156">
        <v>1</v>
      </c>
      <c r="Z156" t="s">
        <v>47</v>
      </c>
      <c r="AA156" t="s">
        <v>48</v>
      </c>
      <c r="AB156">
        <v>20</v>
      </c>
      <c r="AC156">
        <v>4</v>
      </c>
      <c r="AD156">
        <v>3</v>
      </c>
      <c r="AE156">
        <v>80</v>
      </c>
      <c r="AF156">
        <v>0</v>
      </c>
      <c r="AG156">
        <v>7</v>
      </c>
      <c r="AH156">
        <v>5</v>
      </c>
      <c r="AI156">
        <v>3</v>
      </c>
      <c r="AJ156">
        <v>7</v>
      </c>
      <c r="AK156">
        <v>7</v>
      </c>
      <c r="AL156">
        <v>5</v>
      </c>
    </row>
    <row r="157" spans="1:38" x14ac:dyDescent="0.3">
      <c r="A157" t="s">
        <v>221</v>
      </c>
      <c r="B157">
        <v>26</v>
      </c>
      <c r="C157" t="s">
        <v>189</v>
      </c>
      <c r="D157" t="s">
        <v>48</v>
      </c>
      <c r="E157">
        <f t="shared" si="2"/>
        <v>0</v>
      </c>
      <c r="F157" t="s">
        <v>40</v>
      </c>
      <c r="G157">
        <v>390</v>
      </c>
      <c r="H157" t="s">
        <v>41</v>
      </c>
      <c r="I157">
        <v>17</v>
      </c>
      <c r="J157">
        <v>4</v>
      </c>
      <c r="K157" t="s">
        <v>51</v>
      </c>
      <c r="L157">
        <v>1</v>
      </c>
      <c r="M157">
        <v>1718</v>
      </c>
      <c r="N157">
        <v>4</v>
      </c>
      <c r="O157" t="s">
        <v>43</v>
      </c>
      <c r="P157">
        <v>62</v>
      </c>
      <c r="Q157">
        <v>1</v>
      </c>
      <c r="R157">
        <v>1</v>
      </c>
      <c r="S157" t="s">
        <v>44</v>
      </c>
      <c r="T157">
        <v>3</v>
      </c>
      <c r="U157" t="s">
        <v>104</v>
      </c>
      <c r="V157">
        <v>2305</v>
      </c>
      <c r="W157" t="s">
        <v>46</v>
      </c>
      <c r="X157">
        <v>6217</v>
      </c>
      <c r="Y157">
        <v>1</v>
      </c>
      <c r="Z157" t="s">
        <v>47</v>
      </c>
      <c r="AA157" t="s">
        <v>48</v>
      </c>
      <c r="AB157">
        <v>15</v>
      </c>
      <c r="AC157">
        <v>3</v>
      </c>
      <c r="AD157">
        <v>3</v>
      </c>
      <c r="AE157">
        <v>80</v>
      </c>
      <c r="AF157">
        <v>3</v>
      </c>
      <c r="AG157">
        <v>3</v>
      </c>
      <c r="AH157">
        <v>3</v>
      </c>
      <c r="AI157">
        <v>4</v>
      </c>
      <c r="AJ157">
        <v>3</v>
      </c>
      <c r="AK157">
        <v>2</v>
      </c>
      <c r="AL157">
        <v>0</v>
      </c>
    </row>
    <row r="158" spans="1:38" x14ac:dyDescent="0.3">
      <c r="A158" t="s">
        <v>222</v>
      </c>
      <c r="B158">
        <v>26</v>
      </c>
      <c r="C158" t="s">
        <v>189</v>
      </c>
      <c r="D158" t="s">
        <v>39</v>
      </c>
      <c r="E158">
        <f t="shared" si="2"/>
        <v>1</v>
      </c>
      <c r="F158" t="s">
        <v>40</v>
      </c>
      <c r="G158">
        <v>920</v>
      </c>
      <c r="H158" t="s">
        <v>70</v>
      </c>
      <c r="I158">
        <v>20</v>
      </c>
      <c r="J158">
        <v>2</v>
      </c>
      <c r="K158" t="s">
        <v>51</v>
      </c>
      <c r="L158">
        <v>1</v>
      </c>
      <c r="M158">
        <v>1818</v>
      </c>
      <c r="N158">
        <v>4</v>
      </c>
      <c r="O158" t="s">
        <v>52</v>
      </c>
      <c r="P158">
        <v>69</v>
      </c>
      <c r="Q158">
        <v>3</v>
      </c>
      <c r="R158">
        <v>1</v>
      </c>
      <c r="S158" t="s">
        <v>70</v>
      </c>
      <c r="T158">
        <v>2</v>
      </c>
      <c r="U158" t="s">
        <v>104</v>
      </c>
      <c r="V158">
        <v>2148</v>
      </c>
      <c r="W158" t="s">
        <v>46</v>
      </c>
      <c r="X158">
        <v>6889</v>
      </c>
      <c r="Y158">
        <v>0</v>
      </c>
      <c r="Z158" t="s">
        <v>47</v>
      </c>
      <c r="AA158" t="s">
        <v>39</v>
      </c>
      <c r="AB158">
        <v>11</v>
      </c>
      <c r="AC158">
        <v>3</v>
      </c>
      <c r="AD158">
        <v>3</v>
      </c>
      <c r="AE158">
        <v>80</v>
      </c>
      <c r="AF158">
        <v>0</v>
      </c>
      <c r="AG158">
        <v>6</v>
      </c>
      <c r="AH158">
        <v>3</v>
      </c>
      <c r="AI158">
        <v>3</v>
      </c>
      <c r="AJ158">
        <v>5</v>
      </c>
      <c r="AK158">
        <v>1</v>
      </c>
      <c r="AL158">
        <v>1</v>
      </c>
    </row>
    <row r="159" spans="1:38" x14ac:dyDescent="0.3">
      <c r="A159" t="s">
        <v>223</v>
      </c>
      <c r="B159">
        <v>26</v>
      </c>
      <c r="C159" t="s">
        <v>189</v>
      </c>
      <c r="D159" t="s">
        <v>48</v>
      </c>
      <c r="E159">
        <f t="shared" si="2"/>
        <v>0</v>
      </c>
      <c r="F159" t="s">
        <v>40</v>
      </c>
      <c r="G159">
        <v>572</v>
      </c>
      <c r="H159" t="s">
        <v>50</v>
      </c>
      <c r="I159">
        <v>10</v>
      </c>
      <c r="J159">
        <v>3</v>
      </c>
      <c r="K159" t="s">
        <v>51</v>
      </c>
      <c r="L159">
        <v>1</v>
      </c>
      <c r="M159">
        <v>1836</v>
      </c>
      <c r="N159">
        <v>3</v>
      </c>
      <c r="O159" t="s">
        <v>43</v>
      </c>
      <c r="P159">
        <v>46</v>
      </c>
      <c r="Q159">
        <v>3</v>
      </c>
      <c r="R159">
        <v>2</v>
      </c>
      <c r="S159" t="s">
        <v>136</v>
      </c>
      <c r="T159">
        <v>4</v>
      </c>
      <c r="U159" t="s">
        <v>45</v>
      </c>
      <c r="V159">
        <v>4684</v>
      </c>
      <c r="W159" t="s">
        <v>46</v>
      </c>
      <c r="X159">
        <v>9125</v>
      </c>
      <c r="Y159">
        <v>1</v>
      </c>
      <c r="Z159" t="s">
        <v>47</v>
      </c>
      <c r="AA159" t="s">
        <v>48</v>
      </c>
      <c r="AB159">
        <v>13</v>
      </c>
      <c r="AC159">
        <v>3</v>
      </c>
      <c r="AD159">
        <v>1</v>
      </c>
      <c r="AE159">
        <v>80</v>
      </c>
      <c r="AF159">
        <v>0</v>
      </c>
      <c r="AG159">
        <v>5</v>
      </c>
      <c r="AH159">
        <v>4</v>
      </c>
      <c r="AI159">
        <v>3</v>
      </c>
      <c r="AJ159">
        <v>5</v>
      </c>
      <c r="AK159">
        <v>3</v>
      </c>
      <c r="AL159">
        <v>1</v>
      </c>
    </row>
    <row r="160" spans="1:38" x14ac:dyDescent="0.3">
      <c r="A160" t="s">
        <v>224</v>
      </c>
      <c r="B160">
        <v>26</v>
      </c>
      <c r="C160" t="s">
        <v>189</v>
      </c>
      <c r="D160" t="s">
        <v>48</v>
      </c>
      <c r="E160">
        <f t="shared" si="2"/>
        <v>0</v>
      </c>
      <c r="F160" t="s">
        <v>40</v>
      </c>
      <c r="G160">
        <v>482</v>
      </c>
      <c r="H160" t="s">
        <v>41</v>
      </c>
      <c r="I160">
        <v>1</v>
      </c>
      <c r="J160">
        <v>2</v>
      </c>
      <c r="K160" t="s">
        <v>42</v>
      </c>
      <c r="L160">
        <v>1</v>
      </c>
      <c r="M160">
        <v>1893</v>
      </c>
      <c r="N160">
        <v>2</v>
      </c>
      <c r="O160" t="s">
        <v>52</v>
      </c>
      <c r="P160">
        <v>90</v>
      </c>
      <c r="Q160">
        <v>2</v>
      </c>
      <c r="R160">
        <v>1</v>
      </c>
      <c r="S160" t="s">
        <v>59</v>
      </c>
      <c r="T160">
        <v>3</v>
      </c>
      <c r="U160" t="s">
        <v>104</v>
      </c>
      <c r="V160">
        <v>2933</v>
      </c>
      <c r="W160" t="s">
        <v>46</v>
      </c>
      <c r="X160">
        <v>14908</v>
      </c>
      <c r="Y160">
        <v>1</v>
      </c>
      <c r="Z160" t="s">
        <v>47</v>
      </c>
      <c r="AA160" t="s">
        <v>39</v>
      </c>
      <c r="AB160">
        <v>13</v>
      </c>
      <c r="AC160">
        <v>3</v>
      </c>
      <c r="AD160">
        <v>3</v>
      </c>
      <c r="AE160">
        <v>80</v>
      </c>
      <c r="AF160">
        <v>1</v>
      </c>
      <c r="AG160">
        <v>1</v>
      </c>
      <c r="AH160">
        <v>3</v>
      </c>
      <c r="AI160">
        <v>2</v>
      </c>
      <c r="AJ160">
        <v>1</v>
      </c>
      <c r="AK160">
        <v>0</v>
      </c>
      <c r="AL160">
        <v>1</v>
      </c>
    </row>
    <row r="161" spans="1:38" x14ac:dyDescent="0.3">
      <c r="A161" t="s">
        <v>225</v>
      </c>
      <c r="B161">
        <v>26</v>
      </c>
      <c r="C161" t="s">
        <v>189</v>
      </c>
      <c r="D161" t="s">
        <v>48</v>
      </c>
      <c r="E161">
        <f t="shared" si="2"/>
        <v>0</v>
      </c>
      <c r="F161" t="s">
        <v>55</v>
      </c>
      <c r="G161">
        <v>1096</v>
      </c>
      <c r="H161" t="s">
        <v>41</v>
      </c>
      <c r="I161">
        <v>6</v>
      </c>
      <c r="J161">
        <v>3</v>
      </c>
      <c r="K161" t="s">
        <v>72</v>
      </c>
      <c r="L161">
        <v>1</v>
      </c>
      <c r="M161">
        <v>1918</v>
      </c>
      <c r="N161">
        <v>3</v>
      </c>
      <c r="O161" t="s">
        <v>43</v>
      </c>
      <c r="P161">
        <v>61</v>
      </c>
      <c r="Q161">
        <v>4</v>
      </c>
      <c r="R161">
        <v>1</v>
      </c>
      <c r="S161" t="s">
        <v>44</v>
      </c>
      <c r="T161">
        <v>4</v>
      </c>
      <c r="U161" t="s">
        <v>104</v>
      </c>
      <c r="V161">
        <v>2544</v>
      </c>
      <c r="W161" t="s">
        <v>46</v>
      </c>
      <c r="X161">
        <v>7102</v>
      </c>
      <c r="Y161">
        <v>0</v>
      </c>
      <c r="Z161" t="s">
        <v>47</v>
      </c>
      <c r="AA161" t="s">
        <v>48</v>
      </c>
      <c r="AB161">
        <v>18</v>
      </c>
      <c r="AC161">
        <v>3</v>
      </c>
      <c r="AD161">
        <v>1</v>
      </c>
      <c r="AE161">
        <v>80</v>
      </c>
      <c r="AF161">
        <v>1</v>
      </c>
      <c r="AG161">
        <v>8</v>
      </c>
      <c r="AH161">
        <v>3</v>
      </c>
      <c r="AI161">
        <v>3</v>
      </c>
      <c r="AJ161">
        <v>7</v>
      </c>
      <c r="AK161">
        <v>7</v>
      </c>
      <c r="AL161">
        <v>7</v>
      </c>
    </row>
    <row r="162" spans="1:38" x14ac:dyDescent="0.3">
      <c r="A162" t="s">
        <v>226</v>
      </c>
      <c r="B162">
        <v>26</v>
      </c>
      <c r="C162" t="s">
        <v>189</v>
      </c>
      <c r="D162" t="s">
        <v>48</v>
      </c>
      <c r="E162">
        <f t="shared" si="2"/>
        <v>0</v>
      </c>
      <c r="F162" t="s">
        <v>40</v>
      </c>
      <c r="G162">
        <v>157</v>
      </c>
      <c r="H162" t="s">
        <v>41</v>
      </c>
      <c r="I162">
        <v>1</v>
      </c>
      <c r="J162">
        <v>3</v>
      </c>
      <c r="K162" t="s">
        <v>51</v>
      </c>
      <c r="L162">
        <v>1</v>
      </c>
      <c r="M162">
        <v>1952</v>
      </c>
      <c r="N162">
        <v>3</v>
      </c>
      <c r="O162" t="s">
        <v>43</v>
      </c>
      <c r="P162">
        <v>95</v>
      </c>
      <c r="Q162">
        <v>3</v>
      </c>
      <c r="R162">
        <v>1</v>
      </c>
      <c r="S162" t="s">
        <v>44</v>
      </c>
      <c r="T162">
        <v>1</v>
      </c>
      <c r="U162" t="s">
        <v>45</v>
      </c>
      <c r="V162">
        <v>2867</v>
      </c>
      <c r="W162" t="s">
        <v>46</v>
      </c>
      <c r="X162">
        <v>20006</v>
      </c>
      <c r="Y162">
        <v>0</v>
      </c>
      <c r="Z162" t="s">
        <v>47</v>
      </c>
      <c r="AA162" t="s">
        <v>48</v>
      </c>
      <c r="AB162">
        <v>13</v>
      </c>
      <c r="AC162">
        <v>3</v>
      </c>
      <c r="AD162">
        <v>4</v>
      </c>
      <c r="AE162">
        <v>80</v>
      </c>
      <c r="AF162">
        <v>0</v>
      </c>
      <c r="AG162">
        <v>8</v>
      </c>
      <c r="AH162">
        <v>6</v>
      </c>
      <c r="AI162">
        <v>2</v>
      </c>
      <c r="AJ162">
        <v>7</v>
      </c>
      <c r="AK162">
        <v>7</v>
      </c>
      <c r="AL162">
        <v>7</v>
      </c>
    </row>
    <row r="163" spans="1:38" x14ac:dyDescent="0.3">
      <c r="A163" t="s">
        <v>227</v>
      </c>
      <c r="B163">
        <v>26</v>
      </c>
      <c r="C163" t="s">
        <v>189</v>
      </c>
      <c r="D163" t="s">
        <v>48</v>
      </c>
      <c r="E163">
        <f t="shared" si="2"/>
        <v>0</v>
      </c>
      <c r="F163" t="s">
        <v>40</v>
      </c>
      <c r="G163">
        <v>1167</v>
      </c>
      <c r="H163" t="s">
        <v>50</v>
      </c>
      <c r="I163">
        <v>5</v>
      </c>
      <c r="J163">
        <v>3</v>
      </c>
      <c r="K163" t="s">
        <v>72</v>
      </c>
      <c r="L163">
        <v>1</v>
      </c>
      <c r="M163">
        <v>2060</v>
      </c>
      <c r="N163">
        <v>4</v>
      </c>
      <c r="O163" t="s">
        <v>52</v>
      </c>
      <c r="P163">
        <v>30</v>
      </c>
      <c r="Q163">
        <v>2</v>
      </c>
      <c r="R163">
        <v>1</v>
      </c>
      <c r="S163" t="s">
        <v>53</v>
      </c>
      <c r="T163">
        <v>3</v>
      </c>
      <c r="U163" t="s">
        <v>45</v>
      </c>
      <c r="V163">
        <v>2966</v>
      </c>
      <c r="W163" t="s">
        <v>46</v>
      </c>
      <c r="X163">
        <v>21378</v>
      </c>
      <c r="Y163">
        <v>0</v>
      </c>
      <c r="Z163" t="s">
        <v>47</v>
      </c>
      <c r="AA163" t="s">
        <v>48</v>
      </c>
      <c r="AB163">
        <v>18</v>
      </c>
      <c r="AC163">
        <v>3</v>
      </c>
      <c r="AD163">
        <v>4</v>
      </c>
      <c r="AE163">
        <v>80</v>
      </c>
      <c r="AF163">
        <v>0</v>
      </c>
      <c r="AG163">
        <v>5</v>
      </c>
      <c r="AH163">
        <v>2</v>
      </c>
      <c r="AI163">
        <v>3</v>
      </c>
      <c r="AJ163">
        <v>4</v>
      </c>
      <c r="AK163">
        <v>2</v>
      </c>
      <c r="AL163">
        <v>0</v>
      </c>
    </row>
    <row r="164" spans="1:38" x14ac:dyDescent="0.3">
      <c r="A164" t="s">
        <v>228</v>
      </c>
      <c r="B164">
        <v>27</v>
      </c>
      <c r="C164" t="s">
        <v>189</v>
      </c>
      <c r="D164" t="s">
        <v>48</v>
      </c>
      <c r="E164">
        <f t="shared" si="2"/>
        <v>0</v>
      </c>
      <c r="F164" t="s">
        <v>40</v>
      </c>
      <c r="G164">
        <v>591</v>
      </c>
      <c r="H164" t="s">
        <v>41</v>
      </c>
      <c r="I164">
        <v>2</v>
      </c>
      <c r="J164">
        <v>1</v>
      </c>
      <c r="K164" t="s">
        <v>51</v>
      </c>
      <c r="L164">
        <v>1</v>
      </c>
      <c r="M164">
        <v>7</v>
      </c>
      <c r="N164">
        <v>1</v>
      </c>
      <c r="O164" t="s">
        <v>43</v>
      </c>
      <c r="P164">
        <v>40</v>
      </c>
      <c r="Q164">
        <v>3</v>
      </c>
      <c r="R164">
        <v>1</v>
      </c>
      <c r="S164" t="s">
        <v>44</v>
      </c>
      <c r="T164">
        <v>2</v>
      </c>
      <c r="U164" t="s">
        <v>104</v>
      </c>
      <c r="V164">
        <v>3468</v>
      </c>
      <c r="W164" t="s">
        <v>46</v>
      </c>
      <c r="X164">
        <v>16632</v>
      </c>
      <c r="Y164">
        <v>9</v>
      </c>
      <c r="Z164" t="s">
        <v>47</v>
      </c>
      <c r="AA164" t="s">
        <v>48</v>
      </c>
      <c r="AB164">
        <v>12</v>
      </c>
      <c r="AC164">
        <v>3</v>
      </c>
      <c r="AD164">
        <v>4</v>
      </c>
      <c r="AE164">
        <v>80</v>
      </c>
      <c r="AF164">
        <v>1</v>
      </c>
      <c r="AG164">
        <v>6</v>
      </c>
      <c r="AH164">
        <v>3</v>
      </c>
      <c r="AI164">
        <v>3</v>
      </c>
      <c r="AJ164">
        <v>2</v>
      </c>
      <c r="AK164">
        <v>2</v>
      </c>
      <c r="AL164">
        <v>2</v>
      </c>
    </row>
    <row r="165" spans="1:38" x14ac:dyDescent="0.3">
      <c r="A165" t="s">
        <v>229</v>
      </c>
      <c r="B165">
        <v>27</v>
      </c>
      <c r="C165" t="s">
        <v>189</v>
      </c>
      <c r="D165" t="s">
        <v>48</v>
      </c>
      <c r="E165">
        <f t="shared" si="2"/>
        <v>0</v>
      </c>
      <c r="F165" t="s">
        <v>40</v>
      </c>
      <c r="G165">
        <v>1240</v>
      </c>
      <c r="H165" t="s">
        <v>41</v>
      </c>
      <c r="I165">
        <v>2</v>
      </c>
      <c r="J165">
        <v>4</v>
      </c>
      <c r="K165" t="s">
        <v>42</v>
      </c>
      <c r="L165">
        <v>1</v>
      </c>
      <c r="M165">
        <v>54</v>
      </c>
      <c r="N165">
        <v>4</v>
      </c>
      <c r="O165" t="s">
        <v>52</v>
      </c>
      <c r="P165">
        <v>33</v>
      </c>
      <c r="Q165">
        <v>3</v>
      </c>
      <c r="R165">
        <v>1</v>
      </c>
      <c r="S165" t="s">
        <v>44</v>
      </c>
      <c r="T165">
        <v>1</v>
      </c>
      <c r="U165" t="s">
        <v>101</v>
      </c>
      <c r="V165">
        <v>2341</v>
      </c>
      <c r="W165" t="s">
        <v>46</v>
      </c>
      <c r="X165">
        <v>19715</v>
      </c>
      <c r="Y165">
        <v>1</v>
      </c>
      <c r="Z165" t="s">
        <v>47</v>
      </c>
      <c r="AA165" t="s">
        <v>48</v>
      </c>
      <c r="AB165">
        <v>13</v>
      </c>
      <c r="AC165">
        <v>3</v>
      </c>
      <c r="AD165">
        <v>4</v>
      </c>
      <c r="AE165">
        <v>80</v>
      </c>
      <c r="AF165">
        <v>1</v>
      </c>
      <c r="AG165">
        <v>1</v>
      </c>
      <c r="AH165">
        <v>6</v>
      </c>
      <c r="AI165">
        <v>3</v>
      </c>
      <c r="AJ165">
        <v>1</v>
      </c>
      <c r="AK165">
        <v>0</v>
      </c>
      <c r="AL165">
        <v>0</v>
      </c>
    </row>
    <row r="166" spans="1:38" x14ac:dyDescent="0.3">
      <c r="A166" t="s">
        <v>230</v>
      </c>
      <c r="B166">
        <v>27</v>
      </c>
      <c r="C166" t="s">
        <v>189</v>
      </c>
      <c r="D166" t="s">
        <v>48</v>
      </c>
      <c r="E166">
        <f t="shared" si="2"/>
        <v>0</v>
      </c>
      <c r="F166" t="s">
        <v>55</v>
      </c>
      <c r="G166">
        <v>994</v>
      </c>
      <c r="H166" t="s">
        <v>50</v>
      </c>
      <c r="I166">
        <v>8</v>
      </c>
      <c r="J166">
        <v>3</v>
      </c>
      <c r="K166" t="s">
        <v>42</v>
      </c>
      <c r="L166">
        <v>1</v>
      </c>
      <c r="M166">
        <v>56</v>
      </c>
      <c r="N166">
        <v>4</v>
      </c>
      <c r="O166" t="s">
        <v>43</v>
      </c>
      <c r="P166">
        <v>37</v>
      </c>
      <c r="Q166">
        <v>3</v>
      </c>
      <c r="R166">
        <v>3</v>
      </c>
      <c r="S166" t="s">
        <v>136</v>
      </c>
      <c r="T166">
        <v>3</v>
      </c>
      <c r="U166" t="s">
        <v>45</v>
      </c>
      <c r="V166">
        <v>8726</v>
      </c>
      <c r="W166" t="s">
        <v>162</v>
      </c>
      <c r="X166">
        <v>2975</v>
      </c>
      <c r="Y166">
        <v>1</v>
      </c>
      <c r="Z166" t="s">
        <v>47</v>
      </c>
      <c r="AA166" t="s">
        <v>48</v>
      </c>
      <c r="AB166">
        <v>15</v>
      </c>
      <c r="AC166">
        <v>3</v>
      </c>
      <c r="AD166">
        <v>4</v>
      </c>
      <c r="AE166">
        <v>80</v>
      </c>
      <c r="AF166">
        <v>0</v>
      </c>
      <c r="AG166">
        <v>9</v>
      </c>
      <c r="AH166">
        <v>0</v>
      </c>
      <c r="AI166">
        <v>3</v>
      </c>
      <c r="AJ166">
        <v>9</v>
      </c>
      <c r="AK166">
        <v>8</v>
      </c>
      <c r="AL166">
        <v>1</v>
      </c>
    </row>
    <row r="167" spans="1:38" x14ac:dyDescent="0.3">
      <c r="A167" t="s">
        <v>231</v>
      </c>
      <c r="B167">
        <v>27</v>
      </c>
      <c r="C167" t="s">
        <v>189</v>
      </c>
      <c r="D167" t="s">
        <v>48</v>
      </c>
      <c r="E167">
        <f t="shared" si="2"/>
        <v>0</v>
      </c>
      <c r="F167" t="s">
        <v>58</v>
      </c>
      <c r="G167">
        <v>691</v>
      </c>
      <c r="H167" t="s">
        <v>41</v>
      </c>
      <c r="I167">
        <v>9</v>
      </c>
      <c r="J167">
        <v>3</v>
      </c>
      <c r="K167" t="s">
        <v>51</v>
      </c>
      <c r="L167">
        <v>1</v>
      </c>
      <c r="M167">
        <v>218</v>
      </c>
      <c r="N167">
        <v>4</v>
      </c>
      <c r="O167" t="s">
        <v>43</v>
      </c>
      <c r="P167">
        <v>57</v>
      </c>
      <c r="Q167">
        <v>3</v>
      </c>
      <c r="R167">
        <v>1</v>
      </c>
      <c r="S167" t="s">
        <v>59</v>
      </c>
      <c r="T167">
        <v>2</v>
      </c>
      <c r="U167" t="s">
        <v>101</v>
      </c>
      <c r="V167">
        <v>2024</v>
      </c>
      <c r="W167" t="s">
        <v>46</v>
      </c>
      <c r="X167">
        <v>5970</v>
      </c>
      <c r="Y167">
        <v>6</v>
      </c>
      <c r="Z167" t="s">
        <v>47</v>
      </c>
      <c r="AA167" t="s">
        <v>48</v>
      </c>
      <c r="AB167">
        <v>18</v>
      </c>
      <c r="AC167">
        <v>3</v>
      </c>
      <c r="AD167">
        <v>4</v>
      </c>
      <c r="AE167">
        <v>80</v>
      </c>
      <c r="AF167">
        <v>1</v>
      </c>
      <c r="AG167">
        <v>6</v>
      </c>
      <c r="AH167">
        <v>1</v>
      </c>
      <c r="AI167">
        <v>1</v>
      </c>
      <c r="AJ167">
        <v>2</v>
      </c>
      <c r="AK167">
        <v>2</v>
      </c>
      <c r="AL167">
        <v>2</v>
      </c>
    </row>
    <row r="168" spans="1:38" x14ac:dyDescent="0.3">
      <c r="A168" t="s">
        <v>232</v>
      </c>
      <c r="B168">
        <v>27</v>
      </c>
      <c r="C168" t="s">
        <v>189</v>
      </c>
      <c r="D168" t="s">
        <v>48</v>
      </c>
      <c r="E168">
        <f t="shared" si="2"/>
        <v>0</v>
      </c>
      <c r="F168" t="s">
        <v>58</v>
      </c>
      <c r="G168">
        <v>1450</v>
      </c>
      <c r="H168" t="s">
        <v>41</v>
      </c>
      <c r="I168">
        <v>3</v>
      </c>
      <c r="J168">
        <v>3</v>
      </c>
      <c r="K168" t="s">
        <v>51</v>
      </c>
      <c r="L168">
        <v>1</v>
      </c>
      <c r="M168">
        <v>224</v>
      </c>
      <c r="N168">
        <v>3</v>
      </c>
      <c r="O168" t="s">
        <v>43</v>
      </c>
      <c r="P168">
        <v>79</v>
      </c>
      <c r="Q168">
        <v>2</v>
      </c>
      <c r="R168">
        <v>1</v>
      </c>
      <c r="S168" t="s">
        <v>59</v>
      </c>
      <c r="T168">
        <v>3</v>
      </c>
      <c r="U168" t="s">
        <v>101</v>
      </c>
      <c r="V168">
        <v>2566</v>
      </c>
      <c r="W168" t="s">
        <v>46</v>
      </c>
      <c r="X168">
        <v>25326</v>
      </c>
      <c r="Y168">
        <v>1</v>
      </c>
      <c r="Z168" t="s">
        <v>47</v>
      </c>
      <c r="AA168" t="s">
        <v>39</v>
      </c>
      <c r="AB168">
        <v>15</v>
      </c>
      <c r="AC168">
        <v>3</v>
      </c>
      <c r="AD168">
        <v>4</v>
      </c>
      <c r="AE168">
        <v>80</v>
      </c>
      <c r="AF168">
        <v>1</v>
      </c>
      <c r="AG168">
        <v>1</v>
      </c>
      <c r="AH168">
        <v>2</v>
      </c>
      <c r="AI168">
        <v>2</v>
      </c>
      <c r="AJ168">
        <v>1</v>
      </c>
      <c r="AK168">
        <v>1</v>
      </c>
      <c r="AL168">
        <v>0</v>
      </c>
    </row>
    <row r="169" spans="1:38" x14ac:dyDescent="0.3">
      <c r="A169" t="s">
        <v>233</v>
      </c>
      <c r="B169">
        <v>27</v>
      </c>
      <c r="C169" t="s">
        <v>189</v>
      </c>
      <c r="D169" t="s">
        <v>48</v>
      </c>
      <c r="E169">
        <f t="shared" si="2"/>
        <v>0</v>
      </c>
      <c r="F169" t="s">
        <v>40</v>
      </c>
      <c r="G169">
        <v>1157</v>
      </c>
      <c r="H169" t="s">
        <v>41</v>
      </c>
      <c r="I169">
        <v>17</v>
      </c>
      <c r="J169">
        <v>3</v>
      </c>
      <c r="K169" t="s">
        <v>67</v>
      </c>
      <c r="L169">
        <v>1</v>
      </c>
      <c r="M169">
        <v>233</v>
      </c>
      <c r="N169">
        <v>3</v>
      </c>
      <c r="O169" t="s">
        <v>43</v>
      </c>
      <c r="P169">
        <v>51</v>
      </c>
      <c r="Q169">
        <v>3</v>
      </c>
      <c r="R169">
        <v>1</v>
      </c>
      <c r="S169" t="s">
        <v>59</v>
      </c>
      <c r="T169">
        <v>2</v>
      </c>
      <c r="U169" t="s">
        <v>104</v>
      </c>
      <c r="V169">
        <v>3058</v>
      </c>
      <c r="W169" t="s">
        <v>46</v>
      </c>
      <c r="X169">
        <v>13364</v>
      </c>
      <c r="Y169">
        <v>0</v>
      </c>
      <c r="Z169" t="s">
        <v>47</v>
      </c>
      <c r="AA169" t="s">
        <v>39</v>
      </c>
      <c r="AB169">
        <v>16</v>
      </c>
      <c r="AC169">
        <v>3</v>
      </c>
      <c r="AD169">
        <v>4</v>
      </c>
      <c r="AE169">
        <v>80</v>
      </c>
      <c r="AF169">
        <v>1</v>
      </c>
      <c r="AG169">
        <v>6</v>
      </c>
      <c r="AH169">
        <v>3</v>
      </c>
      <c r="AI169">
        <v>2</v>
      </c>
      <c r="AJ169">
        <v>5</v>
      </c>
      <c r="AK169">
        <v>2</v>
      </c>
      <c r="AL169">
        <v>1</v>
      </c>
    </row>
    <row r="170" spans="1:38" x14ac:dyDescent="0.3">
      <c r="A170" t="s">
        <v>234</v>
      </c>
      <c r="B170">
        <v>27</v>
      </c>
      <c r="C170" t="s">
        <v>189</v>
      </c>
      <c r="D170" t="s">
        <v>48</v>
      </c>
      <c r="E170">
        <f t="shared" si="2"/>
        <v>0</v>
      </c>
      <c r="F170" t="s">
        <v>40</v>
      </c>
      <c r="G170">
        <v>894</v>
      </c>
      <c r="H170" t="s">
        <v>41</v>
      </c>
      <c r="I170">
        <v>9</v>
      </c>
      <c r="J170">
        <v>3</v>
      </c>
      <c r="K170" t="s">
        <v>51</v>
      </c>
      <c r="L170">
        <v>1</v>
      </c>
      <c r="M170">
        <v>260</v>
      </c>
      <c r="N170">
        <v>4</v>
      </c>
      <c r="O170" t="s">
        <v>52</v>
      </c>
      <c r="P170">
        <v>99</v>
      </c>
      <c r="Q170">
        <v>3</v>
      </c>
      <c r="R170">
        <v>1</v>
      </c>
      <c r="S170" t="s">
        <v>59</v>
      </c>
      <c r="T170">
        <v>2</v>
      </c>
      <c r="U170" t="s">
        <v>45</v>
      </c>
      <c r="V170">
        <v>2279</v>
      </c>
      <c r="W170" t="s">
        <v>46</v>
      </c>
      <c r="X170">
        <v>11781</v>
      </c>
      <c r="Y170">
        <v>1</v>
      </c>
      <c r="Z170" t="s">
        <v>47</v>
      </c>
      <c r="AA170" t="s">
        <v>48</v>
      </c>
      <c r="AB170">
        <v>16</v>
      </c>
      <c r="AC170">
        <v>3</v>
      </c>
      <c r="AD170">
        <v>4</v>
      </c>
      <c r="AE170">
        <v>80</v>
      </c>
      <c r="AF170">
        <v>0</v>
      </c>
      <c r="AG170">
        <v>7</v>
      </c>
      <c r="AH170">
        <v>2</v>
      </c>
      <c r="AI170">
        <v>2</v>
      </c>
      <c r="AJ170">
        <v>7</v>
      </c>
      <c r="AK170">
        <v>7</v>
      </c>
      <c r="AL170">
        <v>0</v>
      </c>
    </row>
    <row r="171" spans="1:38" x14ac:dyDescent="0.3">
      <c r="A171" t="s">
        <v>235</v>
      </c>
      <c r="B171">
        <v>27</v>
      </c>
      <c r="C171" t="s">
        <v>189</v>
      </c>
      <c r="D171" t="s">
        <v>48</v>
      </c>
      <c r="E171">
        <f t="shared" si="2"/>
        <v>0</v>
      </c>
      <c r="F171" t="s">
        <v>55</v>
      </c>
      <c r="G171">
        <v>472</v>
      </c>
      <c r="H171" t="s">
        <v>41</v>
      </c>
      <c r="I171">
        <v>1</v>
      </c>
      <c r="J171">
        <v>1</v>
      </c>
      <c r="K171" t="s">
        <v>67</v>
      </c>
      <c r="L171">
        <v>1</v>
      </c>
      <c r="M171">
        <v>274</v>
      </c>
      <c r="N171">
        <v>3</v>
      </c>
      <c r="O171" t="s">
        <v>43</v>
      </c>
      <c r="P171">
        <v>60</v>
      </c>
      <c r="Q171">
        <v>2</v>
      </c>
      <c r="R171">
        <v>2</v>
      </c>
      <c r="S171" t="s">
        <v>111</v>
      </c>
      <c r="T171">
        <v>1</v>
      </c>
      <c r="U171" t="s">
        <v>104</v>
      </c>
      <c r="V171">
        <v>4298</v>
      </c>
      <c r="W171" t="s">
        <v>46</v>
      </c>
      <c r="X171">
        <v>9679</v>
      </c>
      <c r="Y171">
        <v>5</v>
      </c>
      <c r="Z171" t="s">
        <v>47</v>
      </c>
      <c r="AA171" t="s">
        <v>48</v>
      </c>
      <c r="AB171">
        <v>19</v>
      </c>
      <c r="AC171">
        <v>3</v>
      </c>
      <c r="AD171">
        <v>3</v>
      </c>
      <c r="AE171">
        <v>80</v>
      </c>
      <c r="AF171">
        <v>1</v>
      </c>
      <c r="AG171">
        <v>6</v>
      </c>
      <c r="AH171">
        <v>1</v>
      </c>
      <c r="AI171">
        <v>3</v>
      </c>
      <c r="AJ171">
        <v>2</v>
      </c>
      <c r="AK171">
        <v>2</v>
      </c>
      <c r="AL171">
        <v>2</v>
      </c>
    </row>
    <row r="172" spans="1:38" x14ac:dyDescent="0.3">
      <c r="A172" t="s">
        <v>236</v>
      </c>
      <c r="B172">
        <v>27</v>
      </c>
      <c r="C172" t="s">
        <v>189</v>
      </c>
      <c r="D172" t="s">
        <v>48</v>
      </c>
      <c r="E172">
        <f t="shared" si="2"/>
        <v>0</v>
      </c>
      <c r="F172" t="s">
        <v>55</v>
      </c>
      <c r="G172">
        <v>1242</v>
      </c>
      <c r="H172" t="s">
        <v>50</v>
      </c>
      <c r="I172">
        <v>20</v>
      </c>
      <c r="J172">
        <v>3</v>
      </c>
      <c r="K172" t="s">
        <v>42</v>
      </c>
      <c r="L172">
        <v>1</v>
      </c>
      <c r="M172">
        <v>293</v>
      </c>
      <c r="N172">
        <v>4</v>
      </c>
      <c r="O172" t="s">
        <v>52</v>
      </c>
      <c r="P172">
        <v>90</v>
      </c>
      <c r="Q172">
        <v>3</v>
      </c>
      <c r="R172">
        <v>2</v>
      </c>
      <c r="S172" t="s">
        <v>136</v>
      </c>
      <c r="T172">
        <v>3</v>
      </c>
      <c r="U172" t="s">
        <v>45</v>
      </c>
      <c r="V172">
        <v>9981</v>
      </c>
      <c r="W172" t="s">
        <v>162</v>
      </c>
      <c r="X172">
        <v>12916</v>
      </c>
      <c r="Y172">
        <v>1</v>
      </c>
      <c r="Z172" t="s">
        <v>47</v>
      </c>
      <c r="AA172" t="s">
        <v>48</v>
      </c>
      <c r="AB172">
        <v>14</v>
      </c>
      <c r="AC172">
        <v>3</v>
      </c>
      <c r="AD172">
        <v>4</v>
      </c>
      <c r="AE172">
        <v>80</v>
      </c>
      <c r="AF172">
        <v>0</v>
      </c>
      <c r="AG172">
        <v>7</v>
      </c>
      <c r="AH172">
        <v>2</v>
      </c>
      <c r="AI172">
        <v>3</v>
      </c>
      <c r="AJ172">
        <v>7</v>
      </c>
      <c r="AK172">
        <v>7</v>
      </c>
      <c r="AL172">
        <v>0</v>
      </c>
    </row>
    <row r="173" spans="1:38" x14ac:dyDescent="0.3">
      <c r="A173" t="s">
        <v>237</v>
      </c>
      <c r="B173">
        <v>27</v>
      </c>
      <c r="C173" t="s">
        <v>189</v>
      </c>
      <c r="D173" t="s">
        <v>48</v>
      </c>
      <c r="E173">
        <f t="shared" si="2"/>
        <v>0</v>
      </c>
      <c r="F173" t="s">
        <v>40</v>
      </c>
      <c r="G173">
        <v>1220</v>
      </c>
      <c r="H173" t="s">
        <v>41</v>
      </c>
      <c r="I173">
        <v>5</v>
      </c>
      <c r="J173">
        <v>3</v>
      </c>
      <c r="K173" t="s">
        <v>42</v>
      </c>
      <c r="L173">
        <v>1</v>
      </c>
      <c r="M173">
        <v>434</v>
      </c>
      <c r="N173">
        <v>3</v>
      </c>
      <c r="O173" t="s">
        <v>52</v>
      </c>
      <c r="P173">
        <v>85</v>
      </c>
      <c r="Q173">
        <v>3</v>
      </c>
      <c r="R173">
        <v>1</v>
      </c>
      <c r="S173" t="s">
        <v>59</v>
      </c>
      <c r="T173">
        <v>2</v>
      </c>
      <c r="U173" t="s">
        <v>45</v>
      </c>
      <c r="V173">
        <v>2478</v>
      </c>
      <c r="W173" t="s">
        <v>46</v>
      </c>
      <c r="X173">
        <v>20938</v>
      </c>
      <c r="Y173">
        <v>1</v>
      </c>
      <c r="Z173" t="s">
        <v>47</v>
      </c>
      <c r="AA173" t="s">
        <v>39</v>
      </c>
      <c r="AB173">
        <v>12</v>
      </c>
      <c r="AC173">
        <v>3</v>
      </c>
      <c r="AD173">
        <v>2</v>
      </c>
      <c r="AE173">
        <v>80</v>
      </c>
      <c r="AF173">
        <v>0</v>
      </c>
      <c r="AG173">
        <v>4</v>
      </c>
      <c r="AH173">
        <v>2</v>
      </c>
      <c r="AI173">
        <v>2</v>
      </c>
      <c r="AJ173">
        <v>4</v>
      </c>
      <c r="AK173">
        <v>3</v>
      </c>
      <c r="AL173">
        <v>1</v>
      </c>
    </row>
    <row r="174" spans="1:38" x14ac:dyDescent="0.3">
      <c r="A174" t="s">
        <v>238</v>
      </c>
      <c r="B174">
        <v>27</v>
      </c>
      <c r="C174" t="s">
        <v>189</v>
      </c>
      <c r="D174" t="s">
        <v>48</v>
      </c>
      <c r="E174">
        <f t="shared" si="2"/>
        <v>0</v>
      </c>
      <c r="F174" t="s">
        <v>40</v>
      </c>
      <c r="G174">
        <v>1377</v>
      </c>
      <c r="H174" t="s">
        <v>50</v>
      </c>
      <c r="I174">
        <v>2</v>
      </c>
      <c r="J174">
        <v>3</v>
      </c>
      <c r="K174" t="s">
        <v>42</v>
      </c>
      <c r="L174">
        <v>1</v>
      </c>
      <c r="M174">
        <v>437</v>
      </c>
      <c r="N174">
        <v>4</v>
      </c>
      <c r="O174" t="s">
        <v>43</v>
      </c>
      <c r="P174">
        <v>74</v>
      </c>
      <c r="Q174">
        <v>3</v>
      </c>
      <c r="R174">
        <v>2</v>
      </c>
      <c r="S174" t="s">
        <v>136</v>
      </c>
      <c r="T174">
        <v>3</v>
      </c>
      <c r="U174" t="s">
        <v>45</v>
      </c>
      <c r="V174">
        <v>4478</v>
      </c>
      <c r="W174" t="s">
        <v>46</v>
      </c>
      <c r="X174">
        <v>5242</v>
      </c>
      <c r="Y174">
        <v>1</v>
      </c>
      <c r="Z174" t="s">
        <v>47</v>
      </c>
      <c r="AA174" t="s">
        <v>39</v>
      </c>
      <c r="AB174">
        <v>11</v>
      </c>
      <c r="AC174">
        <v>3</v>
      </c>
      <c r="AD174">
        <v>1</v>
      </c>
      <c r="AE174">
        <v>80</v>
      </c>
      <c r="AF174">
        <v>0</v>
      </c>
      <c r="AG174">
        <v>5</v>
      </c>
      <c r="AH174">
        <v>3</v>
      </c>
      <c r="AI174">
        <v>3</v>
      </c>
      <c r="AJ174">
        <v>5</v>
      </c>
      <c r="AK174">
        <v>4</v>
      </c>
      <c r="AL174">
        <v>0</v>
      </c>
    </row>
    <row r="175" spans="1:38" x14ac:dyDescent="0.3">
      <c r="A175" t="s">
        <v>239</v>
      </c>
      <c r="B175">
        <v>27</v>
      </c>
      <c r="C175" t="s">
        <v>189</v>
      </c>
      <c r="D175" t="s">
        <v>48</v>
      </c>
      <c r="E175">
        <f t="shared" si="2"/>
        <v>0</v>
      </c>
      <c r="F175" t="s">
        <v>58</v>
      </c>
      <c r="G175">
        <v>210</v>
      </c>
      <c r="H175" t="s">
        <v>50</v>
      </c>
      <c r="I175">
        <v>1</v>
      </c>
      <c r="J175">
        <v>1</v>
      </c>
      <c r="K175" t="s">
        <v>56</v>
      </c>
      <c r="L175">
        <v>1</v>
      </c>
      <c r="M175">
        <v>449</v>
      </c>
      <c r="N175">
        <v>3</v>
      </c>
      <c r="O175" t="s">
        <v>43</v>
      </c>
      <c r="P175">
        <v>73</v>
      </c>
      <c r="Q175">
        <v>3</v>
      </c>
      <c r="R175">
        <v>2</v>
      </c>
      <c r="S175" t="s">
        <v>136</v>
      </c>
      <c r="T175">
        <v>2</v>
      </c>
      <c r="U175" t="s">
        <v>104</v>
      </c>
      <c r="V175">
        <v>6349</v>
      </c>
      <c r="W175" t="s">
        <v>162</v>
      </c>
      <c r="X175">
        <v>22107</v>
      </c>
      <c r="Y175">
        <v>0</v>
      </c>
      <c r="Z175" t="s">
        <v>47</v>
      </c>
      <c r="AA175" t="s">
        <v>39</v>
      </c>
      <c r="AB175">
        <v>13</v>
      </c>
      <c r="AC175">
        <v>3</v>
      </c>
      <c r="AD175">
        <v>4</v>
      </c>
      <c r="AE175">
        <v>80</v>
      </c>
      <c r="AF175">
        <v>1</v>
      </c>
      <c r="AG175">
        <v>6</v>
      </c>
      <c r="AH175">
        <v>0</v>
      </c>
      <c r="AI175">
        <v>3</v>
      </c>
      <c r="AJ175">
        <v>5</v>
      </c>
      <c r="AK175">
        <v>4</v>
      </c>
      <c r="AL175">
        <v>1</v>
      </c>
    </row>
    <row r="176" spans="1:38" x14ac:dyDescent="0.3">
      <c r="A176" t="s">
        <v>240</v>
      </c>
      <c r="B176">
        <v>27</v>
      </c>
      <c r="C176" t="s">
        <v>189</v>
      </c>
      <c r="D176" t="s">
        <v>48</v>
      </c>
      <c r="E176">
        <f t="shared" si="2"/>
        <v>0</v>
      </c>
      <c r="F176" t="s">
        <v>40</v>
      </c>
      <c r="G176">
        <v>1130</v>
      </c>
      <c r="H176" t="s">
        <v>50</v>
      </c>
      <c r="I176">
        <v>8</v>
      </c>
      <c r="J176">
        <v>4</v>
      </c>
      <c r="K176" t="s">
        <v>56</v>
      </c>
      <c r="L176">
        <v>1</v>
      </c>
      <c r="M176">
        <v>458</v>
      </c>
      <c r="N176">
        <v>2</v>
      </c>
      <c r="O176" t="s">
        <v>52</v>
      </c>
      <c r="P176">
        <v>56</v>
      </c>
      <c r="Q176">
        <v>3</v>
      </c>
      <c r="R176">
        <v>2</v>
      </c>
      <c r="S176" t="s">
        <v>136</v>
      </c>
      <c r="T176">
        <v>2</v>
      </c>
      <c r="U176" t="s">
        <v>104</v>
      </c>
      <c r="V176">
        <v>6214</v>
      </c>
      <c r="W176" t="s">
        <v>162</v>
      </c>
      <c r="X176">
        <v>3415</v>
      </c>
      <c r="Y176">
        <v>1</v>
      </c>
      <c r="Z176" t="s">
        <v>47</v>
      </c>
      <c r="AA176" t="s">
        <v>48</v>
      </c>
      <c r="AB176">
        <v>18</v>
      </c>
      <c r="AC176">
        <v>3</v>
      </c>
      <c r="AD176">
        <v>1</v>
      </c>
      <c r="AE176">
        <v>80</v>
      </c>
      <c r="AF176">
        <v>1</v>
      </c>
      <c r="AG176">
        <v>8</v>
      </c>
      <c r="AH176">
        <v>3</v>
      </c>
      <c r="AI176">
        <v>3</v>
      </c>
      <c r="AJ176">
        <v>8</v>
      </c>
      <c r="AK176">
        <v>7</v>
      </c>
      <c r="AL176">
        <v>0</v>
      </c>
    </row>
    <row r="177" spans="1:38" x14ac:dyDescent="0.3">
      <c r="A177" t="s">
        <v>241</v>
      </c>
      <c r="B177">
        <v>27</v>
      </c>
      <c r="C177" t="s">
        <v>189</v>
      </c>
      <c r="D177" t="s">
        <v>48</v>
      </c>
      <c r="E177">
        <f t="shared" si="2"/>
        <v>0</v>
      </c>
      <c r="F177" t="s">
        <v>40</v>
      </c>
      <c r="G177">
        <v>1469</v>
      </c>
      <c r="H177" t="s">
        <v>41</v>
      </c>
      <c r="I177">
        <v>1</v>
      </c>
      <c r="J177">
        <v>2</v>
      </c>
      <c r="K177" t="s">
        <v>51</v>
      </c>
      <c r="L177">
        <v>1</v>
      </c>
      <c r="M177">
        <v>497</v>
      </c>
      <c r="N177">
        <v>4</v>
      </c>
      <c r="O177" t="s">
        <v>43</v>
      </c>
      <c r="P177">
        <v>82</v>
      </c>
      <c r="Q177">
        <v>3</v>
      </c>
      <c r="R177">
        <v>1</v>
      </c>
      <c r="S177" t="s">
        <v>44</v>
      </c>
      <c r="T177">
        <v>2</v>
      </c>
      <c r="U177" t="s">
        <v>101</v>
      </c>
      <c r="V177">
        <v>3816</v>
      </c>
      <c r="W177" t="s">
        <v>46</v>
      </c>
      <c r="X177">
        <v>17881</v>
      </c>
      <c r="Y177">
        <v>1</v>
      </c>
      <c r="Z177" t="s">
        <v>47</v>
      </c>
      <c r="AA177" t="s">
        <v>48</v>
      </c>
      <c r="AB177">
        <v>11</v>
      </c>
      <c r="AC177">
        <v>3</v>
      </c>
      <c r="AD177">
        <v>2</v>
      </c>
      <c r="AE177">
        <v>80</v>
      </c>
      <c r="AF177">
        <v>1</v>
      </c>
      <c r="AG177">
        <v>5</v>
      </c>
      <c r="AH177">
        <v>2</v>
      </c>
      <c r="AI177">
        <v>3</v>
      </c>
      <c r="AJ177">
        <v>5</v>
      </c>
      <c r="AK177">
        <v>2</v>
      </c>
      <c r="AL177">
        <v>0</v>
      </c>
    </row>
    <row r="178" spans="1:38" x14ac:dyDescent="0.3">
      <c r="A178" t="s">
        <v>242</v>
      </c>
      <c r="B178">
        <v>27</v>
      </c>
      <c r="C178" t="s">
        <v>189</v>
      </c>
      <c r="D178" t="s">
        <v>48</v>
      </c>
      <c r="E178">
        <f t="shared" si="2"/>
        <v>0</v>
      </c>
      <c r="F178" t="s">
        <v>40</v>
      </c>
      <c r="G178">
        <v>798</v>
      </c>
      <c r="H178" t="s">
        <v>41</v>
      </c>
      <c r="I178">
        <v>6</v>
      </c>
      <c r="J178">
        <v>4</v>
      </c>
      <c r="K178" t="s">
        <v>51</v>
      </c>
      <c r="L178">
        <v>1</v>
      </c>
      <c r="M178">
        <v>655</v>
      </c>
      <c r="N178">
        <v>1</v>
      </c>
      <c r="O178" t="s">
        <v>52</v>
      </c>
      <c r="P178">
        <v>66</v>
      </c>
      <c r="Q178">
        <v>2</v>
      </c>
      <c r="R178">
        <v>1</v>
      </c>
      <c r="S178" t="s">
        <v>59</v>
      </c>
      <c r="T178">
        <v>3</v>
      </c>
      <c r="U178" t="s">
        <v>101</v>
      </c>
      <c r="V178">
        <v>2187</v>
      </c>
      <c r="W178" t="s">
        <v>46</v>
      </c>
      <c r="X178">
        <v>5013</v>
      </c>
      <c r="Y178">
        <v>0</v>
      </c>
      <c r="Z178" t="s">
        <v>47</v>
      </c>
      <c r="AA178" t="s">
        <v>48</v>
      </c>
      <c r="AB178">
        <v>12</v>
      </c>
      <c r="AC178">
        <v>3</v>
      </c>
      <c r="AD178">
        <v>3</v>
      </c>
      <c r="AE178">
        <v>80</v>
      </c>
      <c r="AF178">
        <v>2</v>
      </c>
      <c r="AG178">
        <v>6</v>
      </c>
      <c r="AH178">
        <v>5</v>
      </c>
      <c r="AI178">
        <v>2</v>
      </c>
      <c r="AJ178">
        <v>5</v>
      </c>
      <c r="AK178">
        <v>3</v>
      </c>
      <c r="AL178">
        <v>0</v>
      </c>
    </row>
    <row r="179" spans="1:38" x14ac:dyDescent="0.3">
      <c r="A179" t="s">
        <v>243</v>
      </c>
      <c r="B179">
        <v>27</v>
      </c>
      <c r="C179" t="s">
        <v>189</v>
      </c>
      <c r="D179" t="s">
        <v>39</v>
      </c>
      <c r="E179">
        <f t="shared" si="2"/>
        <v>1</v>
      </c>
      <c r="F179" t="s">
        <v>40</v>
      </c>
      <c r="G179">
        <v>1420</v>
      </c>
      <c r="H179" t="s">
        <v>50</v>
      </c>
      <c r="I179">
        <v>2</v>
      </c>
      <c r="J179">
        <v>1</v>
      </c>
      <c r="K179" t="s">
        <v>56</v>
      </c>
      <c r="L179">
        <v>1</v>
      </c>
      <c r="M179">
        <v>667</v>
      </c>
      <c r="N179">
        <v>3</v>
      </c>
      <c r="O179" t="s">
        <v>43</v>
      </c>
      <c r="P179">
        <v>85</v>
      </c>
      <c r="Q179">
        <v>3</v>
      </c>
      <c r="R179">
        <v>1</v>
      </c>
      <c r="S179" t="s">
        <v>53</v>
      </c>
      <c r="T179">
        <v>1</v>
      </c>
      <c r="U179" t="s">
        <v>101</v>
      </c>
      <c r="V179">
        <v>3041</v>
      </c>
      <c r="W179" t="s">
        <v>46</v>
      </c>
      <c r="X179">
        <v>16346</v>
      </c>
      <c r="Y179">
        <v>0</v>
      </c>
      <c r="Z179" t="s">
        <v>47</v>
      </c>
      <c r="AA179" t="s">
        <v>48</v>
      </c>
      <c r="AB179">
        <v>11</v>
      </c>
      <c r="AC179">
        <v>3</v>
      </c>
      <c r="AD179">
        <v>2</v>
      </c>
      <c r="AE179">
        <v>80</v>
      </c>
      <c r="AF179">
        <v>1</v>
      </c>
      <c r="AG179">
        <v>5</v>
      </c>
      <c r="AH179">
        <v>3</v>
      </c>
      <c r="AI179">
        <v>3</v>
      </c>
      <c r="AJ179">
        <v>4</v>
      </c>
      <c r="AK179">
        <v>3</v>
      </c>
      <c r="AL179">
        <v>0</v>
      </c>
    </row>
    <row r="180" spans="1:38" x14ac:dyDescent="0.3">
      <c r="A180" t="s">
        <v>244</v>
      </c>
      <c r="B180">
        <v>27</v>
      </c>
      <c r="C180" t="s">
        <v>189</v>
      </c>
      <c r="D180" t="s">
        <v>48</v>
      </c>
      <c r="E180">
        <f t="shared" si="2"/>
        <v>0</v>
      </c>
      <c r="F180" t="s">
        <v>40</v>
      </c>
      <c r="G180">
        <v>1115</v>
      </c>
      <c r="H180" t="s">
        <v>41</v>
      </c>
      <c r="I180">
        <v>3</v>
      </c>
      <c r="J180">
        <v>4</v>
      </c>
      <c r="K180" t="s">
        <v>51</v>
      </c>
      <c r="L180">
        <v>1</v>
      </c>
      <c r="M180">
        <v>700</v>
      </c>
      <c r="N180">
        <v>1</v>
      </c>
      <c r="O180" t="s">
        <v>43</v>
      </c>
      <c r="P180">
        <v>54</v>
      </c>
      <c r="Q180">
        <v>2</v>
      </c>
      <c r="R180">
        <v>1</v>
      </c>
      <c r="S180" t="s">
        <v>59</v>
      </c>
      <c r="T180">
        <v>4</v>
      </c>
      <c r="U180" t="s">
        <v>45</v>
      </c>
      <c r="V180">
        <v>2045</v>
      </c>
      <c r="W180" t="s">
        <v>46</v>
      </c>
      <c r="X180">
        <v>15174</v>
      </c>
      <c r="Y180">
        <v>0</v>
      </c>
      <c r="Z180" t="s">
        <v>47</v>
      </c>
      <c r="AA180" t="s">
        <v>48</v>
      </c>
      <c r="AB180">
        <v>13</v>
      </c>
      <c r="AC180">
        <v>3</v>
      </c>
      <c r="AD180">
        <v>4</v>
      </c>
      <c r="AE180">
        <v>80</v>
      </c>
      <c r="AF180">
        <v>0</v>
      </c>
      <c r="AG180">
        <v>5</v>
      </c>
      <c r="AH180">
        <v>0</v>
      </c>
      <c r="AI180">
        <v>3</v>
      </c>
      <c r="AJ180">
        <v>4</v>
      </c>
      <c r="AK180">
        <v>2</v>
      </c>
      <c r="AL180">
        <v>1</v>
      </c>
    </row>
    <row r="181" spans="1:38" x14ac:dyDescent="0.3">
      <c r="A181" t="s">
        <v>245</v>
      </c>
      <c r="B181">
        <v>27</v>
      </c>
      <c r="C181" t="s">
        <v>189</v>
      </c>
      <c r="D181" t="s">
        <v>48</v>
      </c>
      <c r="E181">
        <f t="shared" si="2"/>
        <v>0</v>
      </c>
      <c r="F181" t="s">
        <v>55</v>
      </c>
      <c r="G181">
        <v>1410</v>
      </c>
      <c r="H181" t="s">
        <v>50</v>
      </c>
      <c r="I181">
        <v>3</v>
      </c>
      <c r="J181">
        <v>1</v>
      </c>
      <c r="K181" t="s">
        <v>51</v>
      </c>
      <c r="L181">
        <v>1</v>
      </c>
      <c r="M181">
        <v>714</v>
      </c>
      <c r="N181">
        <v>4</v>
      </c>
      <c r="O181" t="s">
        <v>52</v>
      </c>
      <c r="P181">
        <v>71</v>
      </c>
      <c r="Q181">
        <v>4</v>
      </c>
      <c r="R181">
        <v>2</v>
      </c>
      <c r="S181" t="s">
        <v>136</v>
      </c>
      <c r="T181">
        <v>4</v>
      </c>
      <c r="U181" t="s">
        <v>101</v>
      </c>
      <c r="V181">
        <v>4647</v>
      </c>
      <c r="W181" t="s">
        <v>46</v>
      </c>
      <c r="X181">
        <v>16673</v>
      </c>
      <c r="Y181">
        <v>1</v>
      </c>
      <c r="Z181" t="s">
        <v>47</v>
      </c>
      <c r="AA181" t="s">
        <v>39</v>
      </c>
      <c r="AB181">
        <v>20</v>
      </c>
      <c r="AC181">
        <v>4</v>
      </c>
      <c r="AD181">
        <v>2</v>
      </c>
      <c r="AE181">
        <v>80</v>
      </c>
      <c r="AF181">
        <v>2</v>
      </c>
      <c r="AG181">
        <v>6</v>
      </c>
      <c r="AH181">
        <v>3</v>
      </c>
      <c r="AI181">
        <v>3</v>
      </c>
      <c r="AJ181">
        <v>6</v>
      </c>
      <c r="AK181">
        <v>5</v>
      </c>
      <c r="AL181">
        <v>0</v>
      </c>
    </row>
    <row r="182" spans="1:38" x14ac:dyDescent="0.3">
      <c r="A182" t="s">
        <v>246</v>
      </c>
      <c r="B182">
        <v>27</v>
      </c>
      <c r="C182" t="s">
        <v>189</v>
      </c>
      <c r="D182" t="s">
        <v>48</v>
      </c>
      <c r="E182">
        <f t="shared" si="2"/>
        <v>0</v>
      </c>
      <c r="F182" t="s">
        <v>40</v>
      </c>
      <c r="G182">
        <v>608</v>
      </c>
      <c r="H182" t="s">
        <v>41</v>
      </c>
      <c r="I182">
        <v>1</v>
      </c>
      <c r="J182">
        <v>2</v>
      </c>
      <c r="K182" t="s">
        <v>42</v>
      </c>
      <c r="L182">
        <v>1</v>
      </c>
      <c r="M182">
        <v>725</v>
      </c>
      <c r="N182">
        <v>3</v>
      </c>
      <c r="O182" t="s">
        <v>52</v>
      </c>
      <c r="P182">
        <v>68</v>
      </c>
      <c r="Q182">
        <v>3</v>
      </c>
      <c r="R182">
        <v>3</v>
      </c>
      <c r="S182" t="s">
        <v>111</v>
      </c>
      <c r="T182">
        <v>1</v>
      </c>
      <c r="U182" t="s">
        <v>104</v>
      </c>
      <c r="V182">
        <v>7412</v>
      </c>
      <c r="W182" t="s">
        <v>162</v>
      </c>
      <c r="X182">
        <v>6009</v>
      </c>
      <c r="Y182">
        <v>1</v>
      </c>
      <c r="Z182" t="s">
        <v>47</v>
      </c>
      <c r="AA182" t="s">
        <v>48</v>
      </c>
      <c r="AB182">
        <v>11</v>
      </c>
      <c r="AC182">
        <v>3</v>
      </c>
      <c r="AD182">
        <v>4</v>
      </c>
      <c r="AE182">
        <v>80</v>
      </c>
      <c r="AF182">
        <v>0</v>
      </c>
      <c r="AG182">
        <v>9</v>
      </c>
      <c r="AH182">
        <v>3</v>
      </c>
      <c r="AI182">
        <v>3</v>
      </c>
      <c r="AJ182">
        <v>9</v>
      </c>
      <c r="AK182">
        <v>7</v>
      </c>
      <c r="AL182">
        <v>0</v>
      </c>
    </row>
    <row r="183" spans="1:38" x14ac:dyDescent="0.3">
      <c r="A183" t="s">
        <v>247</v>
      </c>
      <c r="B183">
        <v>27</v>
      </c>
      <c r="C183" t="s">
        <v>189</v>
      </c>
      <c r="D183" t="s">
        <v>48</v>
      </c>
      <c r="E183">
        <f t="shared" si="2"/>
        <v>0</v>
      </c>
      <c r="F183" t="s">
        <v>55</v>
      </c>
      <c r="G183">
        <v>294</v>
      </c>
      <c r="H183" t="s">
        <v>41</v>
      </c>
      <c r="I183">
        <v>10</v>
      </c>
      <c r="J183">
        <v>2</v>
      </c>
      <c r="K183" t="s">
        <v>42</v>
      </c>
      <c r="L183">
        <v>1</v>
      </c>
      <c r="M183">
        <v>733</v>
      </c>
      <c r="N183">
        <v>4</v>
      </c>
      <c r="O183" t="s">
        <v>43</v>
      </c>
      <c r="P183">
        <v>32</v>
      </c>
      <c r="Q183">
        <v>3</v>
      </c>
      <c r="R183">
        <v>3</v>
      </c>
      <c r="S183" t="s">
        <v>111</v>
      </c>
      <c r="T183">
        <v>1</v>
      </c>
      <c r="U183" t="s">
        <v>101</v>
      </c>
      <c r="V183">
        <v>8793</v>
      </c>
      <c r="W183" t="s">
        <v>162</v>
      </c>
      <c r="X183">
        <v>4809</v>
      </c>
      <c r="Y183">
        <v>1</v>
      </c>
      <c r="Z183" t="s">
        <v>47</v>
      </c>
      <c r="AA183" t="s">
        <v>48</v>
      </c>
      <c r="AB183">
        <v>21</v>
      </c>
      <c r="AC183">
        <v>4</v>
      </c>
      <c r="AD183">
        <v>3</v>
      </c>
      <c r="AE183">
        <v>80</v>
      </c>
      <c r="AF183">
        <v>2</v>
      </c>
      <c r="AG183">
        <v>9</v>
      </c>
      <c r="AH183">
        <v>4</v>
      </c>
      <c r="AI183">
        <v>2</v>
      </c>
      <c r="AJ183">
        <v>9</v>
      </c>
      <c r="AK183">
        <v>7</v>
      </c>
      <c r="AL183">
        <v>1</v>
      </c>
    </row>
    <row r="184" spans="1:38" x14ac:dyDescent="0.3">
      <c r="A184" t="s">
        <v>248</v>
      </c>
      <c r="B184">
        <v>27</v>
      </c>
      <c r="C184" t="s">
        <v>189</v>
      </c>
      <c r="D184" t="s">
        <v>48</v>
      </c>
      <c r="E184">
        <f t="shared" si="2"/>
        <v>0</v>
      </c>
      <c r="F184" t="s">
        <v>40</v>
      </c>
      <c r="G184">
        <v>975</v>
      </c>
      <c r="H184" t="s">
        <v>41</v>
      </c>
      <c r="I184">
        <v>7</v>
      </c>
      <c r="J184">
        <v>3</v>
      </c>
      <c r="K184" t="s">
        <v>51</v>
      </c>
      <c r="L184">
        <v>1</v>
      </c>
      <c r="M184">
        <v>764</v>
      </c>
      <c r="N184">
        <v>4</v>
      </c>
      <c r="O184" t="s">
        <v>52</v>
      </c>
      <c r="P184">
        <v>55</v>
      </c>
      <c r="Q184">
        <v>2</v>
      </c>
      <c r="R184">
        <v>2</v>
      </c>
      <c r="S184" t="s">
        <v>160</v>
      </c>
      <c r="T184">
        <v>1</v>
      </c>
      <c r="U184" t="s">
        <v>45</v>
      </c>
      <c r="V184">
        <v>6811</v>
      </c>
      <c r="W184" t="s">
        <v>162</v>
      </c>
      <c r="X184">
        <v>23398</v>
      </c>
      <c r="Y184">
        <v>8</v>
      </c>
      <c r="Z184" t="s">
        <v>47</v>
      </c>
      <c r="AA184" t="s">
        <v>48</v>
      </c>
      <c r="AB184">
        <v>19</v>
      </c>
      <c r="AC184">
        <v>3</v>
      </c>
      <c r="AD184">
        <v>1</v>
      </c>
      <c r="AE184">
        <v>80</v>
      </c>
      <c r="AF184">
        <v>0</v>
      </c>
      <c r="AG184">
        <v>9</v>
      </c>
      <c r="AH184">
        <v>2</v>
      </c>
      <c r="AI184">
        <v>1</v>
      </c>
      <c r="AJ184">
        <v>7</v>
      </c>
      <c r="AK184">
        <v>6</v>
      </c>
      <c r="AL184">
        <v>0</v>
      </c>
    </row>
    <row r="185" spans="1:38" x14ac:dyDescent="0.3">
      <c r="A185" t="s">
        <v>249</v>
      </c>
      <c r="B185">
        <v>27</v>
      </c>
      <c r="C185" t="s">
        <v>189</v>
      </c>
      <c r="D185" t="s">
        <v>48</v>
      </c>
      <c r="E185">
        <f t="shared" si="2"/>
        <v>0</v>
      </c>
      <c r="F185" t="s">
        <v>55</v>
      </c>
      <c r="G185">
        <v>829</v>
      </c>
      <c r="H185" t="s">
        <v>50</v>
      </c>
      <c r="I185">
        <v>8</v>
      </c>
      <c r="J185">
        <v>1</v>
      </c>
      <c r="K185" t="s">
        <v>56</v>
      </c>
      <c r="L185">
        <v>1</v>
      </c>
      <c r="M185">
        <v>800</v>
      </c>
      <c r="N185">
        <v>3</v>
      </c>
      <c r="O185" t="s">
        <v>43</v>
      </c>
      <c r="P185">
        <v>84</v>
      </c>
      <c r="Q185">
        <v>3</v>
      </c>
      <c r="R185">
        <v>2</v>
      </c>
      <c r="S185" t="s">
        <v>136</v>
      </c>
      <c r="T185">
        <v>4</v>
      </c>
      <c r="U185" t="s">
        <v>104</v>
      </c>
      <c r="V185">
        <v>4342</v>
      </c>
      <c r="W185" t="s">
        <v>46</v>
      </c>
      <c r="X185">
        <v>24008</v>
      </c>
      <c r="Y185">
        <v>0</v>
      </c>
      <c r="Z185" t="s">
        <v>47</v>
      </c>
      <c r="AA185" t="s">
        <v>48</v>
      </c>
      <c r="AB185">
        <v>19</v>
      </c>
      <c r="AC185">
        <v>3</v>
      </c>
      <c r="AD185">
        <v>2</v>
      </c>
      <c r="AE185">
        <v>80</v>
      </c>
      <c r="AF185">
        <v>1</v>
      </c>
      <c r="AG185">
        <v>5</v>
      </c>
      <c r="AH185">
        <v>3</v>
      </c>
      <c r="AI185">
        <v>3</v>
      </c>
      <c r="AJ185">
        <v>4</v>
      </c>
      <c r="AK185">
        <v>2</v>
      </c>
      <c r="AL185">
        <v>1</v>
      </c>
    </row>
    <row r="186" spans="1:38" x14ac:dyDescent="0.3">
      <c r="A186" t="s">
        <v>250</v>
      </c>
      <c r="B186">
        <v>27</v>
      </c>
      <c r="C186" t="s">
        <v>189</v>
      </c>
      <c r="D186" t="s">
        <v>48</v>
      </c>
      <c r="E186">
        <f t="shared" si="2"/>
        <v>0</v>
      </c>
      <c r="F186" t="s">
        <v>40</v>
      </c>
      <c r="G186">
        <v>269</v>
      </c>
      <c r="H186" t="s">
        <v>41</v>
      </c>
      <c r="I186">
        <v>5</v>
      </c>
      <c r="J186">
        <v>1</v>
      </c>
      <c r="K186" t="s">
        <v>67</v>
      </c>
      <c r="L186">
        <v>1</v>
      </c>
      <c r="M186">
        <v>844</v>
      </c>
      <c r="N186">
        <v>3</v>
      </c>
      <c r="O186" t="s">
        <v>43</v>
      </c>
      <c r="P186">
        <v>42</v>
      </c>
      <c r="Q186">
        <v>2</v>
      </c>
      <c r="R186">
        <v>3</v>
      </c>
      <c r="S186" t="s">
        <v>251</v>
      </c>
      <c r="T186">
        <v>4</v>
      </c>
      <c r="U186" t="s">
        <v>101</v>
      </c>
      <c r="V186">
        <v>12808</v>
      </c>
      <c r="W186" t="s">
        <v>252</v>
      </c>
      <c r="X186">
        <v>8842</v>
      </c>
      <c r="Y186">
        <v>1</v>
      </c>
      <c r="Z186" t="s">
        <v>47</v>
      </c>
      <c r="AA186" t="s">
        <v>39</v>
      </c>
      <c r="AB186">
        <v>16</v>
      </c>
      <c r="AC186">
        <v>3</v>
      </c>
      <c r="AD186">
        <v>2</v>
      </c>
      <c r="AE186">
        <v>80</v>
      </c>
      <c r="AF186">
        <v>1</v>
      </c>
      <c r="AG186">
        <v>9</v>
      </c>
      <c r="AH186">
        <v>3</v>
      </c>
      <c r="AI186">
        <v>3</v>
      </c>
      <c r="AJ186">
        <v>9</v>
      </c>
      <c r="AK186">
        <v>8</v>
      </c>
      <c r="AL186">
        <v>0</v>
      </c>
    </row>
    <row r="187" spans="1:38" x14ac:dyDescent="0.3">
      <c r="A187" t="s">
        <v>253</v>
      </c>
      <c r="B187">
        <v>27</v>
      </c>
      <c r="C187" t="s">
        <v>189</v>
      </c>
      <c r="D187" t="s">
        <v>48</v>
      </c>
      <c r="E187">
        <f t="shared" si="2"/>
        <v>0</v>
      </c>
      <c r="F187" t="s">
        <v>58</v>
      </c>
      <c r="G187">
        <v>443</v>
      </c>
      <c r="H187" t="s">
        <v>41</v>
      </c>
      <c r="I187">
        <v>3</v>
      </c>
      <c r="J187">
        <v>3</v>
      </c>
      <c r="K187" t="s">
        <v>51</v>
      </c>
      <c r="L187">
        <v>1</v>
      </c>
      <c r="M187">
        <v>850</v>
      </c>
      <c r="N187">
        <v>4</v>
      </c>
      <c r="O187" t="s">
        <v>43</v>
      </c>
      <c r="P187">
        <v>50</v>
      </c>
      <c r="Q187">
        <v>3</v>
      </c>
      <c r="R187">
        <v>1</v>
      </c>
      <c r="S187" t="s">
        <v>59</v>
      </c>
      <c r="T187">
        <v>4</v>
      </c>
      <c r="U187" t="s">
        <v>104</v>
      </c>
      <c r="V187">
        <v>1706</v>
      </c>
      <c r="W187" t="s">
        <v>46</v>
      </c>
      <c r="X187">
        <v>16571</v>
      </c>
      <c r="Y187">
        <v>1</v>
      </c>
      <c r="Z187" t="s">
        <v>47</v>
      </c>
      <c r="AA187" t="s">
        <v>48</v>
      </c>
      <c r="AB187">
        <v>11</v>
      </c>
      <c r="AC187">
        <v>3</v>
      </c>
      <c r="AD187">
        <v>3</v>
      </c>
      <c r="AE187">
        <v>80</v>
      </c>
      <c r="AF187">
        <v>3</v>
      </c>
      <c r="AG187">
        <v>0</v>
      </c>
      <c r="AH187">
        <v>6</v>
      </c>
      <c r="AI187">
        <v>2</v>
      </c>
      <c r="AJ187">
        <v>0</v>
      </c>
      <c r="AK187">
        <v>0</v>
      </c>
      <c r="AL187">
        <v>0</v>
      </c>
    </row>
    <row r="188" spans="1:38" x14ac:dyDescent="0.3">
      <c r="A188" t="s">
        <v>254</v>
      </c>
      <c r="B188">
        <v>27</v>
      </c>
      <c r="C188" t="s">
        <v>189</v>
      </c>
      <c r="D188" t="s">
        <v>48</v>
      </c>
      <c r="E188">
        <f t="shared" si="2"/>
        <v>0</v>
      </c>
      <c r="F188" t="s">
        <v>40</v>
      </c>
      <c r="G188">
        <v>618</v>
      </c>
      <c r="H188" t="s">
        <v>41</v>
      </c>
      <c r="I188">
        <v>4</v>
      </c>
      <c r="J188">
        <v>3</v>
      </c>
      <c r="K188" t="s">
        <v>42</v>
      </c>
      <c r="L188">
        <v>1</v>
      </c>
      <c r="M188">
        <v>933</v>
      </c>
      <c r="N188">
        <v>2</v>
      </c>
      <c r="O188" t="s">
        <v>52</v>
      </c>
      <c r="P188">
        <v>76</v>
      </c>
      <c r="Q188">
        <v>3</v>
      </c>
      <c r="R188">
        <v>1</v>
      </c>
      <c r="S188" t="s">
        <v>59</v>
      </c>
      <c r="T188">
        <v>3</v>
      </c>
      <c r="U188" t="s">
        <v>45</v>
      </c>
      <c r="V188">
        <v>2318</v>
      </c>
      <c r="W188" t="s">
        <v>46</v>
      </c>
      <c r="X188">
        <v>17808</v>
      </c>
      <c r="Y188">
        <v>1</v>
      </c>
      <c r="Z188" t="s">
        <v>47</v>
      </c>
      <c r="AA188" t="s">
        <v>48</v>
      </c>
      <c r="AB188">
        <v>19</v>
      </c>
      <c r="AC188">
        <v>3</v>
      </c>
      <c r="AD188">
        <v>3</v>
      </c>
      <c r="AE188">
        <v>80</v>
      </c>
      <c r="AF188">
        <v>0</v>
      </c>
      <c r="AG188">
        <v>1</v>
      </c>
      <c r="AH188">
        <v>2</v>
      </c>
      <c r="AI188">
        <v>3</v>
      </c>
      <c r="AJ188">
        <v>1</v>
      </c>
      <c r="AK188">
        <v>1</v>
      </c>
      <c r="AL188">
        <v>0</v>
      </c>
    </row>
    <row r="189" spans="1:38" x14ac:dyDescent="0.3">
      <c r="A189" t="s">
        <v>255</v>
      </c>
      <c r="B189">
        <v>27</v>
      </c>
      <c r="C189" t="s">
        <v>189</v>
      </c>
      <c r="D189" t="s">
        <v>48</v>
      </c>
      <c r="E189">
        <f t="shared" si="2"/>
        <v>0</v>
      </c>
      <c r="F189" t="s">
        <v>40</v>
      </c>
      <c r="G189">
        <v>1134</v>
      </c>
      <c r="H189" t="s">
        <v>41</v>
      </c>
      <c r="I189">
        <v>16</v>
      </c>
      <c r="J189">
        <v>4</v>
      </c>
      <c r="K189" t="s">
        <v>67</v>
      </c>
      <c r="L189">
        <v>1</v>
      </c>
      <c r="M189">
        <v>1001</v>
      </c>
      <c r="N189">
        <v>3</v>
      </c>
      <c r="O189" t="s">
        <v>52</v>
      </c>
      <c r="P189">
        <v>37</v>
      </c>
      <c r="Q189">
        <v>3</v>
      </c>
      <c r="R189">
        <v>1</v>
      </c>
      <c r="S189" t="s">
        <v>44</v>
      </c>
      <c r="T189">
        <v>2</v>
      </c>
      <c r="U189" t="s">
        <v>104</v>
      </c>
      <c r="V189">
        <v>2811</v>
      </c>
      <c r="W189" t="s">
        <v>46</v>
      </c>
      <c r="X189">
        <v>12086</v>
      </c>
      <c r="Y189">
        <v>9</v>
      </c>
      <c r="Z189" t="s">
        <v>47</v>
      </c>
      <c r="AA189" t="s">
        <v>48</v>
      </c>
      <c r="AB189">
        <v>14</v>
      </c>
      <c r="AC189">
        <v>3</v>
      </c>
      <c r="AD189">
        <v>2</v>
      </c>
      <c r="AE189">
        <v>80</v>
      </c>
      <c r="AF189">
        <v>1</v>
      </c>
      <c r="AG189">
        <v>4</v>
      </c>
      <c r="AH189">
        <v>2</v>
      </c>
      <c r="AI189">
        <v>3</v>
      </c>
      <c r="AJ189">
        <v>2</v>
      </c>
      <c r="AK189">
        <v>2</v>
      </c>
      <c r="AL189">
        <v>2</v>
      </c>
    </row>
    <row r="190" spans="1:38" x14ac:dyDescent="0.3">
      <c r="A190" t="s">
        <v>256</v>
      </c>
      <c r="B190">
        <v>27</v>
      </c>
      <c r="C190" t="s">
        <v>189</v>
      </c>
      <c r="D190" t="s">
        <v>48</v>
      </c>
      <c r="E190">
        <f t="shared" si="2"/>
        <v>0</v>
      </c>
      <c r="F190" t="s">
        <v>40</v>
      </c>
      <c r="G190">
        <v>1055</v>
      </c>
      <c r="H190" t="s">
        <v>41</v>
      </c>
      <c r="I190">
        <v>2</v>
      </c>
      <c r="J190">
        <v>4</v>
      </c>
      <c r="K190" t="s">
        <v>42</v>
      </c>
      <c r="L190">
        <v>1</v>
      </c>
      <c r="M190">
        <v>1027</v>
      </c>
      <c r="N190">
        <v>1</v>
      </c>
      <c r="O190" t="s">
        <v>52</v>
      </c>
      <c r="P190">
        <v>47</v>
      </c>
      <c r="Q190">
        <v>3</v>
      </c>
      <c r="R190">
        <v>2</v>
      </c>
      <c r="S190" t="s">
        <v>111</v>
      </c>
      <c r="T190">
        <v>4</v>
      </c>
      <c r="U190" t="s">
        <v>104</v>
      </c>
      <c r="V190">
        <v>4227</v>
      </c>
      <c r="W190" t="s">
        <v>46</v>
      </c>
      <c r="X190">
        <v>4658</v>
      </c>
      <c r="Y190">
        <v>0</v>
      </c>
      <c r="Z190" t="s">
        <v>47</v>
      </c>
      <c r="AA190" t="s">
        <v>48</v>
      </c>
      <c r="AB190">
        <v>18</v>
      </c>
      <c r="AC190">
        <v>3</v>
      </c>
      <c r="AD190">
        <v>2</v>
      </c>
      <c r="AE190">
        <v>80</v>
      </c>
      <c r="AF190">
        <v>1</v>
      </c>
      <c r="AG190">
        <v>4</v>
      </c>
      <c r="AH190">
        <v>2</v>
      </c>
      <c r="AI190">
        <v>3</v>
      </c>
      <c r="AJ190">
        <v>3</v>
      </c>
      <c r="AK190">
        <v>2</v>
      </c>
      <c r="AL190">
        <v>2</v>
      </c>
    </row>
    <row r="191" spans="1:38" x14ac:dyDescent="0.3">
      <c r="A191" t="s">
        <v>257</v>
      </c>
      <c r="B191">
        <v>27</v>
      </c>
      <c r="C191" t="s">
        <v>189</v>
      </c>
      <c r="D191" t="s">
        <v>48</v>
      </c>
      <c r="E191">
        <f t="shared" si="2"/>
        <v>0</v>
      </c>
      <c r="F191" t="s">
        <v>58</v>
      </c>
      <c r="G191">
        <v>1277</v>
      </c>
      <c r="H191" t="s">
        <v>41</v>
      </c>
      <c r="I191">
        <v>8</v>
      </c>
      <c r="J191">
        <v>5</v>
      </c>
      <c r="K191" t="s">
        <v>42</v>
      </c>
      <c r="L191">
        <v>1</v>
      </c>
      <c r="M191">
        <v>1094</v>
      </c>
      <c r="N191">
        <v>1</v>
      </c>
      <c r="O191" t="s">
        <v>43</v>
      </c>
      <c r="P191">
        <v>87</v>
      </c>
      <c r="Q191">
        <v>1</v>
      </c>
      <c r="R191">
        <v>1</v>
      </c>
      <c r="S191" t="s">
        <v>44</v>
      </c>
      <c r="T191">
        <v>3</v>
      </c>
      <c r="U191" t="s">
        <v>104</v>
      </c>
      <c r="V191">
        <v>4621</v>
      </c>
      <c r="W191" t="s">
        <v>46</v>
      </c>
      <c r="X191">
        <v>5869</v>
      </c>
      <c r="Y191">
        <v>1</v>
      </c>
      <c r="Z191" t="s">
        <v>47</v>
      </c>
      <c r="AA191" t="s">
        <v>48</v>
      </c>
      <c r="AB191">
        <v>19</v>
      </c>
      <c r="AC191">
        <v>3</v>
      </c>
      <c r="AD191">
        <v>4</v>
      </c>
      <c r="AE191">
        <v>80</v>
      </c>
      <c r="AF191">
        <v>3</v>
      </c>
      <c r="AG191">
        <v>3</v>
      </c>
      <c r="AH191">
        <v>4</v>
      </c>
      <c r="AI191">
        <v>3</v>
      </c>
      <c r="AJ191">
        <v>3</v>
      </c>
      <c r="AK191">
        <v>2</v>
      </c>
      <c r="AL191">
        <v>1</v>
      </c>
    </row>
    <row r="192" spans="1:38" x14ac:dyDescent="0.3">
      <c r="A192" t="s">
        <v>258</v>
      </c>
      <c r="B192">
        <v>27</v>
      </c>
      <c r="C192" t="s">
        <v>189</v>
      </c>
      <c r="D192" t="s">
        <v>48</v>
      </c>
      <c r="E192">
        <f t="shared" si="2"/>
        <v>0</v>
      </c>
      <c r="F192" t="s">
        <v>40</v>
      </c>
      <c r="G192">
        <v>199</v>
      </c>
      <c r="H192" t="s">
        <v>41</v>
      </c>
      <c r="I192">
        <v>6</v>
      </c>
      <c r="J192">
        <v>3</v>
      </c>
      <c r="K192" t="s">
        <v>42</v>
      </c>
      <c r="L192">
        <v>1</v>
      </c>
      <c r="M192">
        <v>1162</v>
      </c>
      <c r="N192">
        <v>4</v>
      </c>
      <c r="O192" t="s">
        <v>43</v>
      </c>
      <c r="P192">
        <v>55</v>
      </c>
      <c r="Q192">
        <v>2</v>
      </c>
      <c r="R192">
        <v>1</v>
      </c>
      <c r="S192" t="s">
        <v>59</v>
      </c>
      <c r="T192">
        <v>3</v>
      </c>
      <c r="U192" t="s">
        <v>104</v>
      </c>
      <c r="V192">
        <v>2539</v>
      </c>
      <c r="W192" t="s">
        <v>46</v>
      </c>
      <c r="X192">
        <v>7950</v>
      </c>
      <c r="Y192">
        <v>1</v>
      </c>
      <c r="Z192" t="s">
        <v>47</v>
      </c>
      <c r="AA192" t="s">
        <v>48</v>
      </c>
      <c r="AB192">
        <v>13</v>
      </c>
      <c r="AC192">
        <v>3</v>
      </c>
      <c r="AD192">
        <v>3</v>
      </c>
      <c r="AE192">
        <v>80</v>
      </c>
      <c r="AF192">
        <v>1</v>
      </c>
      <c r="AG192">
        <v>4</v>
      </c>
      <c r="AH192">
        <v>0</v>
      </c>
      <c r="AI192">
        <v>3</v>
      </c>
      <c r="AJ192">
        <v>4</v>
      </c>
      <c r="AK192">
        <v>2</v>
      </c>
      <c r="AL192">
        <v>2</v>
      </c>
    </row>
    <row r="193" spans="1:38" x14ac:dyDescent="0.3">
      <c r="A193" t="s">
        <v>259</v>
      </c>
      <c r="B193">
        <v>27</v>
      </c>
      <c r="C193" t="s">
        <v>189</v>
      </c>
      <c r="D193" t="s">
        <v>48</v>
      </c>
      <c r="E193">
        <f t="shared" si="2"/>
        <v>0</v>
      </c>
      <c r="F193" t="s">
        <v>40</v>
      </c>
      <c r="G193">
        <v>1103</v>
      </c>
      <c r="H193" t="s">
        <v>41</v>
      </c>
      <c r="I193">
        <v>14</v>
      </c>
      <c r="J193">
        <v>3</v>
      </c>
      <c r="K193" t="s">
        <v>42</v>
      </c>
      <c r="L193">
        <v>1</v>
      </c>
      <c r="M193">
        <v>1244</v>
      </c>
      <c r="N193">
        <v>1</v>
      </c>
      <c r="O193" t="s">
        <v>43</v>
      </c>
      <c r="P193">
        <v>42</v>
      </c>
      <c r="Q193">
        <v>3</v>
      </c>
      <c r="R193">
        <v>1</v>
      </c>
      <c r="S193" t="s">
        <v>59</v>
      </c>
      <c r="T193">
        <v>1</v>
      </c>
      <c r="U193" t="s">
        <v>104</v>
      </c>
      <c r="V193">
        <v>2235</v>
      </c>
      <c r="W193" t="s">
        <v>46</v>
      </c>
      <c r="X193">
        <v>14377</v>
      </c>
      <c r="Y193">
        <v>1</v>
      </c>
      <c r="Z193" t="s">
        <v>47</v>
      </c>
      <c r="AA193" t="s">
        <v>39</v>
      </c>
      <c r="AB193">
        <v>14</v>
      </c>
      <c r="AC193">
        <v>3</v>
      </c>
      <c r="AD193">
        <v>4</v>
      </c>
      <c r="AE193">
        <v>80</v>
      </c>
      <c r="AF193">
        <v>2</v>
      </c>
      <c r="AG193">
        <v>9</v>
      </c>
      <c r="AH193">
        <v>3</v>
      </c>
      <c r="AI193">
        <v>2</v>
      </c>
      <c r="AJ193">
        <v>9</v>
      </c>
      <c r="AK193">
        <v>7</v>
      </c>
      <c r="AL193">
        <v>6</v>
      </c>
    </row>
    <row r="194" spans="1:38" x14ac:dyDescent="0.3">
      <c r="A194" t="s">
        <v>260</v>
      </c>
      <c r="B194">
        <v>27</v>
      </c>
      <c r="C194" t="s">
        <v>189</v>
      </c>
      <c r="D194" t="s">
        <v>48</v>
      </c>
      <c r="E194">
        <f t="shared" si="2"/>
        <v>0</v>
      </c>
      <c r="F194" t="s">
        <v>40</v>
      </c>
      <c r="G194">
        <v>1167</v>
      </c>
      <c r="H194" t="s">
        <v>41</v>
      </c>
      <c r="I194">
        <v>4</v>
      </c>
      <c r="J194">
        <v>2</v>
      </c>
      <c r="K194" t="s">
        <v>42</v>
      </c>
      <c r="L194">
        <v>1</v>
      </c>
      <c r="M194">
        <v>1259</v>
      </c>
      <c r="N194">
        <v>1</v>
      </c>
      <c r="O194" t="s">
        <v>43</v>
      </c>
      <c r="P194">
        <v>76</v>
      </c>
      <c r="Q194">
        <v>3</v>
      </c>
      <c r="R194">
        <v>1</v>
      </c>
      <c r="S194" t="s">
        <v>59</v>
      </c>
      <c r="T194">
        <v>3</v>
      </c>
      <c r="U194" t="s">
        <v>101</v>
      </c>
      <c r="V194">
        <v>2517</v>
      </c>
      <c r="W194" t="s">
        <v>46</v>
      </c>
      <c r="X194">
        <v>3208</v>
      </c>
      <c r="Y194">
        <v>1</v>
      </c>
      <c r="Z194" t="s">
        <v>47</v>
      </c>
      <c r="AA194" t="s">
        <v>48</v>
      </c>
      <c r="AB194">
        <v>11</v>
      </c>
      <c r="AC194">
        <v>3</v>
      </c>
      <c r="AD194">
        <v>2</v>
      </c>
      <c r="AE194">
        <v>80</v>
      </c>
      <c r="AF194">
        <v>3</v>
      </c>
      <c r="AG194">
        <v>5</v>
      </c>
      <c r="AH194">
        <v>2</v>
      </c>
      <c r="AI194">
        <v>3</v>
      </c>
      <c r="AJ194">
        <v>5</v>
      </c>
      <c r="AK194">
        <v>3</v>
      </c>
      <c r="AL194">
        <v>0</v>
      </c>
    </row>
    <row r="195" spans="1:38" x14ac:dyDescent="0.3">
      <c r="A195" t="s">
        <v>261</v>
      </c>
      <c r="B195">
        <v>27</v>
      </c>
      <c r="C195" t="s">
        <v>189</v>
      </c>
      <c r="D195" t="s">
        <v>48</v>
      </c>
      <c r="E195">
        <f t="shared" ref="E195:E258" si="3">IF(D195="Yes",1,0)</f>
        <v>0</v>
      </c>
      <c r="F195" t="s">
        <v>40</v>
      </c>
      <c r="G195">
        <v>1291</v>
      </c>
      <c r="H195" t="s">
        <v>50</v>
      </c>
      <c r="I195">
        <v>11</v>
      </c>
      <c r="J195">
        <v>3</v>
      </c>
      <c r="K195" t="s">
        <v>51</v>
      </c>
      <c r="L195">
        <v>1</v>
      </c>
      <c r="M195">
        <v>1364</v>
      </c>
      <c r="N195">
        <v>3</v>
      </c>
      <c r="O195" t="s">
        <v>52</v>
      </c>
      <c r="P195">
        <v>98</v>
      </c>
      <c r="Q195">
        <v>4</v>
      </c>
      <c r="R195">
        <v>1</v>
      </c>
      <c r="S195" t="s">
        <v>53</v>
      </c>
      <c r="T195">
        <v>4</v>
      </c>
      <c r="U195" t="s">
        <v>104</v>
      </c>
      <c r="V195">
        <v>2534</v>
      </c>
      <c r="W195" t="s">
        <v>46</v>
      </c>
      <c r="X195">
        <v>6527</v>
      </c>
      <c r="Y195">
        <v>8</v>
      </c>
      <c r="Z195" t="s">
        <v>47</v>
      </c>
      <c r="AA195" t="s">
        <v>48</v>
      </c>
      <c r="AB195">
        <v>14</v>
      </c>
      <c r="AC195">
        <v>3</v>
      </c>
      <c r="AD195">
        <v>2</v>
      </c>
      <c r="AE195">
        <v>80</v>
      </c>
      <c r="AF195">
        <v>1</v>
      </c>
      <c r="AG195">
        <v>5</v>
      </c>
      <c r="AH195">
        <v>4</v>
      </c>
      <c r="AI195">
        <v>3</v>
      </c>
      <c r="AJ195">
        <v>1</v>
      </c>
      <c r="AK195">
        <v>0</v>
      </c>
      <c r="AL195">
        <v>0</v>
      </c>
    </row>
    <row r="196" spans="1:38" x14ac:dyDescent="0.3">
      <c r="A196" t="s">
        <v>262</v>
      </c>
      <c r="B196">
        <v>27</v>
      </c>
      <c r="C196" t="s">
        <v>189</v>
      </c>
      <c r="D196" t="s">
        <v>48</v>
      </c>
      <c r="E196">
        <f t="shared" si="3"/>
        <v>0</v>
      </c>
      <c r="F196" t="s">
        <v>55</v>
      </c>
      <c r="G196">
        <v>793</v>
      </c>
      <c r="H196" t="s">
        <v>50</v>
      </c>
      <c r="I196">
        <v>2</v>
      </c>
      <c r="J196">
        <v>1</v>
      </c>
      <c r="K196" t="s">
        <v>42</v>
      </c>
      <c r="L196">
        <v>1</v>
      </c>
      <c r="M196">
        <v>1371</v>
      </c>
      <c r="N196">
        <v>4</v>
      </c>
      <c r="O196" t="s">
        <v>43</v>
      </c>
      <c r="P196">
        <v>43</v>
      </c>
      <c r="Q196">
        <v>1</v>
      </c>
      <c r="R196">
        <v>2</v>
      </c>
      <c r="S196" t="s">
        <v>136</v>
      </c>
      <c r="T196">
        <v>4</v>
      </c>
      <c r="U196" t="s">
        <v>45</v>
      </c>
      <c r="V196">
        <v>5071</v>
      </c>
      <c r="W196" t="s">
        <v>162</v>
      </c>
      <c r="X196">
        <v>20392</v>
      </c>
      <c r="Y196">
        <v>3</v>
      </c>
      <c r="Z196" t="s">
        <v>47</v>
      </c>
      <c r="AA196" t="s">
        <v>48</v>
      </c>
      <c r="AB196">
        <v>20</v>
      </c>
      <c r="AC196">
        <v>4</v>
      </c>
      <c r="AD196">
        <v>2</v>
      </c>
      <c r="AE196">
        <v>80</v>
      </c>
      <c r="AF196">
        <v>0</v>
      </c>
      <c r="AG196">
        <v>8</v>
      </c>
      <c r="AH196">
        <v>3</v>
      </c>
      <c r="AI196">
        <v>3</v>
      </c>
      <c r="AJ196">
        <v>6</v>
      </c>
      <c r="AK196">
        <v>2</v>
      </c>
      <c r="AL196">
        <v>0</v>
      </c>
    </row>
    <row r="197" spans="1:38" x14ac:dyDescent="0.3">
      <c r="A197" t="s">
        <v>263</v>
      </c>
      <c r="B197">
        <v>27</v>
      </c>
      <c r="C197" t="s">
        <v>189</v>
      </c>
      <c r="D197" t="s">
        <v>48</v>
      </c>
      <c r="E197">
        <f t="shared" si="3"/>
        <v>0</v>
      </c>
      <c r="F197" t="s">
        <v>40</v>
      </c>
      <c r="G197">
        <v>205</v>
      </c>
      <c r="H197" t="s">
        <v>50</v>
      </c>
      <c r="I197">
        <v>10</v>
      </c>
      <c r="J197">
        <v>3</v>
      </c>
      <c r="K197" t="s">
        <v>56</v>
      </c>
      <c r="L197">
        <v>1</v>
      </c>
      <c r="M197">
        <v>1403</v>
      </c>
      <c r="N197">
        <v>4</v>
      </c>
      <c r="O197" t="s">
        <v>52</v>
      </c>
      <c r="P197">
        <v>98</v>
      </c>
      <c r="Q197">
        <v>2</v>
      </c>
      <c r="R197">
        <v>2</v>
      </c>
      <c r="S197" t="s">
        <v>136</v>
      </c>
      <c r="T197">
        <v>4</v>
      </c>
      <c r="U197" t="s">
        <v>104</v>
      </c>
      <c r="V197">
        <v>5769</v>
      </c>
      <c r="W197" t="s">
        <v>162</v>
      </c>
      <c r="X197">
        <v>7100</v>
      </c>
      <c r="Y197">
        <v>1</v>
      </c>
      <c r="Z197" t="s">
        <v>47</v>
      </c>
      <c r="AA197" t="s">
        <v>39</v>
      </c>
      <c r="AB197">
        <v>11</v>
      </c>
      <c r="AC197">
        <v>3</v>
      </c>
      <c r="AD197">
        <v>4</v>
      </c>
      <c r="AE197">
        <v>80</v>
      </c>
      <c r="AF197">
        <v>0</v>
      </c>
      <c r="AG197">
        <v>6</v>
      </c>
      <c r="AH197">
        <v>3</v>
      </c>
      <c r="AI197">
        <v>3</v>
      </c>
      <c r="AJ197">
        <v>6</v>
      </c>
      <c r="AK197">
        <v>2</v>
      </c>
      <c r="AL197">
        <v>4</v>
      </c>
    </row>
    <row r="198" spans="1:38" x14ac:dyDescent="0.3">
      <c r="A198" t="s">
        <v>264</v>
      </c>
      <c r="B198">
        <v>27</v>
      </c>
      <c r="C198" t="s">
        <v>189</v>
      </c>
      <c r="D198" t="s">
        <v>39</v>
      </c>
      <c r="E198">
        <f t="shared" si="3"/>
        <v>1</v>
      </c>
      <c r="F198" t="s">
        <v>40</v>
      </c>
      <c r="G198">
        <v>135</v>
      </c>
      <c r="H198" t="s">
        <v>41</v>
      </c>
      <c r="I198">
        <v>17</v>
      </c>
      <c r="J198">
        <v>4</v>
      </c>
      <c r="K198" t="s">
        <v>42</v>
      </c>
      <c r="L198">
        <v>1</v>
      </c>
      <c r="M198">
        <v>1405</v>
      </c>
      <c r="N198">
        <v>4</v>
      </c>
      <c r="O198" t="s">
        <v>52</v>
      </c>
      <c r="P198">
        <v>51</v>
      </c>
      <c r="Q198">
        <v>3</v>
      </c>
      <c r="R198">
        <v>1</v>
      </c>
      <c r="S198" t="s">
        <v>59</v>
      </c>
      <c r="T198">
        <v>3</v>
      </c>
      <c r="U198" t="s">
        <v>45</v>
      </c>
      <c r="V198">
        <v>2394</v>
      </c>
      <c r="W198" t="s">
        <v>46</v>
      </c>
      <c r="X198">
        <v>25681</v>
      </c>
      <c r="Y198">
        <v>1</v>
      </c>
      <c r="Z198" t="s">
        <v>47</v>
      </c>
      <c r="AA198" t="s">
        <v>39</v>
      </c>
      <c r="AB198">
        <v>13</v>
      </c>
      <c r="AC198">
        <v>3</v>
      </c>
      <c r="AD198">
        <v>4</v>
      </c>
      <c r="AE198">
        <v>80</v>
      </c>
      <c r="AF198">
        <v>0</v>
      </c>
      <c r="AG198">
        <v>8</v>
      </c>
      <c r="AH198">
        <v>2</v>
      </c>
      <c r="AI198">
        <v>3</v>
      </c>
      <c r="AJ198">
        <v>8</v>
      </c>
      <c r="AK198">
        <v>2</v>
      </c>
      <c r="AL198">
        <v>7</v>
      </c>
    </row>
    <row r="199" spans="1:38" x14ac:dyDescent="0.3">
      <c r="A199" t="s">
        <v>265</v>
      </c>
      <c r="B199">
        <v>27</v>
      </c>
      <c r="C199" t="s">
        <v>189</v>
      </c>
      <c r="D199" t="s">
        <v>48</v>
      </c>
      <c r="E199">
        <f t="shared" si="3"/>
        <v>0</v>
      </c>
      <c r="F199" t="s">
        <v>40</v>
      </c>
      <c r="G199">
        <v>1377</v>
      </c>
      <c r="H199" t="s">
        <v>41</v>
      </c>
      <c r="I199">
        <v>11</v>
      </c>
      <c r="J199">
        <v>1</v>
      </c>
      <c r="K199" t="s">
        <v>42</v>
      </c>
      <c r="L199">
        <v>1</v>
      </c>
      <c r="M199">
        <v>1434</v>
      </c>
      <c r="N199">
        <v>2</v>
      </c>
      <c r="O199" t="s">
        <v>43</v>
      </c>
      <c r="P199">
        <v>91</v>
      </c>
      <c r="Q199">
        <v>3</v>
      </c>
      <c r="R199">
        <v>1</v>
      </c>
      <c r="S199" t="s">
        <v>44</v>
      </c>
      <c r="T199">
        <v>1</v>
      </c>
      <c r="U199" t="s">
        <v>104</v>
      </c>
      <c r="V199">
        <v>2099</v>
      </c>
      <c r="W199" t="s">
        <v>46</v>
      </c>
      <c r="X199">
        <v>7679</v>
      </c>
      <c r="Y199">
        <v>0</v>
      </c>
      <c r="Z199" t="s">
        <v>47</v>
      </c>
      <c r="AA199" t="s">
        <v>48</v>
      </c>
      <c r="AB199">
        <v>14</v>
      </c>
      <c r="AC199">
        <v>3</v>
      </c>
      <c r="AD199">
        <v>2</v>
      </c>
      <c r="AE199">
        <v>80</v>
      </c>
      <c r="AF199">
        <v>0</v>
      </c>
      <c r="AG199">
        <v>6</v>
      </c>
      <c r="AH199">
        <v>3</v>
      </c>
      <c r="AI199">
        <v>4</v>
      </c>
      <c r="AJ199">
        <v>5</v>
      </c>
      <c r="AK199">
        <v>0</v>
      </c>
      <c r="AL199">
        <v>1</v>
      </c>
    </row>
    <row r="200" spans="1:38" x14ac:dyDescent="0.3">
      <c r="A200" t="s">
        <v>266</v>
      </c>
      <c r="B200">
        <v>27</v>
      </c>
      <c r="C200" t="s">
        <v>189</v>
      </c>
      <c r="D200" t="s">
        <v>48</v>
      </c>
      <c r="E200">
        <f t="shared" si="3"/>
        <v>0</v>
      </c>
      <c r="F200" t="s">
        <v>40</v>
      </c>
      <c r="G200">
        <v>1302</v>
      </c>
      <c r="H200" t="s">
        <v>41</v>
      </c>
      <c r="I200">
        <v>19</v>
      </c>
      <c r="J200">
        <v>3</v>
      </c>
      <c r="K200" t="s">
        <v>72</v>
      </c>
      <c r="L200">
        <v>1</v>
      </c>
      <c r="M200">
        <v>1619</v>
      </c>
      <c r="N200">
        <v>4</v>
      </c>
      <c r="O200" t="s">
        <v>43</v>
      </c>
      <c r="P200">
        <v>67</v>
      </c>
      <c r="Q200">
        <v>2</v>
      </c>
      <c r="R200">
        <v>1</v>
      </c>
      <c r="S200" t="s">
        <v>44</v>
      </c>
      <c r="T200">
        <v>1</v>
      </c>
      <c r="U200" t="s">
        <v>101</v>
      </c>
      <c r="V200">
        <v>4066</v>
      </c>
      <c r="W200" t="s">
        <v>46</v>
      </c>
      <c r="X200">
        <v>16290</v>
      </c>
      <c r="Y200">
        <v>1</v>
      </c>
      <c r="Z200" t="s">
        <v>47</v>
      </c>
      <c r="AA200" t="s">
        <v>48</v>
      </c>
      <c r="AB200">
        <v>11</v>
      </c>
      <c r="AC200">
        <v>3</v>
      </c>
      <c r="AD200">
        <v>1</v>
      </c>
      <c r="AE200">
        <v>80</v>
      </c>
      <c r="AF200">
        <v>2</v>
      </c>
      <c r="AG200">
        <v>7</v>
      </c>
      <c r="AH200">
        <v>3</v>
      </c>
      <c r="AI200">
        <v>3</v>
      </c>
      <c r="AJ200">
        <v>7</v>
      </c>
      <c r="AK200">
        <v>7</v>
      </c>
      <c r="AL200">
        <v>0</v>
      </c>
    </row>
    <row r="201" spans="1:38" x14ac:dyDescent="0.3">
      <c r="A201" t="s">
        <v>267</v>
      </c>
      <c r="B201">
        <v>27</v>
      </c>
      <c r="C201" t="s">
        <v>189</v>
      </c>
      <c r="D201" t="s">
        <v>48</v>
      </c>
      <c r="E201">
        <f t="shared" si="3"/>
        <v>0</v>
      </c>
      <c r="F201" t="s">
        <v>40</v>
      </c>
      <c r="G201">
        <v>486</v>
      </c>
      <c r="H201" t="s">
        <v>41</v>
      </c>
      <c r="I201">
        <v>8</v>
      </c>
      <c r="J201">
        <v>3</v>
      </c>
      <c r="K201" t="s">
        <v>51</v>
      </c>
      <c r="L201">
        <v>1</v>
      </c>
      <c r="M201">
        <v>1647</v>
      </c>
      <c r="N201">
        <v>2</v>
      </c>
      <c r="O201" t="s">
        <v>52</v>
      </c>
      <c r="P201">
        <v>86</v>
      </c>
      <c r="Q201">
        <v>4</v>
      </c>
      <c r="R201">
        <v>1</v>
      </c>
      <c r="S201" t="s">
        <v>59</v>
      </c>
      <c r="T201">
        <v>3</v>
      </c>
      <c r="U201" t="s">
        <v>104</v>
      </c>
      <c r="V201">
        <v>3517</v>
      </c>
      <c r="W201" t="s">
        <v>46</v>
      </c>
      <c r="X201">
        <v>22490</v>
      </c>
      <c r="Y201">
        <v>7</v>
      </c>
      <c r="Z201" t="s">
        <v>47</v>
      </c>
      <c r="AA201" t="s">
        <v>48</v>
      </c>
      <c r="AB201">
        <v>17</v>
      </c>
      <c r="AC201">
        <v>3</v>
      </c>
      <c r="AD201">
        <v>1</v>
      </c>
      <c r="AE201">
        <v>80</v>
      </c>
      <c r="AF201">
        <v>0</v>
      </c>
      <c r="AG201">
        <v>5</v>
      </c>
      <c r="AH201">
        <v>0</v>
      </c>
      <c r="AI201">
        <v>3</v>
      </c>
      <c r="AJ201">
        <v>3</v>
      </c>
      <c r="AK201">
        <v>2</v>
      </c>
      <c r="AL201">
        <v>0</v>
      </c>
    </row>
    <row r="202" spans="1:38" x14ac:dyDescent="0.3">
      <c r="A202" t="s">
        <v>268</v>
      </c>
      <c r="B202">
        <v>27</v>
      </c>
      <c r="C202" t="s">
        <v>189</v>
      </c>
      <c r="D202" t="s">
        <v>48</v>
      </c>
      <c r="E202">
        <f t="shared" si="3"/>
        <v>0</v>
      </c>
      <c r="F202" t="s">
        <v>55</v>
      </c>
      <c r="G202">
        <v>591</v>
      </c>
      <c r="H202" t="s">
        <v>41</v>
      </c>
      <c r="I202">
        <v>2</v>
      </c>
      <c r="J202">
        <v>3</v>
      </c>
      <c r="K202" t="s">
        <v>51</v>
      </c>
      <c r="L202">
        <v>1</v>
      </c>
      <c r="M202">
        <v>1648</v>
      </c>
      <c r="N202">
        <v>4</v>
      </c>
      <c r="O202" t="s">
        <v>43</v>
      </c>
      <c r="P202">
        <v>87</v>
      </c>
      <c r="Q202">
        <v>3</v>
      </c>
      <c r="R202">
        <v>1</v>
      </c>
      <c r="S202" t="s">
        <v>59</v>
      </c>
      <c r="T202">
        <v>4</v>
      </c>
      <c r="U202" t="s">
        <v>45</v>
      </c>
      <c r="V202">
        <v>2580</v>
      </c>
      <c r="W202" t="s">
        <v>46</v>
      </c>
      <c r="X202">
        <v>6297</v>
      </c>
      <c r="Y202">
        <v>2</v>
      </c>
      <c r="Z202" t="s">
        <v>47</v>
      </c>
      <c r="AA202" t="s">
        <v>48</v>
      </c>
      <c r="AB202">
        <v>13</v>
      </c>
      <c r="AC202">
        <v>3</v>
      </c>
      <c r="AD202">
        <v>3</v>
      </c>
      <c r="AE202">
        <v>80</v>
      </c>
      <c r="AF202">
        <v>0</v>
      </c>
      <c r="AG202">
        <v>6</v>
      </c>
      <c r="AH202">
        <v>0</v>
      </c>
      <c r="AI202">
        <v>2</v>
      </c>
      <c r="AJ202">
        <v>4</v>
      </c>
      <c r="AK202">
        <v>2</v>
      </c>
      <c r="AL202">
        <v>1</v>
      </c>
    </row>
    <row r="203" spans="1:38" x14ac:dyDescent="0.3">
      <c r="A203" t="s">
        <v>269</v>
      </c>
      <c r="B203">
        <v>27</v>
      </c>
      <c r="C203" t="s">
        <v>189</v>
      </c>
      <c r="D203" t="s">
        <v>48</v>
      </c>
      <c r="E203">
        <f t="shared" si="3"/>
        <v>0</v>
      </c>
      <c r="F203" t="s">
        <v>40</v>
      </c>
      <c r="G203">
        <v>1054</v>
      </c>
      <c r="H203" t="s">
        <v>41</v>
      </c>
      <c r="I203">
        <v>8</v>
      </c>
      <c r="J203">
        <v>3</v>
      </c>
      <c r="K203" t="s">
        <v>51</v>
      </c>
      <c r="L203">
        <v>1</v>
      </c>
      <c r="M203">
        <v>1751</v>
      </c>
      <c r="N203">
        <v>3</v>
      </c>
      <c r="O203" t="s">
        <v>52</v>
      </c>
      <c r="P203">
        <v>67</v>
      </c>
      <c r="Q203">
        <v>3</v>
      </c>
      <c r="R203">
        <v>1</v>
      </c>
      <c r="S203" t="s">
        <v>59</v>
      </c>
      <c r="T203">
        <v>4</v>
      </c>
      <c r="U203" t="s">
        <v>45</v>
      </c>
      <c r="V203">
        <v>3445</v>
      </c>
      <c r="W203" t="s">
        <v>46</v>
      </c>
      <c r="X203">
        <v>6152</v>
      </c>
      <c r="Y203">
        <v>1</v>
      </c>
      <c r="Z203" t="s">
        <v>47</v>
      </c>
      <c r="AA203" t="s">
        <v>48</v>
      </c>
      <c r="AB203">
        <v>11</v>
      </c>
      <c r="AC203">
        <v>3</v>
      </c>
      <c r="AD203">
        <v>3</v>
      </c>
      <c r="AE203">
        <v>80</v>
      </c>
      <c r="AF203">
        <v>0</v>
      </c>
      <c r="AG203">
        <v>6</v>
      </c>
      <c r="AH203">
        <v>5</v>
      </c>
      <c r="AI203">
        <v>2</v>
      </c>
      <c r="AJ203">
        <v>6</v>
      </c>
      <c r="AK203">
        <v>2</v>
      </c>
      <c r="AL203">
        <v>1</v>
      </c>
    </row>
    <row r="204" spans="1:38" x14ac:dyDescent="0.3">
      <c r="A204" t="s">
        <v>270</v>
      </c>
      <c r="B204">
        <v>27</v>
      </c>
      <c r="C204" t="s">
        <v>189</v>
      </c>
      <c r="D204" t="s">
        <v>48</v>
      </c>
      <c r="E204">
        <f t="shared" si="3"/>
        <v>0</v>
      </c>
      <c r="F204" t="s">
        <v>55</v>
      </c>
      <c r="G204">
        <v>1297</v>
      </c>
      <c r="H204" t="s">
        <v>41</v>
      </c>
      <c r="I204">
        <v>5</v>
      </c>
      <c r="J204">
        <v>2</v>
      </c>
      <c r="K204" t="s">
        <v>42</v>
      </c>
      <c r="L204">
        <v>1</v>
      </c>
      <c r="M204">
        <v>1850</v>
      </c>
      <c r="N204">
        <v>4</v>
      </c>
      <c r="O204" t="s">
        <v>52</v>
      </c>
      <c r="P204">
        <v>53</v>
      </c>
      <c r="Q204">
        <v>3</v>
      </c>
      <c r="R204">
        <v>1</v>
      </c>
      <c r="S204" t="s">
        <v>44</v>
      </c>
      <c r="T204">
        <v>4</v>
      </c>
      <c r="U204" t="s">
        <v>45</v>
      </c>
      <c r="V204">
        <v>2379</v>
      </c>
      <c r="W204" t="s">
        <v>46</v>
      </c>
      <c r="X204">
        <v>19826</v>
      </c>
      <c r="Y204">
        <v>0</v>
      </c>
      <c r="Z204" t="s">
        <v>47</v>
      </c>
      <c r="AA204" t="s">
        <v>39</v>
      </c>
      <c r="AB204">
        <v>14</v>
      </c>
      <c r="AC204">
        <v>3</v>
      </c>
      <c r="AD204">
        <v>3</v>
      </c>
      <c r="AE204">
        <v>80</v>
      </c>
      <c r="AF204">
        <v>0</v>
      </c>
      <c r="AG204">
        <v>6</v>
      </c>
      <c r="AH204">
        <v>3</v>
      </c>
      <c r="AI204">
        <v>2</v>
      </c>
      <c r="AJ204">
        <v>5</v>
      </c>
      <c r="AK204">
        <v>4</v>
      </c>
      <c r="AL204">
        <v>0</v>
      </c>
    </row>
    <row r="205" spans="1:38" x14ac:dyDescent="0.3">
      <c r="A205" t="s">
        <v>271</v>
      </c>
      <c r="B205">
        <v>27</v>
      </c>
      <c r="C205" t="s">
        <v>189</v>
      </c>
      <c r="D205" t="s">
        <v>48</v>
      </c>
      <c r="E205">
        <f t="shared" si="3"/>
        <v>0</v>
      </c>
      <c r="F205" t="s">
        <v>40</v>
      </c>
      <c r="G205">
        <v>728</v>
      </c>
      <c r="H205" t="s">
        <v>50</v>
      </c>
      <c r="I205">
        <v>23</v>
      </c>
      <c r="J205">
        <v>1</v>
      </c>
      <c r="K205" t="s">
        <v>51</v>
      </c>
      <c r="L205">
        <v>1</v>
      </c>
      <c r="M205">
        <v>1864</v>
      </c>
      <c r="N205">
        <v>2</v>
      </c>
      <c r="O205" t="s">
        <v>52</v>
      </c>
      <c r="P205">
        <v>36</v>
      </c>
      <c r="Q205">
        <v>2</v>
      </c>
      <c r="R205">
        <v>2</v>
      </c>
      <c r="S205" t="s">
        <v>53</v>
      </c>
      <c r="T205">
        <v>3</v>
      </c>
      <c r="U205" t="s">
        <v>104</v>
      </c>
      <c r="V205">
        <v>3540</v>
      </c>
      <c r="W205" t="s">
        <v>46</v>
      </c>
      <c r="X205">
        <v>7018</v>
      </c>
      <c r="Y205">
        <v>1</v>
      </c>
      <c r="Z205" t="s">
        <v>47</v>
      </c>
      <c r="AA205" t="s">
        <v>48</v>
      </c>
      <c r="AB205">
        <v>21</v>
      </c>
      <c r="AC205">
        <v>4</v>
      </c>
      <c r="AD205">
        <v>4</v>
      </c>
      <c r="AE205">
        <v>80</v>
      </c>
      <c r="AF205">
        <v>1</v>
      </c>
      <c r="AG205">
        <v>9</v>
      </c>
      <c r="AH205">
        <v>5</v>
      </c>
      <c r="AI205">
        <v>3</v>
      </c>
      <c r="AJ205">
        <v>9</v>
      </c>
      <c r="AK205">
        <v>8</v>
      </c>
      <c r="AL205">
        <v>5</v>
      </c>
    </row>
    <row r="206" spans="1:38" x14ac:dyDescent="0.3">
      <c r="A206" t="s">
        <v>272</v>
      </c>
      <c r="B206">
        <v>27</v>
      </c>
      <c r="C206" t="s">
        <v>189</v>
      </c>
      <c r="D206" t="s">
        <v>48</v>
      </c>
      <c r="E206">
        <f t="shared" si="3"/>
        <v>0</v>
      </c>
      <c r="F206" t="s">
        <v>55</v>
      </c>
      <c r="G206">
        <v>1131</v>
      </c>
      <c r="H206" t="s">
        <v>41</v>
      </c>
      <c r="I206">
        <v>15</v>
      </c>
      <c r="J206">
        <v>3</v>
      </c>
      <c r="K206" t="s">
        <v>42</v>
      </c>
      <c r="L206">
        <v>1</v>
      </c>
      <c r="M206">
        <v>1870</v>
      </c>
      <c r="N206">
        <v>4</v>
      </c>
      <c r="O206" t="s">
        <v>52</v>
      </c>
      <c r="P206">
        <v>77</v>
      </c>
      <c r="Q206">
        <v>2</v>
      </c>
      <c r="R206">
        <v>1</v>
      </c>
      <c r="S206" t="s">
        <v>59</v>
      </c>
      <c r="T206">
        <v>1</v>
      </c>
      <c r="U206" t="s">
        <v>104</v>
      </c>
      <c r="V206">
        <v>4774</v>
      </c>
      <c r="W206" t="s">
        <v>46</v>
      </c>
      <c r="X206">
        <v>23844</v>
      </c>
      <c r="Y206">
        <v>0</v>
      </c>
      <c r="Z206" t="s">
        <v>47</v>
      </c>
      <c r="AA206" t="s">
        <v>48</v>
      </c>
      <c r="AB206">
        <v>19</v>
      </c>
      <c r="AC206">
        <v>3</v>
      </c>
      <c r="AD206">
        <v>4</v>
      </c>
      <c r="AE206">
        <v>80</v>
      </c>
      <c r="AF206">
        <v>1</v>
      </c>
      <c r="AG206">
        <v>8</v>
      </c>
      <c r="AH206">
        <v>2</v>
      </c>
      <c r="AI206">
        <v>2</v>
      </c>
      <c r="AJ206">
        <v>7</v>
      </c>
      <c r="AK206">
        <v>6</v>
      </c>
      <c r="AL206">
        <v>7</v>
      </c>
    </row>
    <row r="207" spans="1:38" x14ac:dyDescent="0.3">
      <c r="A207" t="s">
        <v>273</v>
      </c>
      <c r="B207">
        <v>27</v>
      </c>
      <c r="C207" t="s">
        <v>189</v>
      </c>
      <c r="D207" t="s">
        <v>48</v>
      </c>
      <c r="E207">
        <f t="shared" si="3"/>
        <v>0</v>
      </c>
      <c r="F207" t="s">
        <v>40</v>
      </c>
      <c r="G207">
        <v>511</v>
      </c>
      <c r="H207" t="s">
        <v>50</v>
      </c>
      <c r="I207">
        <v>2</v>
      </c>
      <c r="J207">
        <v>2</v>
      </c>
      <c r="K207" t="s">
        <v>51</v>
      </c>
      <c r="L207">
        <v>1</v>
      </c>
      <c r="M207">
        <v>1898</v>
      </c>
      <c r="N207">
        <v>1</v>
      </c>
      <c r="O207" t="s">
        <v>52</v>
      </c>
      <c r="P207">
        <v>89</v>
      </c>
      <c r="Q207">
        <v>4</v>
      </c>
      <c r="R207">
        <v>2</v>
      </c>
      <c r="S207" t="s">
        <v>136</v>
      </c>
      <c r="T207">
        <v>3</v>
      </c>
      <c r="U207" t="s">
        <v>45</v>
      </c>
      <c r="V207">
        <v>6500</v>
      </c>
      <c r="W207" t="s">
        <v>162</v>
      </c>
      <c r="X207">
        <v>26997</v>
      </c>
      <c r="Y207">
        <v>0</v>
      </c>
      <c r="Z207" t="s">
        <v>47</v>
      </c>
      <c r="AA207" t="s">
        <v>48</v>
      </c>
      <c r="AB207">
        <v>14</v>
      </c>
      <c r="AC207">
        <v>3</v>
      </c>
      <c r="AD207">
        <v>2</v>
      </c>
      <c r="AE207">
        <v>80</v>
      </c>
      <c r="AF207">
        <v>0</v>
      </c>
      <c r="AG207">
        <v>9</v>
      </c>
      <c r="AH207">
        <v>5</v>
      </c>
      <c r="AI207">
        <v>2</v>
      </c>
      <c r="AJ207">
        <v>8</v>
      </c>
      <c r="AK207">
        <v>7</v>
      </c>
      <c r="AL207">
        <v>0</v>
      </c>
    </row>
    <row r="208" spans="1:38" x14ac:dyDescent="0.3">
      <c r="A208" t="s">
        <v>274</v>
      </c>
      <c r="B208">
        <v>27</v>
      </c>
      <c r="C208" t="s">
        <v>189</v>
      </c>
      <c r="D208" t="s">
        <v>48</v>
      </c>
      <c r="E208">
        <f t="shared" si="3"/>
        <v>0</v>
      </c>
      <c r="F208" t="s">
        <v>40</v>
      </c>
      <c r="G208">
        <v>1354</v>
      </c>
      <c r="H208" t="s">
        <v>41</v>
      </c>
      <c r="I208">
        <v>2</v>
      </c>
      <c r="J208">
        <v>4</v>
      </c>
      <c r="K208" t="s">
        <v>67</v>
      </c>
      <c r="L208">
        <v>1</v>
      </c>
      <c r="M208">
        <v>1931</v>
      </c>
      <c r="N208">
        <v>2</v>
      </c>
      <c r="O208" t="s">
        <v>43</v>
      </c>
      <c r="P208">
        <v>41</v>
      </c>
      <c r="Q208">
        <v>3</v>
      </c>
      <c r="R208">
        <v>1</v>
      </c>
      <c r="S208" t="s">
        <v>59</v>
      </c>
      <c r="T208">
        <v>2</v>
      </c>
      <c r="U208" t="s">
        <v>104</v>
      </c>
      <c r="V208">
        <v>2226</v>
      </c>
      <c r="W208" t="s">
        <v>46</v>
      </c>
      <c r="X208">
        <v>6073</v>
      </c>
      <c r="Y208">
        <v>1</v>
      </c>
      <c r="Z208" t="s">
        <v>47</v>
      </c>
      <c r="AA208" t="s">
        <v>48</v>
      </c>
      <c r="AB208">
        <v>11</v>
      </c>
      <c r="AC208">
        <v>3</v>
      </c>
      <c r="AD208">
        <v>3</v>
      </c>
      <c r="AE208">
        <v>80</v>
      </c>
      <c r="AF208">
        <v>1</v>
      </c>
      <c r="AG208">
        <v>6</v>
      </c>
      <c r="AH208">
        <v>3</v>
      </c>
      <c r="AI208">
        <v>2</v>
      </c>
      <c r="AJ208">
        <v>5</v>
      </c>
      <c r="AK208">
        <v>3</v>
      </c>
      <c r="AL208">
        <v>1</v>
      </c>
    </row>
    <row r="209" spans="1:38" x14ac:dyDescent="0.3">
      <c r="A209" t="s">
        <v>275</v>
      </c>
      <c r="B209">
        <v>27</v>
      </c>
      <c r="C209" t="s">
        <v>189</v>
      </c>
      <c r="D209" t="s">
        <v>39</v>
      </c>
      <c r="E209">
        <f t="shared" si="3"/>
        <v>1</v>
      </c>
      <c r="F209" t="s">
        <v>55</v>
      </c>
      <c r="G209">
        <v>1337</v>
      </c>
      <c r="H209" t="s">
        <v>70</v>
      </c>
      <c r="I209">
        <v>22</v>
      </c>
      <c r="J209">
        <v>3</v>
      </c>
      <c r="K209" t="s">
        <v>70</v>
      </c>
      <c r="L209">
        <v>1</v>
      </c>
      <c r="M209">
        <v>1944</v>
      </c>
      <c r="N209">
        <v>1</v>
      </c>
      <c r="O209" t="s">
        <v>52</v>
      </c>
      <c r="P209">
        <v>58</v>
      </c>
      <c r="Q209">
        <v>2</v>
      </c>
      <c r="R209">
        <v>1</v>
      </c>
      <c r="S209" t="s">
        <v>70</v>
      </c>
      <c r="T209">
        <v>2</v>
      </c>
      <c r="U209" t="s">
        <v>104</v>
      </c>
      <c r="V209">
        <v>2863</v>
      </c>
      <c r="W209" t="s">
        <v>46</v>
      </c>
      <c r="X209">
        <v>19555</v>
      </c>
      <c r="Y209">
        <v>1</v>
      </c>
      <c r="Z209" t="s">
        <v>47</v>
      </c>
      <c r="AA209" t="s">
        <v>48</v>
      </c>
      <c r="AB209">
        <v>12</v>
      </c>
      <c r="AC209">
        <v>3</v>
      </c>
      <c r="AD209">
        <v>1</v>
      </c>
      <c r="AE209">
        <v>80</v>
      </c>
      <c r="AF209">
        <v>0</v>
      </c>
      <c r="AG209">
        <v>1</v>
      </c>
      <c r="AH209">
        <v>2</v>
      </c>
      <c r="AI209">
        <v>3</v>
      </c>
      <c r="AJ209">
        <v>1</v>
      </c>
      <c r="AK209">
        <v>0</v>
      </c>
      <c r="AL209">
        <v>0</v>
      </c>
    </row>
    <row r="210" spans="1:38" x14ac:dyDescent="0.3">
      <c r="A210" t="s">
        <v>276</v>
      </c>
      <c r="B210">
        <v>27</v>
      </c>
      <c r="C210" t="s">
        <v>189</v>
      </c>
      <c r="D210" t="s">
        <v>48</v>
      </c>
      <c r="E210">
        <f t="shared" si="3"/>
        <v>0</v>
      </c>
      <c r="F210" t="s">
        <v>40</v>
      </c>
      <c r="G210">
        <v>954</v>
      </c>
      <c r="H210" t="s">
        <v>50</v>
      </c>
      <c r="I210">
        <v>9</v>
      </c>
      <c r="J210">
        <v>3</v>
      </c>
      <c r="K210" t="s">
        <v>56</v>
      </c>
      <c r="L210">
        <v>1</v>
      </c>
      <c r="M210">
        <v>1965</v>
      </c>
      <c r="N210">
        <v>4</v>
      </c>
      <c r="O210" t="s">
        <v>43</v>
      </c>
      <c r="P210">
        <v>44</v>
      </c>
      <c r="Q210">
        <v>3</v>
      </c>
      <c r="R210">
        <v>2</v>
      </c>
      <c r="S210" t="s">
        <v>136</v>
      </c>
      <c r="T210">
        <v>4</v>
      </c>
      <c r="U210" t="s">
        <v>45</v>
      </c>
      <c r="V210">
        <v>4105</v>
      </c>
      <c r="W210" t="s">
        <v>46</v>
      </c>
      <c r="X210">
        <v>5099</v>
      </c>
      <c r="Y210">
        <v>1</v>
      </c>
      <c r="Z210" t="s">
        <v>47</v>
      </c>
      <c r="AA210" t="s">
        <v>48</v>
      </c>
      <c r="AB210">
        <v>14</v>
      </c>
      <c r="AC210">
        <v>3</v>
      </c>
      <c r="AD210">
        <v>1</v>
      </c>
      <c r="AE210">
        <v>80</v>
      </c>
      <c r="AF210">
        <v>0</v>
      </c>
      <c r="AG210">
        <v>7</v>
      </c>
      <c r="AH210">
        <v>5</v>
      </c>
      <c r="AI210">
        <v>3</v>
      </c>
      <c r="AJ210">
        <v>7</v>
      </c>
      <c r="AK210">
        <v>7</v>
      </c>
      <c r="AL210">
        <v>0</v>
      </c>
    </row>
    <row r="211" spans="1:38" x14ac:dyDescent="0.3">
      <c r="A211" t="s">
        <v>277</v>
      </c>
      <c r="B211">
        <v>27</v>
      </c>
      <c r="C211" t="s">
        <v>189</v>
      </c>
      <c r="D211" t="s">
        <v>48</v>
      </c>
      <c r="E211">
        <f t="shared" si="3"/>
        <v>0</v>
      </c>
      <c r="F211" t="s">
        <v>40</v>
      </c>
      <c r="G211">
        <v>155</v>
      </c>
      <c r="H211" t="s">
        <v>41</v>
      </c>
      <c r="I211">
        <v>4</v>
      </c>
      <c r="J211">
        <v>3</v>
      </c>
      <c r="K211" t="s">
        <v>42</v>
      </c>
      <c r="L211">
        <v>1</v>
      </c>
      <c r="M211">
        <v>2064</v>
      </c>
      <c r="N211">
        <v>2</v>
      </c>
      <c r="O211" t="s">
        <v>43</v>
      </c>
      <c r="P211">
        <v>87</v>
      </c>
      <c r="Q211">
        <v>4</v>
      </c>
      <c r="R211">
        <v>2</v>
      </c>
      <c r="S211" t="s">
        <v>111</v>
      </c>
      <c r="T211">
        <v>2</v>
      </c>
      <c r="U211" t="s">
        <v>104</v>
      </c>
      <c r="V211">
        <v>6142</v>
      </c>
      <c r="W211" t="s">
        <v>162</v>
      </c>
      <c r="X211">
        <v>5174</v>
      </c>
      <c r="Y211">
        <v>1</v>
      </c>
      <c r="Z211" t="s">
        <v>47</v>
      </c>
      <c r="AA211" t="s">
        <v>39</v>
      </c>
      <c r="AB211">
        <v>20</v>
      </c>
      <c r="AC211">
        <v>4</v>
      </c>
      <c r="AD211">
        <v>2</v>
      </c>
      <c r="AE211">
        <v>80</v>
      </c>
      <c r="AF211">
        <v>1</v>
      </c>
      <c r="AG211">
        <v>6</v>
      </c>
      <c r="AH211">
        <v>0</v>
      </c>
      <c r="AI211">
        <v>3</v>
      </c>
      <c r="AJ211">
        <v>6</v>
      </c>
      <c r="AK211">
        <v>2</v>
      </c>
      <c r="AL211">
        <v>0</v>
      </c>
    </row>
    <row r="212" spans="1:38" x14ac:dyDescent="0.3">
      <c r="A212" t="s">
        <v>278</v>
      </c>
      <c r="B212">
        <v>28</v>
      </c>
      <c r="C212" t="s">
        <v>189</v>
      </c>
      <c r="D212" t="s">
        <v>39</v>
      </c>
      <c r="E212">
        <f t="shared" si="3"/>
        <v>1</v>
      </c>
      <c r="F212" t="s">
        <v>40</v>
      </c>
      <c r="G212">
        <v>103</v>
      </c>
      <c r="H212" t="s">
        <v>41</v>
      </c>
      <c r="I212">
        <v>24</v>
      </c>
      <c r="J212">
        <v>3</v>
      </c>
      <c r="K212" t="s">
        <v>42</v>
      </c>
      <c r="L212">
        <v>1</v>
      </c>
      <c r="M212">
        <v>19</v>
      </c>
      <c r="N212">
        <v>3</v>
      </c>
      <c r="O212" t="s">
        <v>43</v>
      </c>
      <c r="P212">
        <v>50</v>
      </c>
      <c r="Q212">
        <v>2</v>
      </c>
      <c r="R212">
        <v>1</v>
      </c>
      <c r="S212" t="s">
        <v>44</v>
      </c>
      <c r="T212">
        <v>3</v>
      </c>
      <c r="U212" t="s">
        <v>45</v>
      </c>
      <c r="V212">
        <v>2028</v>
      </c>
      <c r="W212" t="s">
        <v>46</v>
      </c>
      <c r="X212">
        <v>12947</v>
      </c>
      <c r="Y212">
        <v>5</v>
      </c>
      <c r="Z212" t="s">
        <v>47</v>
      </c>
      <c r="AA212" t="s">
        <v>39</v>
      </c>
      <c r="AB212">
        <v>14</v>
      </c>
      <c r="AC212">
        <v>3</v>
      </c>
      <c r="AD212">
        <v>2</v>
      </c>
      <c r="AE212">
        <v>80</v>
      </c>
      <c r="AF212">
        <v>0</v>
      </c>
      <c r="AG212">
        <v>6</v>
      </c>
      <c r="AH212">
        <v>4</v>
      </c>
      <c r="AI212">
        <v>3</v>
      </c>
      <c r="AJ212">
        <v>4</v>
      </c>
      <c r="AK212">
        <v>2</v>
      </c>
      <c r="AL212">
        <v>0</v>
      </c>
    </row>
    <row r="213" spans="1:38" x14ac:dyDescent="0.3">
      <c r="A213" t="s">
        <v>279</v>
      </c>
      <c r="B213">
        <v>28</v>
      </c>
      <c r="C213" t="s">
        <v>189</v>
      </c>
      <c r="D213" t="s">
        <v>39</v>
      </c>
      <c r="E213">
        <f t="shared" si="3"/>
        <v>1</v>
      </c>
      <c r="F213" t="s">
        <v>40</v>
      </c>
      <c r="G213">
        <v>1434</v>
      </c>
      <c r="H213" t="s">
        <v>41</v>
      </c>
      <c r="I213">
        <v>5</v>
      </c>
      <c r="J213">
        <v>4</v>
      </c>
      <c r="K213" t="s">
        <v>67</v>
      </c>
      <c r="L213">
        <v>1</v>
      </c>
      <c r="M213">
        <v>65</v>
      </c>
      <c r="N213">
        <v>3</v>
      </c>
      <c r="O213" t="s">
        <v>43</v>
      </c>
      <c r="P213">
        <v>50</v>
      </c>
      <c r="Q213">
        <v>3</v>
      </c>
      <c r="R213">
        <v>1</v>
      </c>
      <c r="S213" t="s">
        <v>44</v>
      </c>
      <c r="T213">
        <v>3</v>
      </c>
      <c r="U213" t="s">
        <v>45</v>
      </c>
      <c r="V213">
        <v>3441</v>
      </c>
      <c r="W213" t="s">
        <v>46</v>
      </c>
      <c r="X213">
        <v>11179</v>
      </c>
      <c r="Y213">
        <v>1</v>
      </c>
      <c r="Z213" t="s">
        <v>47</v>
      </c>
      <c r="AA213" t="s">
        <v>39</v>
      </c>
      <c r="AB213">
        <v>13</v>
      </c>
      <c r="AC213">
        <v>3</v>
      </c>
      <c r="AD213">
        <v>3</v>
      </c>
      <c r="AE213">
        <v>80</v>
      </c>
      <c r="AF213">
        <v>0</v>
      </c>
      <c r="AG213">
        <v>2</v>
      </c>
      <c r="AH213">
        <v>3</v>
      </c>
      <c r="AI213">
        <v>2</v>
      </c>
      <c r="AJ213">
        <v>2</v>
      </c>
      <c r="AK213">
        <v>2</v>
      </c>
      <c r="AL213">
        <v>2</v>
      </c>
    </row>
    <row r="214" spans="1:38" x14ac:dyDescent="0.3">
      <c r="A214" t="s">
        <v>280</v>
      </c>
      <c r="B214">
        <v>28</v>
      </c>
      <c r="C214" t="s">
        <v>189</v>
      </c>
      <c r="D214" t="s">
        <v>48</v>
      </c>
      <c r="E214">
        <f t="shared" si="3"/>
        <v>0</v>
      </c>
      <c r="F214" t="s">
        <v>58</v>
      </c>
      <c r="G214">
        <v>120</v>
      </c>
      <c r="H214" t="s">
        <v>50</v>
      </c>
      <c r="I214">
        <v>4</v>
      </c>
      <c r="J214">
        <v>3</v>
      </c>
      <c r="K214" t="s">
        <v>51</v>
      </c>
      <c r="L214">
        <v>1</v>
      </c>
      <c r="M214">
        <v>129</v>
      </c>
      <c r="N214">
        <v>2</v>
      </c>
      <c r="O214" t="s">
        <v>43</v>
      </c>
      <c r="P214">
        <v>43</v>
      </c>
      <c r="Q214">
        <v>3</v>
      </c>
      <c r="R214">
        <v>2</v>
      </c>
      <c r="S214" t="s">
        <v>136</v>
      </c>
      <c r="T214">
        <v>3</v>
      </c>
      <c r="U214" t="s">
        <v>104</v>
      </c>
      <c r="V214">
        <v>4221</v>
      </c>
      <c r="W214" t="s">
        <v>46</v>
      </c>
      <c r="X214">
        <v>8863</v>
      </c>
      <c r="Y214">
        <v>1</v>
      </c>
      <c r="Z214" t="s">
        <v>47</v>
      </c>
      <c r="AA214" t="s">
        <v>48</v>
      </c>
      <c r="AB214">
        <v>15</v>
      </c>
      <c r="AC214">
        <v>3</v>
      </c>
      <c r="AD214">
        <v>2</v>
      </c>
      <c r="AE214">
        <v>80</v>
      </c>
      <c r="AF214">
        <v>0</v>
      </c>
      <c r="AG214">
        <v>5</v>
      </c>
      <c r="AH214">
        <v>3</v>
      </c>
      <c r="AI214">
        <v>4</v>
      </c>
      <c r="AJ214">
        <v>5</v>
      </c>
      <c r="AK214">
        <v>4</v>
      </c>
      <c r="AL214">
        <v>0</v>
      </c>
    </row>
    <row r="215" spans="1:38" x14ac:dyDescent="0.3">
      <c r="A215" t="s">
        <v>281</v>
      </c>
      <c r="B215">
        <v>28</v>
      </c>
      <c r="C215" t="s">
        <v>189</v>
      </c>
      <c r="D215" t="s">
        <v>48</v>
      </c>
      <c r="E215">
        <f t="shared" si="3"/>
        <v>0</v>
      </c>
      <c r="F215" t="s">
        <v>40</v>
      </c>
      <c r="G215">
        <v>440</v>
      </c>
      <c r="H215" t="s">
        <v>41</v>
      </c>
      <c r="I215">
        <v>21</v>
      </c>
      <c r="J215">
        <v>3</v>
      </c>
      <c r="K215" t="s">
        <v>51</v>
      </c>
      <c r="L215">
        <v>1</v>
      </c>
      <c r="M215">
        <v>221</v>
      </c>
      <c r="N215">
        <v>3</v>
      </c>
      <c r="O215" t="s">
        <v>43</v>
      </c>
      <c r="P215">
        <v>42</v>
      </c>
      <c r="Q215">
        <v>3</v>
      </c>
      <c r="R215">
        <v>1</v>
      </c>
      <c r="S215" t="s">
        <v>59</v>
      </c>
      <c r="T215">
        <v>4</v>
      </c>
      <c r="U215" t="s">
        <v>104</v>
      </c>
      <c r="V215">
        <v>2713</v>
      </c>
      <c r="W215" t="s">
        <v>46</v>
      </c>
      <c r="X215">
        <v>6672</v>
      </c>
      <c r="Y215">
        <v>1</v>
      </c>
      <c r="Z215" t="s">
        <v>47</v>
      </c>
      <c r="AA215" t="s">
        <v>48</v>
      </c>
      <c r="AB215">
        <v>11</v>
      </c>
      <c r="AC215">
        <v>3</v>
      </c>
      <c r="AD215">
        <v>3</v>
      </c>
      <c r="AE215">
        <v>80</v>
      </c>
      <c r="AF215">
        <v>1</v>
      </c>
      <c r="AG215">
        <v>5</v>
      </c>
      <c r="AH215">
        <v>2</v>
      </c>
      <c r="AI215">
        <v>1</v>
      </c>
      <c r="AJ215">
        <v>5</v>
      </c>
      <c r="AK215">
        <v>2</v>
      </c>
      <c r="AL215">
        <v>0</v>
      </c>
    </row>
    <row r="216" spans="1:38" x14ac:dyDescent="0.3">
      <c r="A216" t="s">
        <v>282</v>
      </c>
      <c r="B216">
        <v>28</v>
      </c>
      <c r="C216" t="s">
        <v>189</v>
      </c>
      <c r="D216" t="s">
        <v>39</v>
      </c>
      <c r="E216">
        <f t="shared" si="3"/>
        <v>1</v>
      </c>
      <c r="F216" t="s">
        <v>40</v>
      </c>
      <c r="G216">
        <v>529</v>
      </c>
      <c r="H216" t="s">
        <v>41</v>
      </c>
      <c r="I216">
        <v>2</v>
      </c>
      <c r="J216">
        <v>4</v>
      </c>
      <c r="K216" t="s">
        <v>42</v>
      </c>
      <c r="L216">
        <v>1</v>
      </c>
      <c r="M216">
        <v>364</v>
      </c>
      <c r="N216">
        <v>1</v>
      </c>
      <c r="O216" t="s">
        <v>43</v>
      </c>
      <c r="P216">
        <v>79</v>
      </c>
      <c r="Q216">
        <v>3</v>
      </c>
      <c r="R216">
        <v>1</v>
      </c>
      <c r="S216" t="s">
        <v>44</v>
      </c>
      <c r="T216">
        <v>3</v>
      </c>
      <c r="U216" t="s">
        <v>45</v>
      </c>
      <c r="V216">
        <v>3485</v>
      </c>
      <c r="W216" t="s">
        <v>46</v>
      </c>
      <c r="X216">
        <v>14935</v>
      </c>
      <c r="Y216">
        <v>2</v>
      </c>
      <c r="Z216" t="s">
        <v>47</v>
      </c>
      <c r="AA216" t="s">
        <v>48</v>
      </c>
      <c r="AB216">
        <v>11</v>
      </c>
      <c r="AC216">
        <v>3</v>
      </c>
      <c r="AD216">
        <v>3</v>
      </c>
      <c r="AE216">
        <v>80</v>
      </c>
      <c r="AF216">
        <v>0</v>
      </c>
      <c r="AG216">
        <v>5</v>
      </c>
      <c r="AH216">
        <v>5</v>
      </c>
      <c r="AI216">
        <v>1</v>
      </c>
      <c r="AJ216">
        <v>0</v>
      </c>
      <c r="AK216">
        <v>0</v>
      </c>
      <c r="AL216">
        <v>0</v>
      </c>
    </row>
    <row r="217" spans="1:38" x14ac:dyDescent="0.3">
      <c r="A217" t="s">
        <v>283</v>
      </c>
      <c r="B217">
        <v>28</v>
      </c>
      <c r="C217" t="s">
        <v>189</v>
      </c>
      <c r="D217" t="s">
        <v>48</v>
      </c>
      <c r="E217">
        <f t="shared" si="3"/>
        <v>0</v>
      </c>
      <c r="F217" t="s">
        <v>40</v>
      </c>
      <c r="G217">
        <v>1158</v>
      </c>
      <c r="H217" t="s">
        <v>41</v>
      </c>
      <c r="I217">
        <v>9</v>
      </c>
      <c r="J217">
        <v>3</v>
      </c>
      <c r="K217" t="s">
        <v>51</v>
      </c>
      <c r="L217">
        <v>1</v>
      </c>
      <c r="M217">
        <v>377</v>
      </c>
      <c r="N217">
        <v>4</v>
      </c>
      <c r="O217" t="s">
        <v>43</v>
      </c>
      <c r="P217">
        <v>94</v>
      </c>
      <c r="Q217">
        <v>3</v>
      </c>
      <c r="R217">
        <v>1</v>
      </c>
      <c r="S217" t="s">
        <v>59</v>
      </c>
      <c r="T217">
        <v>4</v>
      </c>
      <c r="U217" t="s">
        <v>104</v>
      </c>
      <c r="V217">
        <v>2070</v>
      </c>
      <c r="W217" t="s">
        <v>46</v>
      </c>
      <c r="X217">
        <v>2613</v>
      </c>
      <c r="Y217">
        <v>1</v>
      </c>
      <c r="Z217" t="s">
        <v>47</v>
      </c>
      <c r="AA217" t="s">
        <v>48</v>
      </c>
      <c r="AB217">
        <v>23</v>
      </c>
      <c r="AC217">
        <v>4</v>
      </c>
      <c r="AD217">
        <v>4</v>
      </c>
      <c r="AE217">
        <v>80</v>
      </c>
      <c r="AF217">
        <v>1</v>
      </c>
      <c r="AG217">
        <v>5</v>
      </c>
      <c r="AH217">
        <v>3</v>
      </c>
      <c r="AI217">
        <v>2</v>
      </c>
      <c r="AJ217">
        <v>5</v>
      </c>
      <c r="AK217">
        <v>2</v>
      </c>
      <c r="AL217">
        <v>0</v>
      </c>
    </row>
    <row r="218" spans="1:38" x14ac:dyDescent="0.3">
      <c r="A218" t="s">
        <v>284</v>
      </c>
      <c r="B218">
        <v>28</v>
      </c>
      <c r="C218" t="s">
        <v>189</v>
      </c>
      <c r="D218" t="s">
        <v>48</v>
      </c>
      <c r="E218">
        <f t="shared" si="3"/>
        <v>0</v>
      </c>
      <c r="F218" t="s">
        <v>40</v>
      </c>
      <c r="G218">
        <v>1117</v>
      </c>
      <c r="H218" t="s">
        <v>41</v>
      </c>
      <c r="I218">
        <v>8</v>
      </c>
      <c r="J218">
        <v>2</v>
      </c>
      <c r="K218" t="s">
        <v>42</v>
      </c>
      <c r="L218">
        <v>1</v>
      </c>
      <c r="M218">
        <v>395</v>
      </c>
      <c r="N218">
        <v>4</v>
      </c>
      <c r="O218" t="s">
        <v>52</v>
      </c>
      <c r="P218">
        <v>66</v>
      </c>
      <c r="Q218">
        <v>3</v>
      </c>
      <c r="R218">
        <v>1</v>
      </c>
      <c r="S218" t="s">
        <v>59</v>
      </c>
      <c r="T218">
        <v>4</v>
      </c>
      <c r="U218" t="s">
        <v>45</v>
      </c>
      <c r="V218">
        <v>3310</v>
      </c>
      <c r="W218" t="s">
        <v>46</v>
      </c>
      <c r="X218">
        <v>4488</v>
      </c>
      <c r="Y218">
        <v>1</v>
      </c>
      <c r="Z218" t="s">
        <v>47</v>
      </c>
      <c r="AA218" t="s">
        <v>48</v>
      </c>
      <c r="AB218">
        <v>21</v>
      </c>
      <c r="AC218">
        <v>4</v>
      </c>
      <c r="AD218">
        <v>4</v>
      </c>
      <c r="AE218">
        <v>80</v>
      </c>
      <c r="AF218">
        <v>0</v>
      </c>
      <c r="AG218">
        <v>5</v>
      </c>
      <c r="AH218">
        <v>3</v>
      </c>
      <c r="AI218">
        <v>3</v>
      </c>
      <c r="AJ218">
        <v>5</v>
      </c>
      <c r="AK218">
        <v>3</v>
      </c>
      <c r="AL218">
        <v>0</v>
      </c>
    </row>
    <row r="219" spans="1:38" x14ac:dyDescent="0.3">
      <c r="A219" t="s">
        <v>285</v>
      </c>
      <c r="B219">
        <v>28</v>
      </c>
      <c r="C219" t="s">
        <v>189</v>
      </c>
      <c r="D219" t="s">
        <v>48</v>
      </c>
      <c r="E219">
        <f t="shared" si="3"/>
        <v>0</v>
      </c>
      <c r="F219" t="s">
        <v>40</v>
      </c>
      <c r="G219">
        <v>1476</v>
      </c>
      <c r="H219" t="s">
        <v>41</v>
      </c>
      <c r="I219">
        <v>16</v>
      </c>
      <c r="J219">
        <v>2</v>
      </c>
      <c r="K219" t="s">
        <v>51</v>
      </c>
      <c r="L219">
        <v>1</v>
      </c>
      <c r="M219">
        <v>412</v>
      </c>
      <c r="N219">
        <v>2</v>
      </c>
      <c r="O219" t="s">
        <v>43</v>
      </c>
      <c r="P219">
        <v>68</v>
      </c>
      <c r="Q219">
        <v>4</v>
      </c>
      <c r="R219">
        <v>2</v>
      </c>
      <c r="S219" t="s">
        <v>160</v>
      </c>
      <c r="T219">
        <v>1</v>
      </c>
      <c r="U219" t="s">
        <v>45</v>
      </c>
      <c r="V219">
        <v>5661</v>
      </c>
      <c r="W219" t="s">
        <v>162</v>
      </c>
      <c r="X219">
        <v>4824</v>
      </c>
      <c r="Y219">
        <v>0</v>
      </c>
      <c r="Z219" t="s">
        <v>47</v>
      </c>
      <c r="AA219" t="s">
        <v>48</v>
      </c>
      <c r="AB219">
        <v>19</v>
      </c>
      <c r="AC219">
        <v>3</v>
      </c>
      <c r="AD219">
        <v>3</v>
      </c>
      <c r="AE219">
        <v>80</v>
      </c>
      <c r="AF219">
        <v>0</v>
      </c>
      <c r="AG219">
        <v>9</v>
      </c>
      <c r="AH219">
        <v>2</v>
      </c>
      <c r="AI219">
        <v>3</v>
      </c>
      <c r="AJ219">
        <v>8</v>
      </c>
      <c r="AK219">
        <v>3</v>
      </c>
      <c r="AL219">
        <v>0</v>
      </c>
    </row>
    <row r="220" spans="1:38" x14ac:dyDescent="0.3">
      <c r="A220" t="s">
        <v>286</v>
      </c>
      <c r="B220">
        <v>28</v>
      </c>
      <c r="C220" t="s">
        <v>189</v>
      </c>
      <c r="D220" t="s">
        <v>39</v>
      </c>
      <c r="E220">
        <f t="shared" si="3"/>
        <v>1</v>
      </c>
      <c r="F220" t="s">
        <v>40</v>
      </c>
      <c r="G220">
        <v>1157</v>
      </c>
      <c r="H220" t="s">
        <v>41</v>
      </c>
      <c r="I220">
        <v>2</v>
      </c>
      <c r="J220">
        <v>4</v>
      </c>
      <c r="K220" t="s">
        <v>51</v>
      </c>
      <c r="L220">
        <v>1</v>
      </c>
      <c r="M220">
        <v>440</v>
      </c>
      <c r="N220">
        <v>1</v>
      </c>
      <c r="O220" t="s">
        <v>43</v>
      </c>
      <c r="P220">
        <v>84</v>
      </c>
      <c r="Q220">
        <v>1</v>
      </c>
      <c r="R220">
        <v>1</v>
      </c>
      <c r="S220" t="s">
        <v>59</v>
      </c>
      <c r="T220">
        <v>4</v>
      </c>
      <c r="U220" t="s">
        <v>104</v>
      </c>
      <c r="V220">
        <v>3464</v>
      </c>
      <c r="W220" t="s">
        <v>46</v>
      </c>
      <c r="X220">
        <v>24737</v>
      </c>
      <c r="Y220">
        <v>5</v>
      </c>
      <c r="Z220" t="s">
        <v>47</v>
      </c>
      <c r="AA220" t="s">
        <v>39</v>
      </c>
      <c r="AB220">
        <v>13</v>
      </c>
      <c r="AC220">
        <v>3</v>
      </c>
      <c r="AD220">
        <v>4</v>
      </c>
      <c r="AE220">
        <v>80</v>
      </c>
      <c r="AF220">
        <v>0</v>
      </c>
      <c r="AG220">
        <v>5</v>
      </c>
      <c r="AH220">
        <v>4</v>
      </c>
      <c r="AI220">
        <v>2</v>
      </c>
      <c r="AJ220">
        <v>3</v>
      </c>
      <c r="AK220">
        <v>2</v>
      </c>
      <c r="AL220">
        <v>2</v>
      </c>
    </row>
    <row r="221" spans="1:38" x14ac:dyDescent="0.3">
      <c r="A221" t="s">
        <v>287</v>
      </c>
      <c r="B221">
        <v>28</v>
      </c>
      <c r="C221" t="s">
        <v>189</v>
      </c>
      <c r="D221" t="s">
        <v>48</v>
      </c>
      <c r="E221">
        <f t="shared" si="3"/>
        <v>0</v>
      </c>
      <c r="F221" t="s">
        <v>40</v>
      </c>
      <c r="G221">
        <v>304</v>
      </c>
      <c r="H221" t="s">
        <v>50</v>
      </c>
      <c r="I221">
        <v>9</v>
      </c>
      <c r="J221">
        <v>4</v>
      </c>
      <c r="K221" t="s">
        <v>42</v>
      </c>
      <c r="L221">
        <v>1</v>
      </c>
      <c r="M221">
        <v>498</v>
      </c>
      <c r="N221">
        <v>2</v>
      </c>
      <c r="O221" t="s">
        <v>43</v>
      </c>
      <c r="P221">
        <v>92</v>
      </c>
      <c r="Q221">
        <v>3</v>
      </c>
      <c r="R221">
        <v>2</v>
      </c>
      <c r="S221" t="s">
        <v>136</v>
      </c>
      <c r="T221">
        <v>4</v>
      </c>
      <c r="U221" t="s">
        <v>45</v>
      </c>
      <c r="V221">
        <v>5253</v>
      </c>
      <c r="W221" t="s">
        <v>162</v>
      </c>
      <c r="X221">
        <v>20750</v>
      </c>
      <c r="Y221">
        <v>1</v>
      </c>
      <c r="Z221" t="s">
        <v>47</v>
      </c>
      <c r="AA221" t="s">
        <v>48</v>
      </c>
      <c r="AB221">
        <v>16</v>
      </c>
      <c r="AC221">
        <v>3</v>
      </c>
      <c r="AD221">
        <v>4</v>
      </c>
      <c r="AE221">
        <v>80</v>
      </c>
      <c r="AF221">
        <v>0</v>
      </c>
      <c r="AG221">
        <v>7</v>
      </c>
      <c r="AH221">
        <v>1</v>
      </c>
      <c r="AI221">
        <v>3</v>
      </c>
      <c r="AJ221">
        <v>7</v>
      </c>
      <c r="AK221">
        <v>5</v>
      </c>
      <c r="AL221">
        <v>0</v>
      </c>
    </row>
    <row r="222" spans="1:38" x14ac:dyDescent="0.3">
      <c r="A222" t="s">
        <v>288</v>
      </c>
      <c r="B222">
        <v>28</v>
      </c>
      <c r="C222" t="s">
        <v>189</v>
      </c>
      <c r="D222" t="s">
        <v>48</v>
      </c>
      <c r="E222">
        <f t="shared" si="3"/>
        <v>0</v>
      </c>
      <c r="F222" t="s">
        <v>40</v>
      </c>
      <c r="G222">
        <v>1300</v>
      </c>
      <c r="H222" t="s">
        <v>41</v>
      </c>
      <c r="I222">
        <v>17</v>
      </c>
      <c r="J222">
        <v>2</v>
      </c>
      <c r="K222" t="s">
        <v>51</v>
      </c>
      <c r="L222">
        <v>1</v>
      </c>
      <c r="M222">
        <v>536</v>
      </c>
      <c r="N222">
        <v>3</v>
      </c>
      <c r="O222" t="s">
        <v>43</v>
      </c>
      <c r="P222">
        <v>79</v>
      </c>
      <c r="Q222">
        <v>3</v>
      </c>
      <c r="R222">
        <v>2</v>
      </c>
      <c r="S222" t="s">
        <v>44</v>
      </c>
      <c r="T222">
        <v>1</v>
      </c>
      <c r="U222" t="s">
        <v>101</v>
      </c>
      <c r="V222">
        <v>4558</v>
      </c>
      <c r="W222" t="s">
        <v>46</v>
      </c>
      <c r="X222">
        <v>13535</v>
      </c>
      <c r="Y222">
        <v>1</v>
      </c>
      <c r="Z222" t="s">
        <v>47</v>
      </c>
      <c r="AA222" t="s">
        <v>48</v>
      </c>
      <c r="AB222">
        <v>12</v>
      </c>
      <c r="AC222">
        <v>3</v>
      </c>
      <c r="AD222">
        <v>4</v>
      </c>
      <c r="AE222">
        <v>80</v>
      </c>
      <c r="AF222">
        <v>1</v>
      </c>
      <c r="AG222">
        <v>10</v>
      </c>
      <c r="AH222">
        <v>2</v>
      </c>
      <c r="AI222">
        <v>3</v>
      </c>
      <c r="AJ222">
        <v>10</v>
      </c>
      <c r="AK222">
        <v>0</v>
      </c>
      <c r="AL222">
        <v>1</v>
      </c>
    </row>
    <row r="223" spans="1:38" x14ac:dyDescent="0.3">
      <c r="A223" t="s">
        <v>289</v>
      </c>
      <c r="B223">
        <v>28</v>
      </c>
      <c r="C223" t="s">
        <v>189</v>
      </c>
      <c r="D223" t="s">
        <v>39</v>
      </c>
      <c r="E223">
        <f t="shared" si="3"/>
        <v>1</v>
      </c>
      <c r="F223" t="s">
        <v>40</v>
      </c>
      <c r="G223">
        <v>654</v>
      </c>
      <c r="H223" t="s">
        <v>41</v>
      </c>
      <c r="I223">
        <v>1</v>
      </c>
      <c r="J223">
        <v>2</v>
      </c>
      <c r="K223" t="s">
        <v>42</v>
      </c>
      <c r="L223">
        <v>1</v>
      </c>
      <c r="M223">
        <v>741</v>
      </c>
      <c r="N223">
        <v>1</v>
      </c>
      <c r="O223" t="s">
        <v>52</v>
      </c>
      <c r="P223">
        <v>67</v>
      </c>
      <c r="Q223">
        <v>1</v>
      </c>
      <c r="R223">
        <v>1</v>
      </c>
      <c r="S223" t="s">
        <v>59</v>
      </c>
      <c r="T223">
        <v>2</v>
      </c>
      <c r="U223" t="s">
        <v>45</v>
      </c>
      <c r="V223">
        <v>2216</v>
      </c>
      <c r="W223" t="s">
        <v>46</v>
      </c>
      <c r="X223">
        <v>3872</v>
      </c>
      <c r="Y223">
        <v>7</v>
      </c>
      <c r="Z223" t="s">
        <v>47</v>
      </c>
      <c r="AA223" t="s">
        <v>39</v>
      </c>
      <c r="AB223">
        <v>13</v>
      </c>
      <c r="AC223">
        <v>3</v>
      </c>
      <c r="AD223">
        <v>4</v>
      </c>
      <c r="AE223">
        <v>80</v>
      </c>
      <c r="AF223">
        <v>0</v>
      </c>
      <c r="AG223">
        <v>10</v>
      </c>
      <c r="AH223">
        <v>4</v>
      </c>
      <c r="AI223">
        <v>3</v>
      </c>
      <c r="AJ223">
        <v>7</v>
      </c>
      <c r="AK223">
        <v>7</v>
      </c>
      <c r="AL223">
        <v>3</v>
      </c>
    </row>
    <row r="224" spans="1:38" x14ac:dyDescent="0.3">
      <c r="A224" t="s">
        <v>290</v>
      </c>
      <c r="B224">
        <v>28</v>
      </c>
      <c r="C224" t="s">
        <v>189</v>
      </c>
      <c r="D224" t="s">
        <v>39</v>
      </c>
      <c r="E224">
        <f t="shared" si="3"/>
        <v>1</v>
      </c>
      <c r="F224" t="s">
        <v>40</v>
      </c>
      <c r="G224">
        <v>890</v>
      </c>
      <c r="H224" t="s">
        <v>41</v>
      </c>
      <c r="I224">
        <v>2</v>
      </c>
      <c r="J224">
        <v>4</v>
      </c>
      <c r="K224" t="s">
        <v>51</v>
      </c>
      <c r="L224">
        <v>1</v>
      </c>
      <c r="M224">
        <v>828</v>
      </c>
      <c r="N224">
        <v>3</v>
      </c>
      <c r="O224" t="s">
        <v>43</v>
      </c>
      <c r="P224">
        <v>46</v>
      </c>
      <c r="Q224">
        <v>3</v>
      </c>
      <c r="R224">
        <v>1</v>
      </c>
      <c r="S224" t="s">
        <v>59</v>
      </c>
      <c r="T224">
        <v>3</v>
      </c>
      <c r="U224" t="s">
        <v>45</v>
      </c>
      <c r="V224">
        <v>4382</v>
      </c>
      <c r="W224" t="s">
        <v>46</v>
      </c>
      <c r="X224">
        <v>16374</v>
      </c>
      <c r="Y224">
        <v>6</v>
      </c>
      <c r="Z224" t="s">
        <v>47</v>
      </c>
      <c r="AA224" t="s">
        <v>48</v>
      </c>
      <c r="AB224">
        <v>17</v>
      </c>
      <c r="AC224">
        <v>3</v>
      </c>
      <c r="AD224">
        <v>4</v>
      </c>
      <c r="AE224">
        <v>80</v>
      </c>
      <c r="AF224">
        <v>0</v>
      </c>
      <c r="AG224">
        <v>5</v>
      </c>
      <c r="AH224">
        <v>3</v>
      </c>
      <c r="AI224">
        <v>2</v>
      </c>
      <c r="AJ224">
        <v>2</v>
      </c>
      <c r="AK224">
        <v>2</v>
      </c>
      <c r="AL224">
        <v>2</v>
      </c>
    </row>
    <row r="225" spans="1:38" x14ac:dyDescent="0.3">
      <c r="A225" t="s">
        <v>291</v>
      </c>
      <c r="B225">
        <v>28</v>
      </c>
      <c r="C225" t="s">
        <v>189</v>
      </c>
      <c r="D225" t="s">
        <v>48</v>
      </c>
      <c r="E225">
        <f t="shared" si="3"/>
        <v>0</v>
      </c>
      <c r="F225" t="s">
        <v>40</v>
      </c>
      <c r="G225">
        <v>760</v>
      </c>
      <c r="H225" t="s">
        <v>50</v>
      </c>
      <c r="I225">
        <v>2</v>
      </c>
      <c r="J225">
        <v>4</v>
      </c>
      <c r="K225" t="s">
        <v>56</v>
      </c>
      <c r="L225">
        <v>1</v>
      </c>
      <c r="M225">
        <v>846</v>
      </c>
      <c r="N225">
        <v>2</v>
      </c>
      <c r="O225" t="s">
        <v>52</v>
      </c>
      <c r="P225">
        <v>81</v>
      </c>
      <c r="Q225">
        <v>3</v>
      </c>
      <c r="R225">
        <v>2</v>
      </c>
      <c r="S225" t="s">
        <v>136</v>
      </c>
      <c r="T225">
        <v>2</v>
      </c>
      <c r="U225" t="s">
        <v>104</v>
      </c>
      <c r="V225">
        <v>4779</v>
      </c>
      <c r="W225" t="s">
        <v>46</v>
      </c>
      <c r="X225">
        <v>3698</v>
      </c>
      <c r="Y225">
        <v>1</v>
      </c>
      <c r="Z225" t="s">
        <v>47</v>
      </c>
      <c r="AA225" t="s">
        <v>39</v>
      </c>
      <c r="AB225">
        <v>20</v>
      </c>
      <c r="AC225">
        <v>4</v>
      </c>
      <c r="AD225">
        <v>1</v>
      </c>
      <c r="AE225">
        <v>80</v>
      </c>
      <c r="AF225">
        <v>0</v>
      </c>
      <c r="AG225">
        <v>8</v>
      </c>
      <c r="AH225">
        <v>2</v>
      </c>
      <c r="AI225">
        <v>3</v>
      </c>
      <c r="AJ225">
        <v>8</v>
      </c>
      <c r="AK225">
        <v>7</v>
      </c>
      <c r="AL225">
        <v>7</v>
      </c>
    </row>
    <row r="226" spans="1:38" x14ac:dyDescent="0.3">
      <c r="A226" t="s">
        <v>292</v>
      </c>
      <c r="B226">
        <v>28</v>
      </c>
      <c r="C226" t="s">
        <v>189</v>
      </c>
      <c r="D226" t="s">
        <v>48</v>
      </c>
      <c r="E226">
        <f t="shared" si="3"/>
        <v>0</v>
      </c>
      <c r="F226" t="s">
        <v>40</v>
      </c>
      <c r="G226">
        <v>1169</v>
      </c>
      <c r="H226" t="s">
        <v>70</v>
      </c>
      <c r="I226">
        <v>8</v>
      </c>
      <c r="J226">
        <v>2</v>
      </c>
      <c r="K226" t="s">
        <v>51</v>
      </c>
      <c r="L226">
        <v>1</v>
      </c>
      <c r="M226">
        <v>869</v>
      </c>
      <c r="N226">
        <v>2</v>
      </c>
      <c r="O226" t="s">
        <v>43</v>
      </c>
      <c r="P226">
        <v>63</v>
      </c>
      <c r="Q226">
        <v>2</v>
      </c>
      <c r="R226">
        <v>1</v>
      </c>
      <c r="S226" t="s">
        <v>70</v>
      </c>
      <c r="T226">
        <v>4</v>
      </c>
      <c r="U226" t="s">
        <v>101</v>
      </c>
      <c r="V226">
        <v>4936</v>
      </c>
      <c r="W226" t="s">
        <v>46</v>
      </c>
      <c r="X226">
        <v>23965</v>
      </c>
      <c r="Y226">
        <v>1</v>
      </c>
      <c r="Z226" t="s">
        <v>47</v>
      </c>
      <c r="AA226" t="s">
        <v>48</v>
      </c>
      <c r="AB226">
        <v>13</v>
      </c>
      <c r="AC226">
        <v>3</v>
      </c>
      <c r="AD226">
        <v>4</v>
      </c>
      <c r="AE226">
        <v>80</v>
      </c>
      <c r="AF226">
        <v>1</v>
      </c>
      <c r="AG226">
        <v>6</v>
      </c>
      <c r="AH226">
        <v>6</v>
      </c>
      <c r="AI226">
        <v>3</v>
      </c>
      <c r="AJ226">
        <v>5</v>
      </c>
      <c r="AK226">
        <v>1</v>
      </c>
      <c r="AL226">
        <v>0</v>
      </c>
    </row>
    <row r="227" spans="1:38" x14ac:dyDescent="0.3">
      <c r="A227" t="s">
        <v>293</v>
      </c>
      <c r="B227">
        <v>28</v>
      </c>
      <c r="C227" t="s">
        <v>189</v>
      </c>
      <c r="D227" t="s">
        <v>48</v>
      </c>
      <c r="E227">
        <f t="shared" si="3"/>
        <v>0</v>
      </c>
      <c r="F227" t="s">
        <v>40</v>
      </c>
      <c r="G227">
        <v>821</v>
      </c>
      <c r="H227" t="s">
        <v>50</v>
      </c>
      <c r="I227">
        <v>5</v>
      </c>
      <c r="J227">
        <v>4</v>
      </c>
      <c r="K227" t="s">
        <v>51</v>
      </c>
      <c r="L227">
        <v>1</v>
      </c>
      <c r="M227">
        <v>916</v>
      </c>
      <c r="N227">
        <v>1</v>
      </c>
      <c r="O227" t="s">
        <v>43</v>
      </c>
      <c r="P227">
        <v>98</v>
      </c>
      <c r="Q227">
        <v>3</v>
      </c>
      <c r="R227">
        <v>2</v>
      </c>
      <c r="S227" t="s">
        <v>136</v>
      </c>
      <c r="T227">
        <v>4</v>
      </c>
      <c r="U227" t="s">
        <v>45</v>
      </c>
      <c r="V227">
        <v>4908</v>
      </c>
      <c r="W227" t="s">
        <v>46</v>
      </c>
      <c r="X227">
        <v>24252</v>
      </c>
      <c r="Y227">
        <v>1</v>
      </c>
      <c r="Z227" t="s">
        <v>47</v>
      </c>
      <c r="AA227" t="s">
        <v>48</v>
      </c>
      <c r="AB227">
        <v>14</v>
      </c>
      <c r="AC227">
        <v>3</v>
      </c>
      <c r="AD227">
        <v>2</v>
      </c>
      <c r="AE227">
        <v>80</v>
      </c>
      <c r="AF227">
        <v>0</v>
      </c>
      <c r="AG227">
        <v>4</v>
      </c>
      <c r="AH227">
        <v>3</v>
      </c>
      <c r="AI227">
        <v>3</v>
      </c>
      <c r="AJ227">
        <v>4</v>
      </c>
      <c r="AK227">
        <v>2</v>
      </c>
      <c r="AL227">
        <v>0</v>
      </c>
    </row>
    <row r="228" spans="1:38" x14ac:dyDescent="0.3">
      <c r="A228" t="s">
        <v>294</v>
      </c>
      <c r="B228">
        <v>28</v>
      </c>
      <c r="C228" t="s">
        <v>189</v>
      </c>
      <c r="D228" t="s">
        <v>48</v>
      </c>
      <c r="E228">
        <f t="shared" si="3"/>
        <v>0</v>
      </c>
      <c r="F228" t="s">
        <v>40</v>
      </c>
      <c r="G228">
        <v>995</v>
      </c>
      <c r="H228" t="s">
        <v>41</v>
      </c>
      <c r="I228">
        <v>9</v>
      </c>
      <c r="J228">
        <v>3</v>
      </c>
      <c r="K228" t="s">
        <v>51</v>
      </c>
      <c r="L228">
        <v>1</v>
      </c>
      <c r="M228">
        <v>930</v>
      </c>
      <c r="N228">
        <v>3</v>
      </c>
      <c r="O228" t="s">
        <v>52</v>
      </c>
      <c r="P228">
        <v>77</v>
      </c>
      <c r="Q228">
        <v>3</v>
      </c>
      <c r="R228">
        <v>1</v>
      </c>
      <c r="S228" t="s">
        <v>59</v>
      </c>
      <c r="T228">
        <v>3</v>
      </c>
      <c r="U228" t="s">
        <v>101</v>
      </c>
      <c r="V228">
        <v>2377</v>
      </c>
      <c r="W228" t="s">
        <v>46</v>
      </c>
      <c r="X228">
        <v>9834</v>
      </c>
      <c r="Y228">
        <v>5</v>
      </c>
      <c r="Z228" t="s">
        <v>47</v>
      </c>
      <c r="AA228" t="s">
        <v>48</v>
      </c>
      <c r="AB228">
        <v>18</v>
      </c>
      <c r="AC228">
        <v>3</v>
      </c>
      <c r="AD228">
        <v>2</v>
      </c>
      <c r="AE228">
        <v>80</v>
      </c>
      <c r="AF228">
        <v>1</v>
      </c>
      <c r="AG228">
        <v>6</v>
      </c>
      <c r="AH228">
        <v>2</v>
      </c>
      <c r="AI228">
        <v>3</v>
      </c>
      <c r="AJ228">
        <v>2</v>
      </c>
      <c r="AK228">
        <v>2</v>
      </c>
      <c r="AL228">
        <v>2</v>
      </c>
    </row>
    <row r="229" spans="1:38" x14ac:dyDescent="0.3">
      <c r="A229" t="s">
        <v>295</v>
      </c>
      <c r="B229">
        <v>28</v>
      </c>
      <c r="C229" t="s">
        <v>189</v>
      </c>
      <c r="D229" t="s">
        <v>48</v>
      </c>
      <c r="E229">
        <f t="shared" si="3"/>
        <v>0</v>
      </c>
      <c r="F229" t="s">
        <v>40</v>
      </c>
      <c r="G229">
        <v>1144</v>
      </c>
      <c r="H229" t="s">
        <v>50</v>
      </c>
      <c r="I229">
        <v>10</v>
      </c>
      <c r="J229">
        <v>1</v>
      </c>
      <c r="K229" t="s">
        <v>51</v>
      </c>
      <c r="L229">
        <v>1</v>
      </c>
      <c r="M229">
        <v>1056</v>
      </c>
      <c r="N229">
        <v>4</v>
      </c>
      <c r="O229" t="s">
        <v>43</v>
      </c>
      <c r="P229">
        <v>74</v>
      </c>
      <c r="Q229">
        <v>3</v>
      </c>
      <c r="R229">
        <v>1</v>
      </c>
      <c r="S229" t="s">
        <v>53</v>
      </c>
      <c r="T229">
        <v>2</v>
      </c>
      <c r="U229" t="s">
        <v>104</v>
      </c>
      <c r="V229">
        <v>1052</v>
      </c>
      <c r="W229" t="s">
        <v>46</v>
      </c>
      <c r="X229">
        <v>23384</v>
      </c>
      <c r="Y229">
        <v>1</v>
      </c>
      <c r="Z229" t="s">
        <v>47</v>
      </c>
      <c r="AA229" t="s">
        <v>48</v>
      </c>
      <c r="AB229">
        <v>22</v>
      </c>
      <c r="AC229">
        <v>4</v>
      </c>
      <c r="AD229">
        <v>2</v>
      </c>
      <c r="AE229">
        <v>80</v>
      </c>
      <c r="AF229">
        <v>0</v>
      </c>
      <c r="AG229">
        <v>1</v>
      </c>
      <c r="AH229">
        <v>5</v>
      </c>
      <c r="AI229">
        <v>3</v>
      </c>
      <c r="AJ229">
        <v>1</v>
      </c>
      <c r="AK229">
        <v>0</v>
      </c>
      <c r="AL229">
        <v>0</v>
      </c>
    </row>
    <row r="230" spans="1:38" x14ac:dyDescent="0.3">
      <c r="A230" t="s">
        <v>296</v>
      </c>
      <c r="B230">
        <v>28</v>
      </c>
      <c r="C230" t="s">
        <v>189</v>
      </c>
      <c r="D230" t="s">
        <v>39</v>
      </c>
      <c r="E230">
        <f t="shared" si="3"/>
        <v>1</v>
      </c>
      <c r="F230" t="s">
        <v>58</v>
      </c>
      <c r="G230">
        <v>1366</v>
      </c>
      <c r="H230" t="s">
        <v>41</v>
      </c>
      <c r="I230">
        <v>24</v>
      </c>
      <c r="J230">
        <v>2</v>
      </c>
      <c r="K230" t="s">
        <v>67</v>
      </c>
      <c r="L230">
        <v>1</v>
      </c>
      <c r="M230">
        <v>1082</v>
      </c>
      <c r="N230">
        <v>2</v>
      </c>
      <c r="O230" t="s">
        <v>43</v>
      </c>
      <c r="P230">
        <v>72</v>
      </c>
      <c r="Q230">
        <v>2</v>
      </c>
      <c r="R230">
        <v>3</v>
      </c>
      <c r="S230" t="s">
        <v>160</v>
      </c>
      <c r="T230">
        <v>1</v>
      </c>
      <c r="U230" t="s">
        <v>45</v>
      </c>
      <c r="V230">
        <v>8722</v>
      </c>
      <c r="W230" t="s">
        <v>162</v>
      </c>
      <c r="X230">
        <v>12355</v>
      </c>
      <c r="Y230">
        <v>1</v>
      </c>
      <c r="Z230" t="s">
        <v>47</v>
      </c>
      <c r="AA230" t="s">
        <v>48</v>
      </c>
      <c r="AB230">
        <v>12</v>
      </c>
      <c r="AC230">
        <v>3</v>
      </c>
      <c r="AD230">
        <v>1</v>
      </c>
      <c r="AE230">
        <v>80</v>
      </c>
      <c r="AF230">
        <v>0</v>
      </c>
      <c r="AG230">
        <v>10</v>
      </c>
      <c r="AH230">
        <v>2</v>
      </c>
      <c r="AI230">
        <v>2</v>
      </c>
      <c r="AJ230">
        <v>10</v>
      </c>
      <c r="AK230">
        <v>7</v>
      </c>
      <c r="AL230">
        <v>1</v>
      </c>
    </row>
    <row r="231" spans="1:38" x14ac:dyDescent="0.3">
      <c r="A231" t="s">
        <v>297</v>
      </c>
      <c r="B231">
        <v>28</v>
      </c>
      <c r="C231" t="s">
        <v>189</v>
      </c>
      <c r="D231" t="s">
        <v>48</v>
      </c>
      <c r="E231">
        <f t="shared" si="3"/>
        <v>0</v>
      </c>
      <c r="F231" t="s">
        <v>40</v>
      </c>
      <c r="G231">
        <v>857</v>
      </c>
      <c r="H231" t="s">
        <v>41</v>
      </c>
      <c r="I231">
        <v>10</v>
      </c>
      <c r="J231">
        <v>3</v>
      </c>
      <c r="K231" t="s">
        <v>72</v>
      </c>
      <c r="L231">
        <v>1</v>
      </c>
      <c r="M231">
        <v>1097</v>
      </c>
      <c r="N231">
        <v>3</v>
      </c>
      <c r="O231" t="s">
        <v>52</v>
      </c>
      <c r="P231">
        <v>59</v>
      </c>
      <c r="Q231">
        <v>3</v>
      </c>
      <c r="R231">
        <v>2</v>
      </c>
      <c r="S231" t="s">
        <v>59</v>
      </c>
      <c r="T231">
        <v>3</v>
      </c>
      <c r="U231" t="s">
        <v>45</v>
      </c>
      <c r="V231">
        <v>3660</v>
      </c>
      <c r="W231" t="s">
        <v>46</v>
      </c>
      <c r="X231">
        <v>7909</v>
      </c>
      <c r="Y231">
        <v>3</v>
      </c>
      <c r="Z231" t="s">
        <v>47</v>
      </c>
      <c r="AA231" t="s">
        <v>48</v>
      </c>
      <c r="AB231">
        <v>13</v>
      </c>
      <c r="AC231">
        <v>3</v>
      </c>
      <c r="AD231">
        <v>4</v>
      </c>
      <c r="AE231">
        <v>80</v>
      </c>
      <c r="AF231">
        <v>0</v>
      </c>
      <c r="AG231">
        <v>10</v>
      </c>
      <c r="AH231">
        <v>4</v>
      </c>
      <c r="AI231">
        <v>4</v>
      </c>
      <c r="AJ231">
        <v>8</v>
      </c>
      <c r="AK231">
        <v>7</v>
      </c>
      <c r="AL231">
        <v>1</v>
      </c>
    </row>
    <row r="232" spans="1:38" x14ac:dyDescent="0.3">
      <c r="A232" t="s">
        <v>298</v>
      </c>
      <c r="B232">
        <v>28</v>
      </c>
      <c r="C232" t="s">
        <v>189</v>
      </c>
      <c r="D232" t="s">
        <v>48</v>
      </c>
      <c r="E232">
        <f t="shared" si="3"/>
        <v>0</v>
      </c>
      <c r="F232" t="s">
        <v>40</v>
      </c>
      <c r="G232">
        <v>895</v>
      </c>
      <c r="H232" t="s">
        <v>41</v>
      </c>
      <c r="I232">
        <v>15</v>
      </c>
      <c r="J232">
        <v>2</v>
      </c>
      <c r="K232" t="s">
        <v>42</v>
      </c>
      <c r="L232">
        <v>1</v>
      </c>
      <c r="M232">
        <v>1102</v>
      </c>
      <c r="N232">
        <v>1</v>
      </c>
      <c r="O232" t="s">
        <v>43</v>
      </c>
      <c r="P232">
        <v>50</v>
      </c>
      <c r="Q232">
        <v>3</v>
      </c>
      <c r="R232">
        <v>1</v>
      </c>
      <c r="S232" t="s">
        <v>44</v>
      </c>
      <c r="T232">
        <v>3</v>
      </c>
      <c r="U232" t="s">
        <v>101</v>
      </c>
      <c r="V232">
        <v>2207</v>
      </c>
      <c r="W232" t="s">
        <v>46</v>
      </c>
      <c r="X232">
        <v>22482</v>
      </c>
      <c r="Y232">
        <v>1</v>
      </c>
      <c r="Z232" t="s">
        <v>47</v>
      </c>
      <c r="AA232" t="s">
        <v>48</v>
      </c>
      <c r="AB232">
        <v>16</v>
      </c>
      <c r="AC232">
        <v>3</v>
      </c>
      <c r="AD232">
        <v>4</v>
      </c>
      <c r="AE232">
        <v>80</v>
      </c>
      <c r="AF232">
        <v>1</v>
      </c>
      <c r="AG232">
        <v>4</v>
      </c>
      <c r="AH232">
        <v>5</v>
      </c>
      <c r="AI232">
        <v>2</v>
      </c>
      <c r="AJ232">
        <v>4</v>
      </c>
      <c r="AK232">
        <v>2</v>
      </c>
      <c r="AL232">
        <v>2</v>
      </c>
    </row>
    <row r="233" spans="1:38" x14ac:dyDescent="0.3">
      <c r="A233" t="s">
        <v>299</v>
      </c>
      <c r="B233">
        <v>28</v>
      </c>
      <c r="C233" t="s">
        <v>189</v>
      </c>
      <c r="D233" t="s">
        <v>39</v>
      </c>
      <c r="E233">
        <f t="shared" si="3"/>
        <v>1</v>
      </c>
      <c r="F233" t="s">
        <v>55</v>
      </c>
      <c r="G233">
        <v>1009</v>
      </c>
      <c r="H233" t="s">
        <v>41</v>
      </c>
      <c r="I233">
        <v>1</v>
      </c>
      <c r="J233">
        <v>3</v>
      </c>
      <c r="K233" t="s">
        <v>51</v>
      </c>
      <c r="L233">
        <v>1</v>
      </c>
      <c r="M233">
        <v>1111</v>
      </c>
      <c r="N233">
        <v>1</v>
      </c>
      <c r="O233" t="s">
        <v>43</v>
      </c>
      <c r="P233">
        <v>45</v>
      </c>
      <c r="Q233">
        <v>2</v>
      </c>
      <c r="R233">
        <v>1</v>
      </c>
      <c r="S233" t="s">
        <v>44</v>
      </c>
      <c r="T233">
        <v>2</v>
      </c>
      <c r="U233" t="s">
        <v>101</v>
      </c>
      <c r="V233">
        <v>2596</v>
      </c>
      <c r="W233" t="s">
        <v>46</v>
      </c>
      <c r="X233">
        <v>7160</v>
      </c>
      <c r="Y233">
        <v>1</v>
      </c>
      <c r="Z233" t="s">
        <v>47</v>
      </c>
      <c r="AA233" t="s">
        <v>48</v>
      </c>
      <c r="AB233">
        <v>15</v>
      </c>
      <c r="AC233">
        <v>3</v>
      </c>
      <c r="AD233">
        <v>1</v>
      </c>
      <c r="AE233">
        <v>80</v>
      </c>
      <c r="AF233">
        <v>2</v>
      </c>
      <c r="AG233">
        <v>1</v>
      </c>
      <c r="AH233">
        <v>2</v>
      </c>
      <c r="AI233">
        <v>3</v>
      </c>
      <c r="AJ233">
        <v>1</v>
      </c>
      <c r="AK233">
        <v>0</v>
      </c>
      <c r="AL233">
        <v>0</v>
      </c>
    </row>
    <row r="234" spans="1:38" x14ac:dyDescent="0.3">
      <c r="A234" t="s">
        <v>300</v>
      </c>
      <c r="B234">
        <v>28</v>
      </c>
      <c r="C234" t="s">
        <v>189</v>
      </c>
      <c r="D234" t="s">
        <v>48</v>
      </c>
      <c r="E234">
        <f t="shared" si="3"/>
        <v>0</v>
      </c>
      <c r="F234" t="s">
        <v>40</v>
      </c>
      <c r="G234">
        <v>950</v>
      </c>
      <c r="H234" t="s">
        <v>41</v>
      </c>
      <c r="I234">
        <v>3</v>
      </c>
      <c r="J234">
        <v>3</v>
      </c>
      <c r="K234" t="s">
        <v>51</v>
      </c>
      <c r="L234">
        <v>1</v>
      </c>
      <c r="M234">
        <v>1121</v>
      </c>
      <c r="N234">
        <v>4</v>
      </c>
      <c r="O234" t="s">
        <v>52</v>
      </c>
      <c r="P234">
        <v>93</v>
      </c>
      <c r="Q234">
        <v>3</v>
      </c>
      <c r="R234">
        <v>3</v>
      </c>
      <c r="S234" t="s">
        <v>111</v>
      </c>
      <c r="T234">
        <v>2</v>
      </c>
      <c r="U234" t="s">
        <v>101</v>
      </c>
      <c r="V234">
        <v>7655</v>
      </c>
      <c r="W234" t="s">
        <v>162</v>
      </c>
      <c r="X234">
        <v>8039</v>
      </c>
      <c r="Y234">
        <v>0</v>
      </c>
      <c r="Z234" t="s">
        <v>47</v>
      </c>
      <c r="AA234" t="s">
        <v>48</v>
      </c>
      <c r="AB234">
        <v>17</v>
      </c>
      <c r="AC234">
        <v>3</v>
      </c>
      <c r="AD234">
        <v>2</v>
      </c>
      <c r="AE234">
        <v>80</v>
      </c>
      <c r="AF234">
        <v>3</v>
      </c>
      <c r="AG234">
        <v>10</v>
      </c>
      <c r="AH234">
        <v>3</v>
      </c>
      <c r="AI234">
        <v>2</v>
      </c>
      <c r="AJ234">
        <v>9</v>
      </c>
      <c r="AK234">
        <v>7</v>
      </c>
      <c r="AL234">
        <v>1</v>
      </c>
    </row>
    <row r="235" spans="1:38" x14ac:dyDescent="0.3">
      <c r="A235" t="s">
        <v>301</v>
      </c>
      <c r="B235">
        <v>28</v>
      </c>
      <c r="C235" t="s">
        <v>189</v>
      </c>
      <c r="D235" t="s">
        <v>48</v>
      </c>
      <c r="E235">
        <f t="shared" si="3"/>
        <v>0</v>
      </c>
      <c r="F235" t="s">
        <v>40</v>
      </c>
      <c r="G235">
        <v>1451</v>
      </c>
      <c r="H235" t="s">
        <v>41</v>
      </c>
      <c r="I235">
        <v>2</v>
      </c>
      <c r="J235">
        <v>1</v>
      </c>
      <c r="K235" t="s">
        <v>42</v>
      </c>
      <c r="L235">
        <v>1</v>
      </c>
      <c r="M235">
        <v>1136</v>
      </c>
      <c r="N235">
        <v>1</v>
      </c>
      <c r="O235" t="s">
        <v>43</v>
      </c>
      <c r="P235">
        <v>67</v>
      </c>
      <c r="Q235">
        <v>2</v>
      </c>
      <c r="R235">
        <v>1</v>
      </c>
      <c r="S235" t="s">
        <v>59</v>
      </c>
      <c r="T235">
        <v>2</v>
      </c>
      <c r="U235" t="s">
        <v>104</v>
      </c>
      <c r="V235">
        <v>3201</v>
      </c>
      <c r="W235" t="s">
        <v>46</v>
      </c>
      <c r="X235">
        <v>19911</v>
      </c>
      <c r="Y235">
        <v>0</v>
      </c>
      <c r="Z235" t="s">
        <v>47</v>
      </c>
      <c r="AA235" t="s">
        <v>48</v>
      </c>
      <c r="AB235">
        <v>17</v>
      </c>
      <c r="AC235">
        <v>3</v>
      </c>
      <c r="AD235">
        <v>1</v>
      </c>
      <c r="AE235">
        <v>80</v>
      </c>
      <c r="AF235">
        <v>0</v>
      </c>
      <c r="AG235">
        <v>6</v>
      </c>
      <c r="AH235">
        <v>2</v>
      </c>
      <c r="AI235">
        <v>1</v>
      </c>
      <c r="AJ235">
        <v>5</v>
      </c>
      <c r="AK235">
        <v>3</v>
      </c>
      <c r="AL235">
        <v>0</v>
      </c>
    </row>
    <row r="236" spans="1:38" x14ac:dyDescent="0.3">
      <c r="A236" t="s">
        <v>302</v>
      </c>
      <c r="B236">
        <v>28</v>
      </c>
      <c r="C236" t="s">
        <v>189</v>
      </c>
      <c r="D236" t="s">
        <v>48</v>
      </c>
      <c r="E236">
        <f t="shared" si="3"/>
        <v>0</v>
      </c>
      <c r="F236" t="s">
        <v>55</v>
      </c>
      <c r="G236">
        <v>773</v>
      </c>
      <c r="H236" t="s">
        <v>41</v>
      </c>
      <c r="I236">
        <v>6</v>
      </c>
      <c r="J236">
        <v>3</v>
      </c>
      <c r="K236" t="s">
        <v>42</v>
      </c>
      <c r="L236">
        <v>1</v>
      </c>
      <c r="M236">
        <v>1154</v>
      </c>
      <c r="N236">
        <v>3</v>
      </c>
      <c r="O236" t="s">
        <v>43</v>
      </c>
      <c r="P236">
        <v>39</v>
      </c>
      <c r="Q236">
        <v>2</v>
      </c>
      <c r="R236">
        <v>1</v>
      </c>
      <c r="S236" t="s">
        <v>59</v>
      </c>
      <c r="T236">
        <v>3</v>
      </c>
      <c r="U236" t="s">
        <v>101</v>
      </c>
      <c r="V236">
        <v>2703</v>
      </c>
      <c r="W236" t="s">
        <v>46</v>
      </c>
      <c r="X236">
        <v>22088</v>
      </c>
      <c r="Y236">
        <v>1</v>
      </c>
      <c r="Z236" t="s">
        <v>47</v>
      </c>
      <c r="AA236" t="s">
        <v>39</v>
      </c>
      <c r="AB236">
        <v>14</v>
      </c>
      <c r="AC236">
        <v>3</v>
      </c>
      <c r="AD236">
        <v>4</v>
      </c>
      <c r="AE236">
        <v>80</v>
      </c>
      <c r="AF236">
        <v>1</v>
      </c>
      <c r="AG236">
        <v>3</v>
      </c>
      <c r="AH236">
        <v>2</v>
      </c>
      <c r="AI236">
        <v>3</v>
      </c>
      <c r="AJ236">
        <v>3</v>
      </c>
      <c r="AK236">
        <v>1</v>
      </c>
      <c r="AL236">
        <v>0</v>
      </c>
    </row>
    <row r="237" spans="1:38" x14ac:dyDescent="0.3">
      <c r="A237" t="s">
        <v>303</v>
      </c>
      <c r="B237">
        <v>28</v>
      </c>
      <c r="C237" t="s">
        <v>189</v>
      </c>
      <c r="D237" t="s">
        <v>39</v>
      </c>
      <c r="E237">
        <f t="shared" si="3"/>
        <v>1</v>
      </c>
      <c r="F237" t="s">
        <v>40</v>
      </c>
      <c r="G237">
        <v>1485</v>
      </c>
      <c r="H237" t="s">
        <v>41</v>
      </c>
      <c r="I237">
        <v>12</v>
      </c>
      <c r="J237">
        <v>1</v>
      </c>
      <c r="K237" t="s">
        <v>42</v>
      </c>
      <c r="L237">
        <v>1</v>
      </c>
      <c r="M237">
        <v>1175</v>
      </c>
      <c r="N237">
        <v>3</v>
      </c>
      <c r="O237" t="s">
        <v>52</v>
      </c>
      <c r="P237">
        <v>79</v>
      </c>
      <c r="Q237">
        <v>3</v>
      </c>
      <c r="R237">
        <v>1</v>
      </c>
      <c r="S237" t="s">
        <v>44</v>
      </c>
      <c r="T237">
        <v>4</v>
      </c>
      <c r="U237" t="s">
        <v>104</v>
      </c>
      <c r="V237">
        <v>2515</v>
      </c>
      <c r="W237" t="s">
        <v>46</v>
      </c>
      <c r="X237">
        <v>22955</v>
      </c>
      <c r="Y237">
        <v>1</v>
      </c>
      <c r="Z237" t="s">
        <v>47</v>
      </c>
      <c r="AA237" t="s">
        <v>39</v>
      </c>
      <c r="AB237">
        <v>11</v>
      </c>
      <c r="AC237">
        <v>3</v>
      </c>
      <c r="AD237">
        <v>4</v>
      </c>
      <c r="AE237">
        <v>80</v>
      </c>
      <c r="AF237">
        <v>0</v>
      </c>
      <c r="AG237">
        <v>1</v>
      </c>
      <c r="AH237">
        <v>4</v>
      </c>
      <c r="AI237">
        <v>2</v>
      </c>
      <c r="AJ237">
        <v>1</v>
      </c>
      <c r="AK237">
        <v>1</v>
      </c>
      <c r="AL237">
        <v>0</v>
      </c>
    </row>
    <row r="238" spans="1:38" x14ac:dyDescent="0.3">
      <c r="A238" t="s">
        <v>304</v>
      </c>
      <c r="B238">
        <v>28</v>
      </c>
      <c r="C238" t="s">
        <v>189</v>
      </c>
      <c r="D238" t="s">
        <v>48</v>
      </c>
      <c r="E238">
        <f t="shared" si="3"/>
        <v>0</v>
      </c>
      <c r="F238" t="s">
        <v>40</v>
      </c>
      <c r="G238">
        <v>1179</v>
      </c>
      <c r="H238" t="s">
        <v>41</v>
      </c>
      <c r="I238">
        <v>19</v>
      </c>
      <c r="J238">
        <v>4</v>
      </c>
      <c r="K238" t="s">
        <v>51</v>
      </c>
      <c r="L238">
        <v>1</v>
      </c>
      <c r="M238">
        <v>1216</v>
      </c>
      <c r="N238">
        <v>4</v>
      </c>
      <c r="O238" t="s">
        <v>43</v>
      </c>
      <c r="P238">
        <v>78</v>
      </c>
      <c r="Q238">
        <v>2</v>
      </c>
      <c r="R238">
        <v>1</v>
      </c>
      <c r="S238" t="s">
        <v>44</v>
      </c>
      <c r="T238">
        <v>1</v>
      </c>
      <c r="U238" t="s">
        <v>104</v>
      </c>
      <c r="V238">
        <v>3196</v>
      </c>
      <c r="W238" t="s">
        <v>46</v>
      </c>
      <c r="X238">
        <v>12449</v>
      </c>
      <c r="Y238">
        <v>1</v>
      </c>
      <c r="Z238" t="s">
        <v>47</v>
      </c>
      <c r="AA238" t="s">
        <v>48</v>
      </c>
      <c r="AB238">
        <v>12</v>
      </c>
      <c r="AC238">
        <v>3</v>
      </c>
      <c r="AD238">
        <v>3</v>
      </c>
      <c r="AE238">
        <v>80</v>
      </c>
      <c r="AF238">
        <v>3</v>
      </c>
      <c r="AG238">
        <v>6</v>
      </c>
      <c r="AH238">
        <v>2</v>
      </c>
      <c r="AI238">
        <v>3</v>
      </c>
      <c r="AJ238">
        <v>6</v>
      </c>
      <c r="AK238">
        <v>5</v>
      </c>
      <c r="AL238">
        <v>3</v>
      </c>
    </row>
    <row r="239" spans="1:38" x14ac:dyDescent="0.3">
      <c r="A239" t="s">
        <v>305</v>
      </c>
      <c r="B239">
        <v>28</v>
      </c>
      <c r="C239" t="s">
        <v>189</v>
      </c>
      <c r="D239" t="s">
        <v>48</v>
      </c>
      <c r="E239">
        <f t="shared" si="3"/>
        <v>0</v>
      </c>
      <c r="F239" t="s">
        <v>55</v>
      </c>
      <c r="G239">
        <v>791</v>
      </c>
      <c r="H239" t="s">
        <v>41</v>
      </c>
      <c r="I239">
        <v>1</v>
      </c>
      <c r="J239">
        <v>4</v>
      </c>
      <c r="K239" t="s">
        <v>51</v>
      </c>
      <c r="L239">
        <v>1</v>
      </c>
      <c r="M239">
        <v>1286</v>
      </c>
      <c r="N239">
        <v>4</v>
      </c>
      <c r="O239" t="s">
        <v>43</v>
      </c>
      <c r="P239">
        <v>44</v>
      </c>
      <c r="Q239">
        <v>3</v>
      </c>
      <c r="R239">
        <v>1</v>
      </c>
      <c r="S239" t="s">
        <v>44</v>
      </c>
      <c r="T239">
        <v>3</v>
      </c>
      <c r="U239" t="s">
        <v>45</v>
      </c>
      <c r="V239">
        <v>2154</v>
      </c>
      <c r="W239" t="s">
        <v>46</v>
      </c>
      <c r="X239">
        <v>6842</v>
      </c>
      <c r="Y239">
        <v>0</v>
      </c>
      <c r="Z239" t="s">
        <v>47</v>
      </c>
      <c r="AA239" t="s">
        <v>39</v>
      </c>
      <c r="AB239">
        <v>11</v>
      </c>
      <c r="AC239">
        <v>3</v>
      </c>
      <c r="AD239">
        <v>3</v>
      </c>
      <c r="AE239">
        <v>80</v>
      </c>
      <c r="AF239">
        <v>0</v>
      </c>
      <c r="AG239">
        <v>5</v>
      </c>
      <c r="AH239">
        <v>2</v>
      </c>
      <c r="AI239">
        <v>2</v>
      </c>
      <c r="AJ239">
        <v>4</v>
      </c>
      <c r="AK239">
        <v>2</v>
      </c>
      <c r="AL239">
        <v>0</v>
      </c>
    </row>
    <row r="240" spans="1:38" x14ac:dyDescent="0.3">
      <c r="A240" t="s">
        <v>306</v>
      </c>
      <c r="B240">
        <v>28</v>
      </c>
      <c r="C240" t="s">
        <v>189</v>
      </c>
      <c r="D240" t="s">
        <v>48</v>
      </c>
      <c r="E240">
        <f t="shared" si="3"/>
        <v>0</v>
      </c>
      <c r="F240" t="s">
        <v>55</v>
      </c>
      <c r="G240">
        <v>193</v>
      </c>
      <c r="H240" t="s">
        <v>41</v>
      </c>
      <c r="I240">
        <v>2</v>
      </c>
      <c r="J240">
        <v>3</v>
      </c>
      <c r="K240" t="s">
        <v>42</v>
      </c>
      <c r="L240">
        <v>1</v>
      </c>
      <c r="M240">
        <v>1296</v>
      </c>
      <c r="N240">
        <v>4</v>
      </c>
      <c r="O240" t="s">
        <v>43</v>
      </c>
      <c r="P240">
        <v>52</v>
      </c>
      <c r="Q240">
        <v>2</v>
      </c>
      <c r="R240">
        <v>1</v>
      </c>
      <c r="S240" t="s">
        <v>44</v>
      </c>
      <c r="T240">
        <v>4</v>
      </c>
      <c r="U240" t="s">
        <v>104</v>
      </c>
      <c r="V240">
        <v>3867</v>
      </c>
      <c r="W240" t="s">
        <v>46</v>
      </c>
      <c r="X240">
        <v>14222</v>
      </c>
      <c r="Y240">
        <v>1</v>
      </c>
      <c r="Z240" t="s">
        <v>47</v>
      </c>
      <c r="AA240" t="s">
        <v>39</v>
      </c>
      <c r="AB240">
        <v>12</v>
      </c>
      <c r="AC240">
        <v>3</v>
      </c>
      <c r="AD240">
        <v>2</v>
      </c>
      <c r="AE240">
        <v>80</v>
      </c>
      <c r="AF240">
        <v>1</v>
      </c>
      <c r="AG240">
        <v>2</v>
      </c>
      <c r="AH240">
        <v>2</v>
      </c>
      <c r="AI240">
        <v>3</v>
      </c>
      <c r="AJ240">
        <v>2</v>
      </c>
      <c r="AK240">
        <v>2</v>
      </c>
      <c r="AL240">
        <v>2</v>
      </c>
    </row>
    <row r="241" spans="1:38" x14ac:dyDescent="0.3">
      <c r="A241" t="s">
        <v>307</v>
      </c>
      <c r="B241">
        <v>28</v>
      </c>
      <c r="C241" t="s">
        <v>189</v>
      </c>
      <c r="D241" t="s">
        <v>48</v>
      </c>
      <c r="E241">
        <f t="shared" si="3"/>
        <v>0</v>
      </c>
      <c r="F241" t="s">
        <v>40</v>
      </c>
      <c r="G241">
        <v>640</v>
      </c>
      <c r="H241" t="s">
        <v>41</v>
      </c>
      <c r="I241">
        <v>1</v>
      </c>
      <c r="J241">
        <v>3</v>
      </c>
      <c r="K241" t="s">
        <v>67</v>
      </c>
      <c r="L241">
        <v>1</v>
      </c>
      <c r="M241">
        <v>1301</v>
      </c>
      <c r="N241">
        <v>4</v>
      </c>
      <c r="O241" t="s">
        <v>43</v>
      </c>
      <c r="P241">
        <v>84</v>
      </c>
      <c r="Q241">
        <v>3</v>
      </c>
      <c r="R241">
        <v>1</v>
      </c>
      <c r="S241" t="s">
        <v>59</v>
      </c>
      <c r="T241">
        <v>1</v>
      </c>
      <c r="U241" t="s">
        <v>45</v>
      </c>
      <c r="V241">
        <v>2080</v>
      </c>
      <c r="W241" t="s">
        <v>46</v>
      </c>
      <c r="X241">
        <v>4732</v>
      </c>
      <c r="Y241">
        <v>2</v>
      </c>
      <c r="Z241" t="s">
        <v>47</v>
      </c>
      <c r="AA241" t="s">
        <v>48</v>
      </c>
      <c r="AB241">
        <v>11</v>
      </c>
      <c r="AC241">
        <v>3</v>
      </c>
      <c r="AD241">
        <v>2</v>
      </c>
      <c r="AE241">
        <v>80</v>
      </c>
      <c r="AF241">
        <v>0</v>
      </c>
      <c r="AG241">
        <v>5</v>
      </c>
      <c r="AH241">
        <v>2</v>
      </c>
      <c r="AI241">
        <v>2</v>
      </c>
      <c r="AJ241">
        <v>3</v>
      </c>
      <c r="AK241">
        <v>2</v>
      </c>
      <c r="AL241">
        <v>1</v>
      </c>
    </row>
    <row r="242" spans="1:38" x14ac:dyDescent="0.3">
      <c r="A242" t="s">
        <v>308</v>
      </c>
      <c r="B242">
        <v>28</v>
      </c>
      <c r="C242" t="s">
        <v>189</v>
      </c>
      <c r="D242" t="s">
        <v>48</v>
      </c>
      <c r="E242">
        <f t="shared" si="3"/>
        <v>0</v>
      </c>
      <c r="F242" t="s">
        <v>58</v>
      </c>
      <c r="G242">
        <v>1476</v>
      </c>
      <c r="H242" t="s">
        <v>41</v>
      </c>
      <c r="I242">
        <v>1</v>
      </c>
      <c r="J242">
        <v>3</v>
      </c>
      <c r="K242" t="s">
        <v>42</v>
      </c>
      <c r="L242">
        <v>1</v>
      </c>
      <c r="M242">
        <v>1315</v>
      </c>
      <c r="N242">
        <v>3</v>
      </c>
      <c r="O242" t="s">
        <v>52</v>
      </c>
      <c r="P242">
        <v>55</v>
      </c>
      <c r="Q242">
        <v>1</v>
      </c>
      <c r="R242">
        <v>2</v>
      </c>
      <c r="S242" t="s">
        <v>44</v>
      </c>
      <c r="T242">
        <v>4</v>
      </c>
      <c r="U242" t="s">
        <v>104</v>
      </c>
      <c r="V242">
        <v>6674</v>
      </c>
      <c r="W242" t="s">
        <v>162</v>
      </c>
      <c r="X242">
        <v>16392</v>
      </c>
      <c r="Y242">
        <v>0</v>
      </c>
      <c r="Z242" t="s">
        <v>47</v>
      </c>
      <c r="AA242" t="s">
        <v>48</v>
      </c>
      <c r="AB242">
        <v>11</v>
      </c>
      <c r="AC242">
        <v>3</v>
      </c>
      <c r="AD242">
        <v>1</v>
      </c>
      <c r="AE242">
        <v>80</v>
      </c>
      <c r="AF242">
        <v>3</v>
      </c>
      <c r="AG242">
        <v>10</v>
      </c>
      <c r="AH242">
        <v>6</v>
      </c>
      <c r="AI242">
        <v>3</v>
      </c>
      <c r="AJ242">
        <v>9</v>
      </c>
      <c r="AK242">
        <v>8</v>
      </c>
      <c r="AL242">
        <v>7</v>
      </c>
    </row>
    <row r="243" spans="1:38" x14ac:dyDescent="0.3">
      <c r="A243" t="s">
        <v>309</v>
      </c>
      <c r="B243">
        <v>28</v>
      </c>
      <c r="C243" t="s">
        <v>189</v>
      </c>
      <c r="D243" t="s">
        <v>48</v>
      </c>
      <c r="E243">
        <f t="shared" si="3"/>
        <v>0</v>
      </c>
      <c r="F243" t="s">
        <v>40</v>
      </c>
      <c r="G243">
        <v>736</v>
      </c>
      <c r="H243" t="s">
        <v>50</v>
      </c>
      <c r="I243">
        <v>26</v>
      </c>
      <c r="J243">
        <v>3</v>
      </c>
      <c r="K243" t="s">
        <v>42</v>
      </c>
      <c r="L243">
        <v>1</v>
      </c>
      <c r="M243">
        <v>1387</v>
      </c>
      <c r="N243">
        <v>3</v>
      </c>
      <c r="O243" t="s">
        <v>43</v>
      </c>
      <c r="P243">
        <v>48</v>
      </c>
      <c r="Q243">
        <v>2</v>
      </c>
      <c r="R243">
        <v>2</v>
      </c>
      <c r="S243" t="s">
        <v>136</v>
      </c>
      <c r="T243">
        <v>1</v>
      </c>
      <c r="U243" t="s">
        <v>104</v>
      </c>
      <c r="V243">
        <v>4724</v>
      </c>
      <c r="W243" t="s">
        <v>46</v>
      </c>
      <c r="X243">
        <v>24232</v>
      </c>
      <c r="Y243">
        <v>1</v>
      </c>
      <c r="Z243" t="s">
        <v>47</v>
      </c>
      <c r="AA243" t="s">
        <v>48</v>
      </c>
      <c r="AB243">
        <v>11</v>
      </c>
      <c r="AC243">
        <v>3</v>
      </c>
      <c r="AD243">
        <v>3</v>
      </c>
      <c r="AE243">
        <v>80</v>
      </c>
      <c r="AF243">
        <v>1</v>
      </c>
      <c r="AG243">
        <v>5</v>
      </c>
      <c r="AH243">
        <v>0</v>
      </c>
      <c r="AI243">
        <v>3</v>
      </c>
      <c r="AJ243">
        <v>5</v>
      </c>
      <c r="AK243">
        <v>3</v>
      </c>
      <c r="AL243">
        <v>0</v>
      </c>
    </row>
    <row r="244" spans="1:38" x14ac:dyDescent="0.3">
      <c r="A244" t="s">
        <v>310</v>
      </c>
      <c r="B244">
        <v>28</v>
      </c>
      <c r="C244" t="s">
        <v>189</v>
      </c>
      <c r="D244" t="s">
        <v>48</v>
      </c>
      <c r="E244">
        <f t="shared" si="3"/>
        <v>0</v>
      </c>
      <c r="F244" t="s">
        <v>40</v>
      </c>
      <c r="G244">
        <v>866</v>
      </c>
      <c r="H244" t="s">
        <v>50</v>
      </c>
      <c r="I244">
        <v>5</v>
      </c>
      <c r="J244">
        <v>3</v>
      </c>
      <c r="K244" t="s">
        <v>51</v>
      </c>
      <c r="L244">
        <v>1</v>
      </c>
      <c r="M244">
        <v>1469</v>
      </c>
      <c r="N244">
        <v>4</v>
      </c>
      <c r="O244" t="s">
        <v>43</v>
      </c>
      <c r="P244">
        <v>84</v>
      </c>
      <c r="Q244">
        <v>3</v>
      </c>
      <c r="R244">
        <v>2</v>
      </c>
      <c r="S244" t="s">
        <v>136</v>
      </c>
      <c r="T244">
        <v>1</v>
      </c>
      <c r="U244" t="s">
        <v>45</v>
      </c>
      <c r="V244">
        <v>8463</v>
      </c>
      <c r="W244" t="s">
        <v>162</v>
      </c>
      <c r="X244">
        <v>23490</v>
      </c>
      <c r="Y244">
        <v>0</v>
      </c>
      <c r="Z244" t="s">
        <v>47</v>
      </c>
      <c r="AA244" t="s">
        <v>48</v>
      </c>
      <c r="AB244">
        <v>18</v>
      </c>
      <c r="AC244">
        <v>3</v>
      </c>
      <c r="AD244">
        <v>4</v>
      </c>
      <c r="AE244">
        <v>80</v>
      </c>
      <c r="AF244">
        <v>0</v>
      </c>
      <c r="AG244">
        <v>6</v>
      </c>
      <c r="AH244">
        <v>4</v>
      </c>
      <c r="AI244">
        <v>3</v>
      </c>
      <c r="AJ244">
        <v>5</v>
      </c>
      <c r="AK244">
        <v>4</v>
      </c>
      <c r="AL244">
        <v>1</v>
      </c>
    </row>
    <row r="245" spans="1:38" x14ac:dyDescent="0.3">
      <c r="A245" t="s">
        <v>311</v>
      </c>
      <c r="B245">
        <v>28</v>
      </c>
      <c r="C245" t="s">
        <v>189</v>
      </c>
      <c r="D245" t="s">
        <v>39</v>
      </c>
      <c r="E245">
        <f t="shared" si="3"/>
        <v>1</v>
      </c>
      <c r="F245" t="s">
        <v>55</v>
      </c>
      <c r="G245">
        <v>1496</v>
      </c>
      <c r="H245" t="s">
        <v>50</v>
      </c>
      <c r="I245">
        <v>1</v>
      </c>
      <c r="J245">
        <v>3</v>
      </c>
      <c r="K245" t="s">
        <v>67</v>
      </c>
      <c r="L245">
        <v>1</v>
      </c>
      <c r="M245">
        <v>1486</v>
      </c>
      <c r="N245">
        <v>1</v>
      </c>
      <c r="O245" t="s">
        <v>43</v>
      </c>
      <c r="P245">
        <v>92</v>
      </c>
      <c r="Q245">
        <v>3</v>
      </c>
      <c r="R245">
        <v>1</v>
      </c>
      <c r="S245" t="s">
        <v>53</v>
      </c>
      <c r="T245">
        <v>3</v>
      </c>
      <c r="U245" t="s">
        <v>104</v>
      </c>
      <c r="V245">
        <v>2909</v>
      </c>
      <c r="W245" t="s">
        <v>46</v>
      </c>
      <c r="X245">
        <v>15747</v>
      </c>
      <c r="Y245">
        <v>3</v>
      </c>
      <c r="Z245" t="s">
        <v>47</v>
      </c>
      <c r="AA245" t="s">
        <v>48</v>
      </c>
      <c r="AB245">
        <v>15</v>
      </c>
      <c r="AC245">
        <v>3</v>
      </c>
      <c r="AD245">
        <v>4</v>
      </c>
      <c r="AE245">
        <v>80</v>
      </c>
      <c r="AF245">
        <v>1</v>
      </c>
      <c r="AG245">
        <v>5</v>
      </c>
      <c r="AH245">
        <v>3</v>
      </c>
      <c r="AI245">
        <v>4</v>
      </c>
      <c r="AJ245">
        <v>3</v>
      </c>
      <c r="AK245">
        <v>2</v>
      </c>
      <c r="AL245">
        <v>1</v>
      </c>
    </row>
    <row r="246" spans="1:38" x14ac:dyDescent="0.3">
      <c r="A246" t="s">
        <v>312</v>
      </c>
      <c r="B246">
        <v>28</v>
      </c>
      <c r="C246" t="s">
        <v>189</v>
      </c>
      <c r="D246" t="s">
        <v>39</v>
      </c>
      <c r="E246">
        <f t="shared" si="3"/>
        <v>1</v>
      </c>
      <c r="F246" t="s">
        <v>55</v>
      </c>
      <c r="G246">
        <v>289</v>
      </c>
      <c r="H246" t="s">
        <v>41</v>
      </c>
      <c r="I246">
        <v>2</v>
      </c>
      <c r="J246">
        <v>2</v>
      </c>
      <c r="K246" t="s">
        <v>51</v>
      </c>
      <c r="L246">
        <v>1</v>
      </c>
      <c r="M246">
        <v>1504</v>
      </c>
      <c r="N246">
        <v>3</v>
      </c>
      <c r="O246" t="s">
        <v>43</v>
      </c>
      <c r="P246">
        <v>38</v>
      </c>
      <c r="Q246">
        <v>2</v>
      </c>
      <c r="R246">
        <v>1</v>
      </c>
      <c r="S246" t="s">
        <v>44</v>
      </c>
      <c r="T246">
        <v>1</v>
      </c>
      <c r="U246" t="s">
        <v>45</v>
      </c>
      <c r="V246">
        <v>2561</v>
      </c>
      <c r="W246" t="s">
        <v>46</v>
      </c>
      <c r="X246">
        <v>5355</v>
      </c>
      <c r="Y246">
        <v>7</v>
      </c>
      <c r="Z246" t="s">
        <v>47</v>
      </c>
      <c r="AA246" t="s">
        <v>48</v>
      </c>
      <c r="AB246">
        <v>11</v>
      </c>
      <c r="AC246">
        <v>3</v>
      </c>
      <c r="AD246">
        <v>3</v>
      </c>
      <c r="AE246">
        <v>80</v>
      </c>
      <c r="AF246">
        <v>0</v>
      </c>
      <c r="AG246">
        <v>8</v>
      </c>
      <c r="AH246">
        <v>2</v>
      </c>
      <c r="AI246">
        <v>2</v>
      </c>
      <c r="AJ246">
        <v>0</v>
      </c>
      <c r="AK246">
        <v>0</v>
      </c>
      <c r="AL246">
        <v>0</v>
      </c>
    </row>
    <row r="247" spans="1:38" x14ac:dyDescent="0.3">
      <c r="A247" t="s">
        <v>313</v>
      </c>
      <c r="B247">
        <v>28</v>
      </c>
      <c r="C247" t="s">
        <v>189</v>
      </c>
      <c r="D247" t="s">
        <v>48</v>
      </c>
      <c r="E247">
        <f t="shared" si="3"/>
        <v>0</v>
      </c>
      <c r="F247" t="s">
        <v>40</v>
      </c>
      <c r="G247">
        <v>1423</v>
      </c>
      <c r="H247" t="s">
        <v>41</v>
      </c>
      <c r="I247">
        <v>1</v>
      </c>
      <c r="J247">
        <v>3</v>
      </c>
      <c r="K247" t="s">
        <v>42</v>
      </c>
      <c r="L247">
        <v>1</v>
      </c>
      <c r="M247">
        <v>1506</v>
      </c>
      <c r="N247">
        <v>1</v>
      </c>
      <c r="O247" t="s">
        <v>43</v>
      </c>
      <c r="P247">
        <v>72</v>
      </c>
      <c r="Q247">
        <v>2</v>
      </c>
      <c r="R247">
        <v>1</v>
      </c>
      <c r="S247" t="s">
        <v>59</v>
      </c>
      <c r="T247">
        <v>3</v>
      </c>
      <c r="U247" t="s">
        <v>101</v>
      </c>
      <c r="V247">
        <v>1563</v>
      </c>
      <c r="W247" t="s">
        <v>46</v>
      </c>
      <c r="X247">
        <v>12530</v>
      </c>
      <c r="Y247">
        <v>1</v>
      </c>
      <c r="Z247" t="s">
        <v>47</v>
      </c>
      <c r="AA247" t="s">
        <v>48</v>
      </c>
      <c r="AB247">
        <v>14</v>
      </c>
      <c r="AC247">
        <v>3</v>
      </c>
      <c r="AD247">
        <v>4</v>
      </c>
      <c r="AE247">
        <v>80</v>
      </c>
      <c r="AF247">
        <v>1</v>
      </c>
      <c r="AG247">
        <v>1</v>
      </c>
      <c r="AH247">
        <v>2</v>
      </c>
      <c r="AI247">
        <v>1</v>
      </c>
      <c r="AJ247">
        <v>1</v>
      </c>
      <c r="AK247">
        <v>0</v>
      </c>
      <c r="AL247">
        <v>0</v>
      </c>
    </row>
    <row r="248" spans="1:38" x14ac:dyDescent="0.3">
      <c r="A248" t="s">
        <v>314</v>
      </c>
      <c r="B248">
        <v>28</v>
      </c>
      <c r="C248" t="s">
        <v>189</v>
      </c>
      <c r="D248" t="s">
        <v>48</v>
      </c>
      <c r="E248">
        <f t="shared" si="3"/>
        <v>0</v>
      </c>
      <c r="F248" t="s">
        <v>55</v>
      </c>
      <c r="G248">
        <v>467</v>
      </c>
      <c r="H248" t="s">
        <v>50</v>
      </c>
      <c r="I248">
        <v>7</v>
      </c>
      <c r="J248">
        <v>3</v>
      </c>
      <c r="K248" t="s">
        <v>42</v>
      </c>
      <c r="L248">
        <v>1</v>
      </c>
      <c r="M248">
        <v>1507</v>
      </c>
      <c r="N248">
        <v>3</v>
      </c>
      <c r="O248" t="s">
        <v>43</v>
      </c>
      <c r="P248">
        <v>55</v>
      </c>
      <c r="Q248">
        <v>3</v>
      </c>
      <c r="R248">
        <v>2</v>
      </c>
      <c r="S248" t="s">
        <v>136</v>
      </c>
      <c r="T248">
        <v>1</v>
      </c>
      <c r="U248" t="s">
        <v>45</v>
      </c>
      <c r="V248">
        <v>4898</v>
      </c>
      <c r="W248" t="s">
        <v>46</v>
      </c>
      <c r="X248">
        <v>11827</v>
      </c>
      <c r="Y248">
        <v>0</v>
      </c>
      <c r="Z248" t="s">
        <v>47</v>
      </c>
      <c r="AA248" t="s">
        <v>48</v>
      </c>
      <c r="AB248">
        <v>14</v>
      </c>
      <c r="AC248">
        <v>3</v>
      </c>
      <c r="AD248">
        <v>4</v>
      </c>
      <c r="AE248">
        <v>80</v>
      </c>
      <c r="AF248">
        <v>0</v>
      </c>
      <c r="AG248">
        <v>5</v>
      </c>
      <c r="AH248">
        <v>5</v>
      </c>
      <c r="AI248">
        <v>3</v>
      </c>
      <c r="AJ248">
        <v>4</v>
      </c>
      <c r="AK248">
        <v>2</v>
      </c>
      <c r="AL248">
        <v>1</v>
      </c>
    </row>
    <row r="249" spans="1:38" x14ac:dyDescent="0.3">
      <c r="A249" t="s">
        <v>315</v>
      </c>
      <c r="B249">
        <v>28</v>
      </c>
      <c r="C249" t="s">
        <v>189</v>
      </c>
      <c r="D249" t="s">
        <v>48</v>
      </c>
      <c r="E249">
        <f t="shared" si="3"/>
        <v>0</v>
      </c>
      <c r="F249" t="s">
        <v>40</v>
      </c>
      <c r="G249">
        <v>1083</v>
      </c>
      <c r="H249" t="s">
        <v>41</v>
      </c>
      <c r="I249">
        <v>29</v>
      </c>
      <c r="J249">
        <v>1</v>
      </c>
      <c r="K249" t="s">
        <v>42</v>
      </c>
      <c r="L249">
        <v>1</v>
      </c>
      <c r="M249">
        <v>1514</v>
      </c>
      <c r="N249">
        <v>3</v>
      </c>
      <c r="O249" t="s">
        <v>43</v>
      </c>
      <c r="P249">
        <v>96</v>
      </c>
      <c r="Q249">
        <v>1</v>
      </c>
      <c r="R249">
        <v>2</v>
      </c>
      <c r="S249" t="s">
        <v>111</v>
      </c>
      <c r="T249">
        <v>2</v>
      </c>
      <c r="U249" t="s">
        <v>104</v>
      </c>
      <c r="V249">
        <v>6549</v>
      </c>
      <c r="W249" t="s">
        <v>162</v>
      </c>
      <c r="X249">
        <v>3173</v>
      </c>
      <c r="Y249">
        <v>1</v>
      </c>
      <c r="Z249" t="s">
        <v>47</v>
      </c>
      <c r="AA249" t="s">
        <v>48</v>
      </c>
      <c r="AB249">
        <v>14</v>
      </c>
      <c r="AC249">
        <v>3</v>
      </c>
      <c r="AD249">
        <v>2</v>
      </c>
      <c r="AE249">
        <v>80</v>
      </c>
      <c r="AF249">
        <v>2</v>
      </c>
      <c r="AG249">
        <v>8</v>
      </c>
      <c r="AH249">
        <v>2</v>
      </c>
      <c r="AI249">
        <v>2</v>
      </c>
      <c r="AJ249">
        <v>8</v>
      </c>
      <c r="AK249">
        <v>6</v>
      </c>
      <c r="AL249">
        <v>1</v>
      </c>
    </row>
    <row r="250" spans="1:38" x14ac:dyDescent="0.3">
      <c r="A250" t="s">
        <v>316</v>
      </c>
      <c r="B250">
        <v>28</v>
      </c>
      <c r="C250" t="s">
        <v>189</v>
      </c>
      <c r="D250" t="s">
        <v>39</v>
      </c>
      <c r="E250">
        <f t="shared" si="3"/>
        <v>1</v>
      </c>
      <c r="F250" t="s">
        <v>40</v>
      </c>
      <c r="G250">
        <v>329</v>
      </c>
      <c r="H250" t="s">
        <v>41</v>
      </c>
      <c r="I250">
        <v>24</v>
      </c>
      <c r="J250">
        <v>3</v>
      </c>
      <c r="K250" t="s">
        <v>51</v>
      </c>
      <c r="L250">
        <v>1</v>
      </c>
      <c r="M250">
        <v>1604</v>
      </c>
      <c r="N250">
        <v>3</v>
      </c>
      <c r="O250" t="s">
        <v>43</v>
      </c>
      <c r="P250">
        <v>51</v>
      </c>
      <c r="Q250">
        <v>3</v>
      </c>
      <c r="R250">
        <v>1</v>
      </c>
      <c r="S250" t="s">
        <v>44</v>
      </c>
      <c r="T250">
        <v>2</v>
      </c>
      <c r="U250" t="s">
        <v>104</v>
      </c>
      <c r="V250">
        <v>2408</v>
      </c>
      <c r="W250" t="s">
        <v>46</v>
      </c>
      <c r="X250">
        <v>7324</v>
      </c>
      <c r="Y250">
        <v>1</v>
      </c>
      <c r="Z250" t="s">
        <v>47</v>
      </c>
      <c r="AA250" t="s">
        <v>39</v>
      </c>
      <c r="AB250">
        <v>17</v>
      </c>
      <c r="AC250">
        <v>3</v>
      </c>
      <c r="AD250">
        <v>3</v>
      </c>
      <c r="AE250">
        <v>80</v>
      </c>
      <c r="AF250">
        <v>3</v>
      </c>
      <c r="AG250">
        <v>1</v>
      </c>
      <c r="AH250">
        <v>3</v>
      </c>
      <c r="AI250">
        <v>3</v>
      </c>
      <c r="AJ250">
        <v>1</v>
      </c>
      <c r="AK250">
        <v>1</v>
      </c>
      <c r="AL250">
        <v>0</v>
      </c>
    </row>
    <row r="251" spans="1:38" x14ac:dyDescent="0.3">
      <c r="A251" t="s">
        <v>317</v>
      </c>
      <c r="B251">
        <v>28</v>
      </c>
      <c r="C251" t="s">
        <v>189</v>
      </c>
      <c r="D251" t="s">
        <v>48</v>
      </c>
      <c r="E251">
        <f t="shared" si="3"/>
        <v>0</v>
      </c>
      <c r="F251" t="s">
        <v>40</v>
      </c>
      <c r="G251">
        <v>580</v>
      </c>
      <c r="H251" t="s">
        <v>41</v>
      </c>
      <c r="I251">
        <v>27</v>
      </c>
      <c r="J251">
        <v>3</v>
      </c>
      <c r="K251" t="s">
        <v>51</v>
      </c>
      <c r="L251">
        <v>1</v>
      </c>
      <c r="M251">
        <v>1622</v>
      </c>
      <c r="N251">
        <v>2</v>
      </c>
      <c r="O251" t="s">
        <v>52</v>
      </c>
      <c r="P251">
        <v>39</v>
      </c>
      <c r="Q251">
        <v>1</v>
      </c>
      <c r="R251">
        <v>2</v>
      </c>
      <c r="S251" t="s">
        <v>111</v>
      </c>
      <c r="T251">
        <v>1</v>
      </c>
      <c r="U251" t="s">
        <v>101</v>
      </c>
      <c r="V251">
        <v>4877</v>
      </c>
      <c r="W251" t="s">
        <v>46</v>
      </c>
      <c r="X251">
        <v>20460</v>
      </c>
      <c r="Y251">
        <v>0</v>
      </c>
      <c r="Z251" t="s">
        <v>47</v>
      </c>
      <c r="AA251" t="s">
        <v>48</v>
      </c>
      <c r="AB251">
        <v>21</v>
      </c>
      <c r="AC251">
        <v>4</v>
      </c>
      <c r="AD251">
        <v>2</v>
      </c>
      <c r="AE251">
        <v>80</v>
      </c>
      <c r="AF251">
        <v>1</v>
      </c>
      <c r="AG251">
        <v>6</v>
      </c>
      <c r="AH251">
        <v>5</v>
      </c>
      <c r="AI251">
        <v>2</v>
      </c>
      <c r="AJ251">
        <v>5</v>
      </c>
      <c r="AK251">
        <v>3</v>
      </c>
      <c r="AL251">
        <v>0</v>
      </c>
    </row>
    <row r="252" spans="1:38" x14ac:dyDescent="0.3">
      <c r="A252" t="s">
        <v>318</v>
      </c>
      <c r="B252">
        <v>28</v>
      </c>
      <c r="C252" t="s">
        <v>189</v>
      </c>
      <c r="D252" t="s">
        <v>48</v>
      </c>
      <c r="E252">
        <f t="shared" si="3"/>
        <v>0</v>
      </c>
      <c r="F252" t="s">
        <v>40</v>
      </c>
      <c r="G252">
        <v>1181</v>
      </c>
      <c r="H252" t="s">
        <v>41</v>
      </c>
      <c r="I252">
        <v>1</v>
      </c>
      <c r="J252">
        <v>3</v>
      </c>
      <c r="K252" t="s">
        <v>42</v>
      </c>
      <c r="L252">
        <v>1</v>
      </c>
      <c r="M252">
        <v>1799</v>
      </c>
      <c r="N252">
        <v>3</v>
      </c>
      <c r="O252" t="s">
        <v>43</v>
      </c>
      <c r="P252">
        <v>82</v>
      </c>
      <c r="Q252">
        <v>3</v>
      </c>
      <c r="R252">
        <v>1</v>
      </c>
      <c r="S252" t="s">
        <v>59</v>
      </c>
      <c r="T252">
        <v>4</v>
      </c>
      <c r="U252" t="s">
        <v>104</v>
      </c>
      <c r="V252">
        <v>2044</v>
      </c>
      <c r="W252" t="s">
        <v>46</v>
      </c>
      <c r="X252">
        <v>5531</v>
      </c>
      <c r="Y252">
        <v>1</v>
      </c>
      <c r="Z252" t="s">
        <v>47</v>
      </c>
      <c r="AA252" t="s">
        <v>48</v>
      </c>
      <c r="AB252">
        <v>11</v>
      </c>
      <c r="AC252">
        <v>3</v>
      </c>
      <c r="AD252">
        <v>3</v>
      </c>
      <c r="AE252">
        <v>80</v>
      </c>
      <c r="AF252">
        <v>1</v>
      </c>
      <c r="AG252">
        <v>5</v>
      </c>
      <c r="AH252">
        <v>6</v>
      </c>
      <c r="AI252">
        <v>4</v>
      </c>
      <c r="AJ252">
        <v>5</v>
      </c>
      <c r="AK252">
        <v>3</v>
      </c>
      <c r="AL252">
        <v>0</v>
      </c>
    </row>
    <row r="253" spans="1:38" x14ac:dyDescent="0.3">
      <c r="A253" t="s">
        <v>319</v>
      </c>
      <c r="B253">
        <v>28</v>
      </c>
      <c r="C253" t="s">
        <v>189</v>
      </c>
      <c r="D253" t="s">
        <v>48</v>
      </c>
      <c r="E253">
        <f t="shared" si="3"/>
        <v>0</v>
      </c>
      <c r="F253" t="s">
        <v>40</v>
      </c>
      <c r="G253">
        <v>1217</v>
      </c>
      <c r="H253" t="s">
        <v>41</v>
      </c>
      <c r="I253">
        <v>1</v>
      </c>
      <c r="J253">
        <v>3</v>
      </c>
      <c r="K253" t="s">
        <v>51</v>
      </c>
      <c r="L253">
        <v>1</v>
      </c>
      <c r="M253">
        <v>1834</v>
      </c>
      <c r="N253">
        <v>3</v>
      </c>
      <c r="O253" t="s">
        <v>52</v>
      </c>
      <c r="P253">
        <v>67</v>
      </c>
      <c r="Q253">
        <v>3</v>
      </c>
      <c r="R253">
        <v>1</v>
      </c>
      <c r="S253" t="s">
        <v>59</v>
      </c>
      <c r="T253">
        <v>1</v>
      </c>
      <c r="U253" t="s">
        <v>104</v>
      </c>
      <c r="V253">
        <v>3591</v>
      </c>
      <c r="W253" t="s">
        <v>46</v>
      </c>
      <c r="X253">
        <v>12719</v>
      </c>
      <c r="Y253">
        <v>1</v>
      </c>
      <c r="Z253" t="s">
        <v>47</v>
      </c>
      <c r="AA253" t="s">
        <v>48</v>
      </c>
      <c r="AB253">
        <v>25</v>
      </c>
      <c r="AC253">
        <v>4</v>
      </c>
      <c r="AD253">
        <v>3</v>
      </c>
      <c r="AE253">
        <v>80</v>
      </c>
      <c r="AF253">
        <v>1</v>
      </c>
      <c r="AG253">
        <v>3</v>
      </c>
      <c r="AH253">
        <v>3</v>
      </c>
      <c r="AI253">
        <v>3</v>
      </c>
      <c r="AJ253">
        <v>3</v>
      </c>
      <c r="AK253">
        <v>2</v>
      </c>
      <c r="AL253">
        <v>1</v>
      </c>
    </row>
    <row r="254" spans="1:38" x14ac:dyDescent="0.3">
      <c r="A254" t="s">
        <v>320</v>
      </c>
      <c r="B254">
        <v>28</v>
      </c>
      <c r="C254" t="s">
        <v>189</v>
      </c>
      <c r="D254" t="s">
        <v>48</v>
      </c>
      <c r="E254">
        <f t="shared" si="3"/>
        <v>0</v>
      </c>
      <c r="F254" t="s">
        <v>58</v>
      </c>
      <c r="G254">
        <v>280</v>
      </c>
      <c r="H254" t="s">
        <v>70</v>
      </c>
      <c r="I254">
        <v>1</v>
      </c>
      <c r="J254">
        <v>2</v>
      </c>
      <c r="K254" t="s">
        <v>42</v>
      </c>
      <c r="L254">
        <v>1</v>
      </c>
      <c r="M254">
        <v>1858</v>
      </c>
      <c r="N254">
        <v>3</v>
      </c>
      <c r="O254" t="s">
        <v>43</v>
      </c>
      <c r="P254">
        <v>43</v>
      </c>
      <c r="Q254">
        <v>3</v>
      </c>
      <c r="R254">
        <v>1</v>
      </c>
      <c r="S254" t="s">
        <v>70</v>
      </c>
      <c r="T254">
        <v>4</v>
      </c>
      <c r="U254" t="s">
        <v>101</v>
      </c>
      <c r="V254">
        <v>2706</v>
      </c>
      <c r="W254" t="s">
        <v>46</v>
      </c>
      <c r="X254">
        <v>10494</v>
      </c>
      <c r="Y254">
        <v>1</v>
      </c>
      <c r="Z254" t="s">
        <v>47</v>
      </c>
      <c r="AA254" t="s">
        <v>48</v>
      </c>
      <c r="AB254">
        <v>15</v>
      </c>
      <c r="AC254">
        <v>3</v>
      </c>
      <c r="AD254">
        <v>2</v>
      </c>
      <c r="AE254">
        <v>80</v>
      </c>
      <c r="AF254">
        <v>1</v>
      </c>
      <c r="AG254">
        <v>3</v>
      </c>
      <c r="AH254">
        <v>2</v>
      </c>
      <c r="AI254">
        <v>3</v>
      </c>
      <c r="AJ254">
        <v>3</v>
      </c>
      <c r="AK254">
        <v>2</v>
      </c>
      <c r="AL254">
        <v>2</v>
      </c>
    </row>
    <row r="255" spans="1:38" x14ac:dyDescent="0.3">
      <c r="A255" t="s">
        <v>321</v>
      </c>
      <c r="B255">
        <v>28</v>
      </c>
      <c r="C255" t="s">
        <v>189</v>
      </c>
      <c r="D255" t="s">
        <v>48</v>
      </c>
      <c r="E255">
        <f t="shared" si="3"/>
        <v>0</v>
      </c>
      <c r="F255" t="s">
        <v>40</v>
      </c>
      <c r="G255">
        <v>1172</v>
      </c>
      <c r="H255" t="s">
        <v>50</v>
      </c>
      <c r="I255">
        <v>3</v>
      </c>
      <c r="J255">
        <v>3</v>
      </c>
      <c r="K255" t="s">
        <v>51</v>
      </c>
      <c r="L255">
        <v>1</v>
      </c>
      <c r="M255">
        <v>1875</v>
      </c>
      <c r="N255">
        <v>2</v>
      </c>
      <c r="O255" t="s">
        <v>52</v>
      </c>
      <c r="P255">
        <v>78</v>
      </c>
      <c r="Q255">
        <v>3</v>
      </c>
      <c r="R255">
        <v>1</v>
      </c>
      <c r="S255" t="s">
        <v>53</v>
      </c>
      <c r="T255">
        <v>2</v>
      </c>
      <c r="U255" t="s">
        <v>104</v>
      </c>
      <c r="V255">
        <v>2856</v>
      </c>
      <c r="W255" t="s">
        <v>46</v>
      </c>
      <c r="X255">
        <v>3692</v>
      </c>
      <c r="Y255">
        <v>1</v>
      </c>
      <c r="Z255" t="s">
        <v>47</v>
      </c>
      <c r="AA255" t="s">
        <v>48</v>
      </c>
      <c r="AB255">
        <v>19</v>
      </c>
      <c r="AC255">
        <v>3</v>
      </c>
      <c r="AD255">
        <v>4</v>
      </c>
      <c r="AE255">
        <v>80</v>
      </c>
      <c r="AF255">
        <v>1</v>
      </c>
      <c r="AG255">
        <v>1</v>
      </c>
      <c r="AH255">
        <v>3</v>
      </c>
      <c r="AI255">
        <v>3</v>
      </c>
      <c r="AJ255">
        <v>1</v>
      </c>
      <c r="AK255">
        <v>0</v>
      </c>
      <c r="AL255">
        <v>0</v>
      </c>
    </row>
    <row r="256" spans="1:38" x14ac:dyDescent="0.3">
      <c r="A256" t="s">
        <v>322</v>
      </c>
      <c r="B256">
        <v>28</v>
      </c>
      <c r="C256" t="s">
        <v>189</v>
      </c>
      <c r="D256" t="s">
        <v>48</v>
      </c>
      <c r="E256">
        <f t="shared" si="3"/>
        <v>0</v>
      </c>
      <c r="F256" t="s">
        <v>55</v>
      </c>
      <c r="G256">
        <v>783</v>
      </c>
      <c r="H256" t="s">
        <v>50</v>
      </c>
      <c r="I256">
        <v>1</v>
      </c>
      <c r="J256">
        <v>2</v>
      </c>
      <c r="K256" t="s">
        <v>42</v>
      </c>
      <c r="L256">
        <v>1</v>
      </c>
      <c r="M256">
        <v>1927</v>
      </c>
      <c r="N256">
        <v>3</v>
      </c>
      <c r="O256" t="s">
        <v>43</v>
      </c>
      <c r="P256">
        <v>42</v>
      </c>
      <c r="Q256">
        <v>2</v>
      </c>
      <c r="R256">
        <v>2</v>
      </c>
      <c r="S256" t="s">
        <v>136</v>
      </c>
      <c r="T256">
        <v>4</v>
      </c>
      <c r="U256" t="s">
        <v>104</v>
      </c>
      <c r="V256">
        <v>6834</v>
      </c>
      <c r="W256" t="s">
        <v>162</v>
      </c>
      <c r="X256">
        <v>19255</v>
      </c>
      <c r="Y256">
        <v>1</v>
      </c>
      <c r="Z256" t="s">
        <v>47</v>
      </c>
      <c r="AA256" t="s">
        <v>39</v>
      </c>
      <c r="AB256">
        <v>12</v>
      </c>
      <c r="AC256">
        <v>3</v>
      </c>
      <c r="AD256">
        <v>3</v>
      </c>
      <c r="AE256">
        <v>80</v>
      </c>
      <c r="AF256">
        <v>1</v>
      </c>
      <c r="AG256">
        <v>7</v>
      </c>
      <c r="AH256">
        <v>2</v>
      </c>
      <c r="AI256">
        <v>3</v>
      </c>
      <c r="AJ256">
        <v>7</v>
      </c>
      <c r="AK256">
        <v>7</v>
      </c>
      <c r="AL256">
        <v>0</v>
      </c>
    </row>
    <row r="257" spans="1:38" x14ac:dyDescent="0.3">
      <c r="A257" t="s">
        <v>323</v>
      </c>
      <c r="B257">
        <v>28</v>
      </c>
      <c r="C257" t="s">
        <v>189</v>
      </c>
      <c r="D257" t="s">
        <v>39</v>
      </c>
      <c r="E257">
        <f t="shared" si="3"/>
        <v>1</v>
      </c>
      <c r="F257" t="s">
        <v>40</v>
      </c>
      <c r="G257">
        <v>1475</v>
      </c>
      <c r="H257" t="s">
        <v>50</v>
      </c>
      <c r="I257">
        <v>13</v>
      </c>
      <c r="J257">
        <v>2</v>
      </c>
      <c r="K257" t="s">
        <v>56</v>
      </c>
      <c r="L257">
        <v>1</v>
      </c>
      <c r="M257">
        <v>1933</v>
      </c>
      <c r="N257">
        <v>4</v>
      </c>
      <c r="O257" t="s">
        <v>52</v>
      </c>
      <c r="P257">
        <v>84</v>
      </c>
      <c r="Q257">
        <v>3</v>
      </c>
      <c r="R257">
        <v>2</v>
      </c>
      <c r="S257" t="s">
        <v>136</v>
      </c>
      <c r="T257">
        <v>3</v>
      </c>
      <c r="U257" t="s">
        <v>45</v>
      </c>
      <c r="V257">
        <v>9854</v>
      </c>
      <c r="W257" t="s">
        <v>162</v>
      </c>
      <c r="X257">
        <v>23352</v>
      </c>
      <c r="Y257">
        <v>3</v>
      </c>
      <c r="Z257" t="s">
        <v>47</v>
      </c>
      <c r="AA257" t="s">
        <v>39</v>
      </c>
      <c r="AB257">
        <v>11</v>
      </c>
      <c r="AC257">
        <v>3</v>
      </c>
      <c r="AD257">
        <v>4</v>
      </c>
      <c r="AE257">
        <v>80</v>
      </c>
      <c r="AF257">
        <v>0</v>
      </c>
      <c r="AG257">
        <v>6</v>
      </c>
      <c r="AH257">
        <v>0</v>
      </c>
      <c r="AI257">
        <v>3</v>
      </c>
      <c r="AJ257">
        <v>2</v>
      </c>
      <c r="AK257">
        <v>0</v>
      </c>
      <c r="AL257">
        <v>2</v>
      </c>
    </row>
    <row r="258" spans="1:38" x14ac:dyDescent="0.3">
      <c r="A258" t="s">
        <v>324</v>
      </c>
      <c r="B258">
        <v>28</v>
      </c>
      <c r="C258" t="s">
        <v>189</v>
      </c>
      <c r="D258" t="s">
        <v>48</v>
      </c>
      <c r="E258">
        <f t="shared" si="3"/>
        <v>0</v>
      </c>
      <c r="F258" t="s">
        <v>58</v>
      </c>
      <c r="G258">
        <v>1103</v>
      </c>
      <c r="H258" t="s">
        <v>41</v>
      </c>
      <c r="I258">
        <v>16</v>
      </c>
      <c r="J258">
        <v>3</v>
      </c>
      <c r="K258" t="s">
        <v>51</v>
      </c>
      <c r="L258">
        <v>1</v>
      </c>
      <c r="M258">
        <v>1947</v>
      </c>
      <c r="N258">
        <v>3</v>
      </c>
      <c r="O258" t="s">
        <v>43</v>
      </c>
      <c r="P258">
        <v>49</v>
      </c>
      <c r="Q258">
        <v>3</v>
      </c>
      <c r="R258">
        <v>1</v>
      </c>
      <c r="S258" t="s">
        <v>59</v>
      </c>
      <c r="T258">
        <v>3</v>
      </c>
      <c r="U258" t="s">
        <v>45</v>
      </c>
      <c r="V258">
        <v>2144</v>
      </c>
      <c r="W258" t="s">
        <v>46</v>
      </c>
      <c r="X258">
        <v>2122</v>
      </c>
      <c r="Y258">
        <v>1</v>
      </c>
      <c r="Z258" t="s">
        <v>47</v>
      </c>
      <c r="AA258" t="s">
        <v>48</v>
      </c>
      <c r="AB258">
        <v>14</v>
      </c>
      <c r="AC258">
        <v>3</v>
      </c>
      <c r="AD258">
        <v>3</v>
      </c>
      <c r="AE258">
        <v>80</v>
      </c>
      <c r="AF258">
        <v>0</v>
      </c>
      <c r="AG258">
        <v>5</v>
      </c>
      <c r="AH258">
        <v>3</v>
      </c>
      <c r="AI258">
        <v>2</v>
      </c>
      <c r="AJ258">
        <v>5</v>
      </c>
      <c r="AK258">
        <v>3</v>
      </c>
      <c r="AL258">
        <v>1</v>
      </c>
    </row>
    <row r="259" spans="1:38" x14ac:dyDescent="0.3">
      <c r="A259" t="s">
        <v>325</v>
      </c>
      <c r="B259">
        <v>28</v>
      </c>
      <c r="C259" t="s">
        <v>189</v>
      </c>
      <c r="D259" t="s">
        <v>39</v>
      </c>
      <c r="E259">
        <f t="shared" ref="E259:E322" si="4">IF(D259="Yes",1,0)</f>
        <v>1</v>
      </c>
      <c r="F259" t="s">
        <v>40</v>
      </c>
      <c r="G259">
        <v>1404</v>
      </c>
      <c r="H259" t="s">
        <v>41</v>
      </c>
      <c r="I259">
        <v>17</v>
      </c>
      <c r="J259">
        <v>3</v>
      </c>
      <c r="K259" t="s">
        <v>67</v>
      </c>
      <c r="L259">
        <v>1</v>
      </c>
      <c r="M259">
        <v>1960</v>
      </c>
      <c r="N259">
        <v>3</v>
      </c>
      <c r="O259" t="s">
        <v>43</v>
      </c>
      <c r="P259">
        <v>32</v>
      </c>
      <c r="Q259">
        <v>2</v>
      </c>
      <c r="R259">
        <v>1</v>
      </c>
      <c r="S259" t="s">
        <v>44</v>
      </c>
      <c r="T259">
        <v>4</v>
      </c>
      <c r="U259" t="s">
        <v>101</v>
      </c>
      <c r="V259">
        <v>2367</v>
      </c>
      <c r="W259" t="s">
        <v>46</v>
      </c>
      <c r="X259">
        <v>18779</v>
      </c>
      <c r="Y259">
        <v>5</v>
      </c>
      <c r="Z259" t="s">
        <v>47</v>
      </c>
      <c r="AA259" t="s">
        <v>48</v>
      </c>
      <c r="AB259">
        <v>12</v>
      </c>
      <c r="AC259">
        <v>3</v>
      </c>
      <c r="AD259">
        <v>1</v>
      </c>
      <c r="AE259">
        <v>80</v>
      </c>
      <c r="AF259">
        <v>1</v>
      </c>
      <c r="AG259">
        <v>6</v>
      </c>
      <c r="AH259">
        <v>2</v>
      </c>
      <c r="AI259">
        <v>2</v>
      </c>
      <c r="AJ259">
        <v>4</v>
      </c>
      <c r="AK259">
        <v>1</v>
      </c>
      <c r="AL259">
        <v>0</v>
      </c>
    </row>
    <row r="260" spans="1:38" x14ac:dyDescent="0.3">
      <c r="A260" t="s">
        <v>326</v>
      </c>
      <c r="B260">
        <v>29</v>
      </c>
      <c r="C260" t="s">
        <v>189</v>
      </c>
      <c r="D260" t="s">
        <v>48</v>
      </c>
      <c r="E260">
        <f t="shared" si="4"/>
        <v>0</v>
      </c>
      <c r="F260" t="s">
        <v>40</v>
      </c>
      <c r="G260">
        <v>153</v>
      </c>
      <c r="H260" t="s">
        <v>41</v>
      </c>
      <c r="I260">
        <v>15</v>
      </c>
      <c r="J260">
        <v>2</v>
      </c>
      <c r="K260" t="s">
        <v>42</v>
      </c>
      <c r="L260">
        <v>1</v>
      </c>
      <c r="M260">
        <v>15</v>
      </c>
      <c r="N260">
        <v>4</v>
      </c>
      <c r="O260" t="s">
        <v>52</v>
      </c>
      <c r="P260">
        <v>49</v>
      </c>
      <c r="Q260">
        <v>2</v>
      </c>
      <c r="R260">
        <v>2</v>
      </c>
      <c r="S260" t="s">
        <v>44</v>
      </c>
      <c r="T260">
        <v>3</v>
      </c>
      <c r="U260" t="s">
        <v>45</v>
      </c>
      <c r="V260">
        <v>4193</v>
      </c>
      <c r="W260" t="s">
        <v>46</v>
      </c>
      <c r="X260">
        <v>12682</v>
      </c>
      <c r="Y260">
        <v>0</v>
      </c>
      <c r="Z260" t="s">
        <v>47</v>
      </c>
      <c r="AA260" t="s">
        <v>39</v>
      </c>
      <c r="AB260">
        <v>12</v>
      </c>
      <c r="AC260">
        <v>3</v>
      </c>
      <c r="AD260">
        <v>4</v>
      </c>
      <c r="AE260">
        <v>80</v>
      </c>
      <c r="AF260">
        <v>0</v>
      </c>
      <c r="AG260">
        <v>10</v>
      </c>
      <c r="AH260">
        <v>3</v>
      </c>
      <c r="AI260">
        <v>3</v>
      </c>
      <c r="AJ260">
        <v>9</v>
      </c>
      <c r="AK260">
        <v>5</v>
      </c>
      <c r="AL260">
        <v>0</v>
      </c>
    </row>
    <row r="261" spans="1:38" x14ac:dyDescent="0.3">
      <c r="A261" t="s">
        <v>327</v>
      </c>
      <c r="B261">
        <v>29</v>
      </c>
      <c r="C261" t="s">
        <v>189</v>
      </c>
      <c r="D261" t="s">
        <v>48</v>
      </c>
      <c r="E261">
        <f t="shared" si="4"/>
        <v>0</v>
      </c>
      <c r="F261" t="s">
        <v>40</v>
      </c>
      <c r="G261">
        <v>1389</v>
      </c>
      <c r="H261" t="s">
        <v>41</v>
      </c>
      <c r="I261">
        <v>21</v>
      </c>
      <c r="J261">
        <v>4</v>
      </c>
      <c r="K261" t="s">
        <v>42</v>
      </c>
      <c r="L261">
        <v>1</v>
      </c>
      <c r="M261">
        <v>20</v>
      </c>
      <c r="N261">
        <v>2</v>
      </c>
      <c r="O261" t="s">
        <v>52</v>
      </c>
      <c r="P261">
        <v>51</v>
      </c>
      <c r="Q261">
        <v>4</v>
      </c>
      <c r="R261">
        <v>3</v>
      </c>
      <c r="S261" t="s">
        <v>111</v>
      </c>
      <c r="T261">
        <v>1</v>
      </c>
      <c r="U261" t="s">
        <v>101</v>
      </c>
      <c r="V261">
        <v>9980</v>
      </c>
      <c r="W261" t="s">
        <v>162</v>
      </c>
      <c r="X261">
        <v>10195</v>
      </c>
      <c r="Y261">
        <v>1</v>
      </c>
      <c r="Z261" t="s">
        <v>47</v>
      </c>
      <c r="AA261" t="s">
        <v>48</v>
      </c>
      <c r="AB261">
        <v>11</v>
      </c>
      <c r="AC261">
        <v>3</v>
      </c>
      <c r="AD261">
        <v>3</v>
      </c>
      <c r="AE261">
        <v>80</v>
      </c>
      <c r="AF261">
        <v>1</v>
      </c>
      <c r="AG261">
        <v>10</v>
      </c>
      <c r="AH261">
        <v>1</v>
      </c>
      <c r="AI261">
        <v>3</v>
      </c>
      <c r="AJ261">
        <v>10</v>
      </c>
      <c r="AK261">
        <v>9</v>
      </c>
      <c r="AL261">
        <v>8</v>
      </c>
    </row>
    <row r="262" spans="1:38" x14ac:dyDescent="0.3">
      <c r="A262" t="s">
        <v>328</v>
      </c>
      <c r="B262">
        <v>29</v>
      </c>
      <c r="C262" t="s">
        <v>189</v>
      </c>
      <c r="D262" t="s">
        <v>48</v>
      </c>
      <c r="E262">
        <f t="shared" si="4"/>
        <v>0</v>
      </c>
      <c r="F262" t="s">
        <v>40</v>
      </c>
      <c r="G262">
        <v>1328</v>
      </c>
      <c r="H262" t="s">
        <v>41</v>
      </c>
      <c r="I262">
        <v>2</v>
      </c>
      <c r="J262">
        <v>3</v>
      </c>
      <c r="K262" t="s">
        <v>42</v>
      </c>
      <c r="L262">
        <v>1</v>
      </c>
      <c r="M262">
        <v>94</v>
      </c>
      <c r="N262">
        <v>3</v>
      </c>
      <c r="O262" t="s">
        <v>43</v>
      </c>
      <c r="P262">
        <v>76</v>
      </c>
      <c r="Q262">
        <v>3</v>
      </c>
      <c r="R262">
        <v>1</v>
      </c>
      <c r="S262" t="s">
        <v>59</v>
      </c>
      <c r="T262">
        <v>2</v>
      </c>
      <c r="U262" t="s">
        <v>104</v>
      </c>
      <c r="V262">
        <v>2703</v>
      </c>
      <c r="W262" t="s">
        <v>46</v>
      </c>
      <c r="X262">
        <v>4956</v>
      </c>
      <c r="Y262">
        <v>0</v>
      </c>
      <c r="Z262" t="s">
        <v>47</v>
      </c>
      <c r="AA262" t="s">
        <v>48</v>
      </c>
      <c r="AB262">
        <v>23</v>
      </c>
      <c r="AC262">
        <v>4</v>
      </c>
      <c r="AD262">
        <v>4</v>
      </c>
      <c r="AE262">
        <v>80</v>
      </c>
      <c r="AF262">
        <v>1</v>
      </c>
      <c r="AG262">
        <v>6</v>
      </c>
      <c r="AH262">
        <v>3</v>
      </c>
      <c r="AI262">
        <v>3</v>
      </c>
      <c r="AJ262">
        <v>5</v>
      </c>
      <c r="AK262">
        <v>4</v>
      </c>
      <c r="AL262">
        <v>0</v>
      </c>
    </row>
    <row r="263" spans="1:38" x14ac:dyDescent="0.3">
      <c r="A263" t="s">
        <v>329</v>
      </c>
      <c r="B263">
        <v>29</v>
      </c>
      <c r="C263" t="s">
        <v>189</v>
      </c>
      <c r="D263" t="s">
        <v>48</v>
      </c>
      <c r="E263">
        <f t="shared" si="4"/>
        <v>0</v>
      </c>
      <c r="F263" t="s">
        <v>58</v>
      </c>
      <c r="G263">
        <v>1496</v>
      </c>
      <c r="H263" t="s">
        <v>41</v>
      </c>
      <c r="I263">
        <v>1</v>
      </c>
      <c r="J263">
        <v>1</v>
      </c>
      <c r="K263" t="s">
        <v>67</v>
      </c>
      <c r="L263">
        <v>1</v>
      </c>
      <c r="M263">
        <v>208</v>
      </c>
      <c r="N263">
        <v>4</v>
      </c>
      <c r="O263" t="s">
        <v>43</v>
      </c>
      <c r="P263">
        <v>41</v>
      </c>
      <c r="Q263">
        <v>3</v>
      </c>
      <c r="R263">
        <v>2</v>
      </c>
      <c r="S263" t="s">
        <v>111</v>
      </c>
      <c r="T263">
        <v>3</v>
      </c>
      <c r="U263" t="s">
        <v>104</v>
      </c>
      <c r="V263">
        <v>4319</v>
      </c>
      <c r="W263" t="s">
        <v>46</v>
      </c>
      <c r="X263">
        <v>26283</v>
      </c>
      <c r="Y263">
        <v>1</v>
      </c>
      <c r="Z263" t="s">
        <v>47</v>
      </c>
      <c r="AA263" t="s">
        <v>48</v>
      </c>
      <c r="AB263">
        <v>13</v>
      </c>
      <c r="AC263">
        <v>3</v>
      </c>
      <c r="AD263">
        <v>1</v>
      </c>
      <c r="AE263">
        <v>80</v>
      </c>
      <c r="AF263">
        <v>1</v>
      </c>
      <c r="AG263">
        <v>10</v>
      </c>
      <c r="AH263">
        <v>1</v>
      </c>
      <c r="AI263">
        <v>3</v>
      </c>
      <c r="AJ263">
        <v>10</v>
      </c>
      <c r="AK263">
        <v>7</v>
      </c>
      <c r="AL263">
        <v>0</v>
      </c>
    </row>
    <row r="264" spans="1:38" x14ac:dyDescent="0.3">
      <c r="A264" t="s">
        <v>330</v>
      </c>
      <c r="B264">
        <v>29</v>
      </c>
      <c r="C264" t="s">
        <v>189</v>
      </c>
      <c r="D264" t="s">
        <v>39</v>
      </c>
      <c r="E264">
        <f t="shared" si="4"/>
        <v>1</v>
      </c>
      <c r="F264" t="s">
        <v>40</v>
      </c>
      <c r="G264">
        <v>121</v>
      </c>
      <c r="H264" t="s">
        <v>50</v>
      </c>
      <c r="I264">
        <v>27</v>
      </c>
      <c r="J264">
        <v>3</v>
      </c>
      <c r="K264" t="s">
        <v>56</v>
      </c>
      <c r="L264">
        <v>1</v>
      </c>
      <c r="M264">
        <v>283</v>
      </c>
      <c r="N264">
        <v>2</v>
      </c>
      <c r="O264" t="s">
        <v>52</v>
      </c>
      <c r="P264">
        <v>35</v>
      </c>
      <c r="Q264">
        <v>3</v>
      </c>
      <c r="R264">
        <v>3</v>
      </c>
      <c r="S264" t="s">
        <v>136</v>
      </c>
      <c r="T264">
        <v>4</v>
      </c>
      <c r="U264" t="s">
        <v>104</v>
      </c>
      <c r="V264">
        <v>7639</v>
      </c>
      <c r="W264" t="s">
        <v>162</v>
      </c>
      <c r="X264">
        <v>24525</v>
      </c>
      <c r="Y264">
        <v>1</v>
      </c>
      <c r="Z264" t="s">
        <v>47</v>
      </c>
      <c r="AA264" t="s">
        <v>48</v>
      </c>
      <c r="AB264">
        <v>22</v>
      </c>
      <c r="AC264">
        <v>4</v>
      </c>
      <c r="AD264">
        <v>4</v>
      </c>
      <c r="AE264">
        <v>80</v>
      </c>
      <c r="AF264">
        <v>3</v>
      </c>
      <c r="AG264">
        <v>10</v>
      </c>
      <c r="AH264">
        <v>3</v>
      </c>
      <c r="AI264">
        <v>2</v>
      </c>
      <c r="AJ264">
        <v>10</v>
      </c>
      <c r="AK264">
        <v>4</v>
      </c>
      <c r="AL264">
        <v>1</v>
      </c>
    </row>
    <row r="265" spans="1:38" x14ac:dyDescent="0.3">
      <c r="A265" t="s">
        <v>331</v>
      </c>
      <c r="B265">
        <v>29</v>
      </c>
      <c r="C265" t="s">
        <v>189</v>
      </c>
      <c r="D265" t="s">
        <v>39</v>
      </c>
      <c r="E265">
        <f t="shared" si="4"/>
        <v>1</v>
      </c>
      <c r="F265" t="s">
        <v>40</v>
      </c>
      <c r="G265">
        <v>992</v>
      </c>
      <c r="H265" t="s">
        <v>41</v>
      </c>
      <c r="I265">
        <v>1</v>
      </c>
      <c r="J265">
        <v>3</v>
      </c>
      <c r="K265" t="s">
        <v>67</v>
      </c>
      <c r="L265">
        <v>1</v>
      </c>
      <c r="M265">
        <v>300</v>
      </c>
      <c r="N265">
        <v>3</v>
      </c>
      <c r="O265" t="s">
        <v>43</v>
      </c>
      <c r="P265">
        <v>85</v>
      </c>
      <c r="Q265">
        <v>3</v>
      </c>
      <c r="R265">
        <v>1</v>
      </c>
      <c r="S265" t="s">
        <v>59</v>
      </c>
      <c r="T265">
        <v>3</v>
      </c>
      <c r="U265" t="s">
        <v>45</v>
      </c>
      <c r="V265">
        <v>2058</v>
      </c>
      <c r="W265" t="s">
        <v>46</v>
      </c>
      <c r="X265">
        <v>19757</v>
      </c>
      <c r="Y265">
        <v>0</v>
      </c>
      <c r="Z265" t="s">
        <v>47</v>
      </c>
      <c r="AA265" t="s">
        <v>48</v>
      </c>
      <c r="AB265">
        <v>14</v>
      </c>
      <c r="AC265">
        <v>3</v>
      </c>
      <c r="AD265">
        <v>4</v>
      </c>
      <c r="AE265">
        <v>80</v>
      </c>
      <c r="AF265">
        <v>0</v>
      </c>
      <c r="AG265">
        <v>7</v>
      </c>
      <c r="AH265">
        <v>1</v>
      </c>
      <c r="AI265">
        <v>2</v>
      </c>
      <c r="AJ265">
        <v>6</v>
      </c>
      <c r="AK265">
        <v>2</v>
      </c>
      <c r="AL265">
        <v>1</v>
      </c>
    </row>
    <row r="266" spans="1:38" x14ac:dyDescent="0.3">
      <c r="A266" t="s">
        <v>332</v>
      </c>
      <c r="B266">
        <v>29</v>
      </c>
      <c r="C266" t="s">
        <v>189</v>
      </c>
      <c r="D266" t="s">
        <v>48</v>
      </c>
      <c r="E266">
        <f t="shared" si="4"/>
        <v>0</v>
      </c>
      <c r="F266" t="s">
        <v>55</v>
      </c>
      <c r="G266">
        <v>1413</v>
      </c>
      <c r="H266" t="s">
        <v>50</v>
      </c>
      <c r="I266">
        <v>1</v>
      </c>
      <c r="J266">
        <v>1</v>
      </c>
      <c r="K266" t="s">
        <v>51</v>
      </c>
      <c r="L266">
        <v>1</v>
      </c>
      <c r="M266">
        <v>312</v>
      </c>
      <c r="N266">
        <v>2</v>
      </c>
      <c r="O266" t="s">
        <v>52</v>
      </c>
      <c r="P266">
        <v>42</v>
      </c>
      <c r="Q266">
        <v>3</v>
      </c>
      <c r="R266">
        <v>3</v>
      </c>
      <c r="S266" t="s">
        <v>136</v>
      </c>
      <c r="T266">
        <v>4</v>
      </c>
      <c r="U266" t="s">
        <v>104</v>
      </c>
      <c r="V266">
        <v>7918</v>
      </c>
      <c r="W266" t="s">
        <v>162</v>
      </c>
      <c r="X266">
        <v>6599</v>
      </c>
      <c r="Y266">
        <v>1</v>
      </c>
      <c r="Z266" t="s">
        <v>47</v>
      </c>
      <c r="AA266" t="s">
        <v>48</v>
      </c>
      <c r="AB266">
        <v>14</v>
      </c>
      <c r="AC266">
        <v>3</v>
      </c>
      <c r="AD266">
        <v>4</v>
      </c>
      <c r="AE266">
        <v>80</v>
      </c>
      <c r="AF266">
        <v>1</v>
      </c>
      <c r="AG266">
        <v>11</v>
      </c>
      <c r="AH266">
        <v>5</v>
      </c>
      <c r="AI266">
        <v>3</v>
      </c>
      <c r="AJ266">
        <v>11</v>
      </c>
      <c r="AK266">
        <v>10</v>
      </c>
      <c r="AL266">
        <v>4</v>
      </c>
    </row>
    <row r="267" spans="1:38" x14ac:dyDescent="0.3">
      <c r="A267" t="s">
        <v>333</v>
      </c>
      <c r="B267">
        <v>29</v>
      </c>
      <c r="C267" t="s">
        <v>189</v>
      </c>
      <c r="D267" t="s">
        <v>39</v>
      </c>
      <c r="E267">
        <f t="shared" si="4"/>
        <v>1</v>
      </c>
      <c r="F267" t="s">
        <v>40</v>
      </c>
      <c r="G267">
        <v>896</v>
      </c>
      <c r="H267" t="s">
        <v>41</v>
      </c>
      <c r="I267">
        <v>18</v>
      </c>
      <c r="J267">
        <v>1</v>
      </c>
      <c r="K267" t="s">
        <v>51</v>
      </c>
      <c r="L267">
        <v>1</v>
      </c>
      <c r="M267">
        <v>315</v>
      </c>
      <c r="N267">
        <v>3</v>
      </c>
      <c r="O267" t="s">
        <v>43</v>
      </c>
      <c r="P267">
        <v>86</v>
      </c>
      <c r="Q267">
        <v>2</v>
      </c>
      <c r="R267">
        <v>1</v>
      </c>
      <c r="S267" t="s">
        <v>59</v>
      </c>
      <c r="T267">
        <v>4</v>
      </c>
      <c r="U267" t="s">
        <v>45</v>
      </c>
      <c r="V267">
        <v>2389</v>
      </c>
      <c r="W267" t="s">
        <v>46</v>
      </c>
      <c r="X267">
        <v>14961</v>
      </c>
      <c r="Y267">
        <v>1</v>
      </c>
      <c r="Z267" t="s">
        <v>47</v>
      </c>
      <c r="AA267" t="s">
        <v>39</v>
      </c>
      <c r="AB267">
        <v>13</v>
      </c>
      <c r="AC267">
        <v>3</v>
      </c>
      <c r="AD267">
        <v>3</v>
      </c>
      <c r="AE267">
        <v>80</v>
      </c>
      <c r="AF267">
        <v>0</v>
      </c>
      <c r="AG267">
        <v>4</v>
      </c>
      <c r="AH267">
        <v>3</v>
      </c>
      <c r="AI267">
        <v>2</v>
      </c>
      <c r="AJ267">
        <v>4</v>
      </c>
      <c r="AK267">
        <v>3</v>
      </c>
      <c r="AL267">
        <v>0</v>
      </c>
    </row>
    <row r="268" spans="1:38" x14ac:dyDescent="0.3">
      <c r="A268" t="s">
        <v>334</v>
      </c>
      <c r="B268">
        <v>29</v>
      </c>
      <c r="C268" t="s">
        <v>189</v>
      </c>
      <c r="D268" t="s">
        <v>48</v>
      </c>
      <c r="E268">
        <f t="shared" si="4"/>
        <v>0</v>
      </c>
      <c r="F268" t="s">
        <v>40</v>
      </c>
      <c r="G268">
        <v>665</v>
      </c>
      <c r="H268" t="s">
        <v>41</v>
      </c>
      <c r="I268">
        <v>15</v>
      </c>
      <c r="J268">
        <v>3</v>
      </c>
      <c r="K268" t="s">
        <v>42</v>
      </c>
      <c r="L268">
        <v>1</v>
      </c>
      <c r="M268">
        <v>346</v>
      </c>
      <c r="N268">
        <v>3</v>
      </c>
      <c r="O268" t="s">
        <v>43</v>
      </c>
      <c r="P268">
        <v>60</v>
      </c>
      <c r="Q268">
        <v>3</v>
      </c>
      <c r="R268">
        <v>1</v>
      </c>
      <c r="S268" t="s">
        <v>59</v>
      </c>
      <c r="T268">
        <v>4</v>
      </c>
      <c r="U268" t="s">
        <v>45</v>
      </c>
      <c r="V268">
        <v>2340</v>
      </c>
      <c r="W268" t="s">
        <v>46</v>
      </c>
      <c r="X268">
        <v>22673</v>
      </c>
      <c r="Y268">
        <v>1</v>
      </c>
      <c r="Z268" t="s">
        <v>47</v>
      </c>
      <c r="AA268" t="s">
        <v>48</v>
      </c>
      <c r="AB268">
        <v>19</v>
      </c>
      <c r="AC268">
        <v>3</v>
      </c>
      <c r="AD268">
        <v>1</v>
      </c>
      <c r="AE268">
        <v>80</v>
      </c>
      <c r="AF268">
        <v>0</v>
      </c>
      <c r="AG268">
        <v>6</v>
      </c>
      <c r="AH268">
        <v>1</v>
      </c>
      <c r="AI268">
        <v>3</v>
      </c>
      <c r="AJ268">
        <v>6</v>
      </c>
      <c r="AK268">
        <v>5</v>
      </c>
      <c r="AL268">
        <v>1</v>
      </c>
    </row>
    <row r="269" spans="1:38" x14ac:dyDescent="0.3">
      <c r="A269" t="s">
        <v>335</v>
      </c>
      <c r="B269">
        <v>29</v>
      </c>
      <c r="C269" t="s">
        <v>189</v>
      </c>
      <c r="D269" t="s">
        <v>48</v>
      </c>
      <c r="E269">
        <f t="shared" si="4"/>
        <v>0</v>
      </c>
      <c r="F269" t="s">
        <v>40</v>
      </c>
      <c r="G269">
        <v>1247</v>
      </c>
      <c r="H269" t="s">
        <v>50</v>
      </c>
      <c r="I269">
        <v>20</v>
      </c>
      <c r="J269">
        <v>2</v>
      </c>
      <c r="K269" t="s">
        <v>56</v>
      </c>
      <c r="L269">
        <v>1</v>
      </c>
      <c r="M269">
        <v>349</v>
      </c>
      <c r="N269">
        <v>4</v>
      </c>
      <c r="O269" t="s">
        <v>43</v>
      </c>
      <c r="P269">
        <v>45</v>
      </c>
      <c r="Q269">
        <v>3</v>
      </c>
      <c r="R269">
        <v>2</v>
      </c>
      <c r="S269" t="s">
        <v>136</v>
      </c>
      <c r="T269">
        <v>4</v>
      </c>
      <c r="U269" t="s">
        <v>101</v>
      </c>
      <c r="V269">
        <v>6931</v>
      </c>
      <c r="W269" t="s">
        <v>162</v>
      </c>
      <c r="X269">
        <v>10732</v>
      </c>
      <c r="Y269">
        <v>2</v>
      </c>
      <c r="Z269" t="s">
        <v>47</v>
      </c>
      <c r="AA269" t="s">
        <v>48</v>
      </c>
      <c r="AB269">
        <v>14</v>
      </c>
      <c r="AC269">
        <v>3</v>
      </c>
      <c r="AD269">
        <v>4</v>
      </c>
      <c r="AE269">
        <v>80</v>
      </c>
      <c r="AF269">
        <v>1</v>
      </c>
      <c r="AG269">
        <v>10</v>
      </c>
      <c r="AH269">
        <v>2</v>
      </c>
      <c r="AI269">
        <v>3</v>
      </c>
      <c r="AJ269">
        <v>3</v>
      </c>
      <c r="AK269">
        <v>2</v>
      </c>
      <c r="AL269">
        <v>0</v>
      </c>
    </row>
    <row r="270" spans="1:38" x14ac:dyDescent="0.3">
      <c r="A270" t="s">
        <v>336</v>
      </c>
      <c r="B270">
        <v>29</v>
      </c>
      <c r="C270" t="s">
        <v>189</v>
      </c>
      <c r="D270" t="s">
        <v>48</v>
      </c>
      <c r="E270">
        <f t="shared" si="4"/>
        <v>0</v>
      </c>
      <c r="F270" t="s">
        <v>40</v>
      </c>
      <c r="G270">
        <v>1210</v>
      </c>
      <c r="H270" t="s">
        <v>50</v>
      </c>
      <c r="I270">
        <v>2</v>
      </c>
      <c r="J270">
        <v>3</v>
      </c>
      <c r="K270" t="s">
        <v>51</v>
      </c>
      <c r="L270">
        <v>1</v>
      </c>
      <c r="M270">
        <v>366</v>
      </c>
      <c r="N270">
        <v>1</v>
      </c>
      <c r="O270" t="s">
        <v>43</v>
      </c>
      <c r="P270">
        <v>78</v>
      </c>
      <c r="Q270">
        <v>2</v>
      </c>
      <c r="R270">
        <v>2</v>
      </c>
      <c r="S270" t="s">
        <v>136</v>
      </c>
      <c r="T270">
        <v>2</v>
      </c>
      <c r="U270" t="s">
        <v>104</v>
      </c>
      <c r="V270">
        <v>6644</v>
      </c>
      <c r="W270" t="s">
        <v>162</v>
      </c>
      <c r="X270">
        <v>3687</v>
      </c>
      <c r="Y270">
        <v>2</v>
      </c>
      <c r="Z270" t="s">
        <v>47</v>
      </c>
      <c r="AA270" t="s">
        <v>48</v>
      </c>
      <c r="AB270">
        <v>19</v>
      </c>
      <c r="AC270">
        <v>3</v>
      </c>
      <c r="AD270">
        <v>2</v>
      </c>
      <c r="AE270">
        <v>80</v>
      </c>
      <c r="AF270">
        <v>2</v>
      </c>
      <c r="AG270">
        <v>10</v>
      </c>
      <c r="AH270">
        <v>2</v>
      </c>
      <c r="AI270">
        <v>3</v>
      </c>
      <c r="AJ270">
        <v>0</v>
      </c>
      <c r="AK270">
        <v>0</v>
      </c>
      <c r="AL270">
        <v>0</v>
      </c>
    </row>
    <row r="271" spans="1:38" x14ac:dyDescent="0.3">
      <c r="A271" t="s">
        <v>337</v>
      </c>
      <c r="B271">
        <v>29</v>
      </c>
      <c r="C271" t="s">
        <v>189</v>
      </c>
      <c r="D271" t="s">
        <v>48</v>
      </c>
      <c r="E271">
        <f t="shared" si="4"/>
        <v>0</v>
      </c>
      <c r="F271" t="s">
        <v>55</v>
      </c>
      <c r="G271">
        <v>442</v>
      </c>
      <c r="H271" t="s">
        <v>50</v>
      </c>
      <c r="I271">
        <v>2</v>
      </c>
      <c r="J271">
        <v>2</v>
      </c>
      <c r="K271" t="s">
        <v>42</v>
      </c>
      <c r="L271">
        <v>1</v>
      </c>
      <c r="M271">
        <v>388</v>
      </c>
      <c r="N271">
        <v>2</v>
      </c>
      <c r="O271" t="s">
        <v>43</v>
      </c>
      <c r="P271">
        <v>44</v>
      </c>
      <c r="Q271">
        <v>3</v>
      </c>
      <c r="R271">
        <v>2</v>
      </c>
      <c r="S271" t="s">
        <v>136</v>
      </c>
      <c r="T271">
        <v>4</v>
      </c>
      <c r="U271" t="s">
        <v>45</v>
      </c>
      <c r="V271">
        <v>4554</v>
      </c>
      <c r="W271" t="s">
        <v>46</v>
      </c>
      <c r="X271">
        <v>20260</v>
      </c>
      <c r="Y271">
        <v>1</v>
      </c>
      <c r="Z271" t="s">
        <v>47</v>
      </c>
      <c r="AA271" t="s">
        <v>48</v>
      </c>
      <c r="AB271">
        <v>18</v>
      </c>
      <c r="AC271">
        <v>3</v>
      </c>
      <c r="AD271">
        <v>1</v>
      </c>
      <c r="AE271">
        <v>80</v>
      </c>
      <c r="AF271">
        <v>0</v>
      </c>
      <c r="AG271">
        <v>10</v>
      </c>
      <c r="AH271">
        <v>3</v>
      </c>
      <c r="AI271">
        <v>2</v>
      </c>
      <c r="AJ271">
        <v>10</v>
      </c>
      <c r="AK271">
        <v>7</v>
      </c>
      <c r="AL271">
        <v>0</v>
      </c>
    </row>
    <row r="272" spans="1:38" x14ac:dyDescent="0.3">
      <c r="A272" t="s">
        <v>338</v>
      </c>
      <c r="B272">
        <v>29</v>
      </c>
      <c r="C272" t="s">
        <v>189</v>
      </c>
      <c r="D272" t="s">
        <v>39</v>
      </c>
      <c r="E272">
        <f t="shared" si="4"/>
        <v>1</v>
      </c>
      <c r="F272" t="s">
        <v>40</v>
      </c>
      <c r="G272">
        <v>318</v>
      </c>
      <c r="H272" t="s">
        <v>41</v>
      </c>
      <c r="I272">
        <v>8</v>
      </c>
      <c r="J272">
        <v>4</v>
      </c>
      <c r="K272" t="s">
        <v>72</v>
      </c>
      <c r="L272">
        <v>1</v>
      </c>
      <c r="M272">
        <v>454</v>
      </c>
      <c r="N272">
        <v>2</v>
      </c>
      <c r="O272" t="s">
        <v>43</v>
      </c>
      <c r="P272">
        <v>77</v>
      </c>
      <c r="Q272">
        <v>1</v>
      </c>
      <c r="R272">
        <v>1</v>
      </c>
      <c r="S272" t="s">
        <v>44</v>
      </c>
      <c r="T272">
        <v>1</v>
      </c>
      <c r="U272" t="s">
        <v>104</v>
      </c>
      <c r="V272">
        <v>2119</v>
      </c>
      <c r="W272" t="s">
        <v>46</v>
      </c>
      <c r="X272">
        <v>4759</v>
      </c>
      <c r="Y272">
        <v>1</v>
      </c>
      <c r="Z272" t="s">
        <v>47</v>
      </c>
      <c r="AA272" t="s">
        <v>39</v>
      </c>
      <c r="AB272">
        <v>11</v>
      </c>
      <c r="AC272">
        <v>3</v>
      </c>
      <c r="AD272">
        <v>4</v>
      </c>
      <c r="AE272">
        <v>80</v>
      </c>
      <c r="AF272">
        <v>0</v>
      </c>
      <c r="AG272">
        <v>7</v>
      </c>
      <c r="AH272">
        <v>4</v>
      </c>
      <c r="AI272">
        <v>2</v>
      </c>
      <c r="AJ272">
        <v>7</v>
      </c>
      <c r="AK272">
        <v>7</v>
      </c>
      <c r="AL272">
        <v>0</v>
      </c>
    </row>
    <row r="273" spans="1:38" x14ac:dyDescent="0.3">
      <c r="A273" t="s">
        <v>339</v>
      </c>
      <c r="B273">
        <v>29</v>
      </c>
      <c r="C273" t="s">
        <v>189</v>
      </c>
      <c r="D273" t="s">
        <v>48</v>
      </c>
      <c r="E273">
        <f t="shared" si="4"/>
        <v>0</v>
      </c>
      <c r="F273" t="s">
        <v>40</v>
      </c>
      <c r="G273">
        <v>738</v>
      </c>
      <c r="H273" t="s">
        <v>41</v>
      </c>
      <c r="I273">
        <v>9</v>
      </c>
      <c r="J273">
        <v>5</v>
      </c>
      <c r="K273" t="s">
        <v>72</v>
      </c>
      <c r="L273">
        <v>1</v>
      </c>
      <c r="M273">
        <v>455</v>
      </c>
      <c r="N273">
        <v>2</v>
      </c>
      <c r="O273" t="s">
        <v>43</v>
      </c>
      <c r="P273">
        <v>30</v>
      </c>
      <c r="Q273">
        <v>2</v>
      </c>
      <c r="R273">
        <v>1</v>
      </c>
      <c r="S273" t="s">
        <v>44</v>
      </c>
      <c r="T273">
        <v>4</v>
      </c>
      <c r="U273" t="s">
        <v>45</v>
      </c>
      <c r="V273">
        <v>3983</v>
      </c>
      <c r="W273" t="s">
        <v>46</v>
      </c>
      <c r="X273">
        <v>7621</v>
      </c>
      <c r="Y273">
        <v>0</v>
      </c>
      <c r="Z273" t="s">
        <v>47</v>
      </c>
      <c r="AA273" t="s">
        <v>48</v>
      </c>
      <c r="AB273">
        <v>17</v>
      </c>
      <c r="AC273">
        <v>3</v>
      </c>
      <c r="AD273">
        <v>3</v>
      </c>
      <c r="AE273">
        <v>80</v>
      </c>
      <c r="AF273">
        <v>0</v>
      </c>
      <c r="AG273">
        <v>4</v>
      </c>
      <c r="AH273">
        <v>2</v>
      </c>
      <c r="AI273">
        <v>3</v>
      </c>
      <c r="AJ273">
        <v>3</v>
      </c>
      <c r="AK273">
        <v>2</v>
      </c>
      <c r="AL273">
        <v>2</v>
      </c>
    </row>
    <row r="274" spans="1:38" x14ac:dyDescent="0.3">
      <c r="A274" t="s">
        <v>340</v>
      </c>
      <c r="B274">
        <v>29</v>
      </c>
      <c r="C274" t="s">
        <v>189</v>
      </c>
      <c r="D274" t="s">
        <v>48</v>
      </c>
      <c r="E274">
        <f t="shared" si="4"/>
        <v>0</v>
      </c>
      <c r="F274" t="s">
        <v>40</v>
      </c>
      <c r="G274">
        <v>144</v>
      </c>
      <c r="H274" t="s">
        <v>50</v>
      </c>
      <c r="I274">
        <v>10</v>
      </c>
      <c r="J274">
        <v>1</v>
      </c>
      <c r="K274" t="s">
        <v>56</v>
      </c>
      <c r="L274">
        <v>1</v>
      </c>
      <c r="M274">
        <v>463</v>
      </c>
      <c r="N274">
        <v>4</v>
      </c>
      <c r="O274" t="s">
        <v>52</v>
      </c>
      <c r="P274">
        <v>39</v>
      </c>
      <c r="Q274">
        <v>2</v>
      </c>
      <c r="R274">
        <v>2</v>
      </c>
      <c r="S274" t="s">
        <v>136</v>
      </c>
      <c r="T274">
        <v>2</v>
      </c>
      <c r="U274" t="s">
        <v>101</v>
      </c>
      <c r="V274">
        <v>8268</v>
      </c>
      <c r="W274" t="s">
        <v>162</v>
      </c>
      <c r="X274">
        <v>11866</v>
      </c>
      <c r="Y274">
        <v>1</v>
      </c>
      <c r="Z274" t="s">
        <v>47</v>
      </c>
      <c r="AA274" t="s">
        <v>39</v>
      </c>
      <c r="AB274">
        <v>14</v>
      </c>
      <c r="AC274">
        <v>3</v>
      </c>
      <c r="AD274">
        <v>1</v>
      </c>
      <c r="AE274">
        <v>80</v>
      </c>
      <c r="AF274">
        <v>2</v>
      </c>
      <c r="AG274">
        <v>7</v>
      </c>
      <c r="AH274">
        <v>2</v>
      </c>
      <c r="AI274">
        <v>3</v>
      </c>
      <c r="AJ274">
        <v>7</v>
      </c>
      <c r="AK274">
        <v>7</v>
      </c>
      <c r="AL274">
        <v>1</v>
      </c>
    </row>
    <row r="275" spans="1:38" x14ac:dyDescent="0.3">
      <c r="A275" t="s">
        <v>341</v>
      </c>
      <c r="B275">
        <v>29</v>
      </c>
      <c r="C275" t="s">
        <v>189</v>
      </c>
      <c r="D275" t="s">
        <v>48</v>
      </c>
      <c r="E275">
        <f t="shared" si="4"/>
        <v>0</v>
      </c>
      <c r="F275" t="s">
        <v>58</v>
      </c>
      <c r="G275">
        <v>746</v>
      </c>
      <c r="H275" t="s">
        <v>50</v>
      </c>
      <c r="I275">
        <v>2</v>
      </c>
      <c r="J275">
        <v>3</v>
      </c>
      <c r="K275" t="s">
        <v>42</v>
      </c>
      <c r="L275">
        <v>1</v>
      </c>
      <c r="M275">
        <v>469</v>
      </c>
      <c r="N275">
        <v>4</v>
      </c>
      <c r="O275" t="s">
        <v>43</v>
      </c>
      <c r="P275">
        <v>61</v>
      </c>
      <c r="Q275">
        <v>3</v>
      </c>
      <c r="R275">
        <v>2</v>
      </c>
      <c r="S275" t="s">
        <v>136</v>
      </c>
      <c r="T275">
        <v>3</v>
      </c>
      <c r="U275" t="s">
        <v>104</v>
      </c>
      <c r="V275">
        <v>4649</v>
      </c>
      <c r="W275" t="s">
        <v>46</v>
      </c>
      <c r="X275">
        <v>16928</v>
      </c>
      <c r="Y275">
        <v>1</v>
      </c>
      <c r="Z275" t="s">
        <v>47</v>
      </c>
      <c r="AA275" t="s">
        <v>48</v>
      </c>
      <c r="AB275">
        <v>14</v>
      </c>
      <c r="AC275">
        <v>3</v>
      </c>
      <c r="AD275">
        <v>1</v>
      </c>
      <c r="AE275">
        <v>80</v>
      </c>
      <c r="AF275">
        <v>1</v>
      </c>
      <c r="AG275">
        <v>4</v>
      </c>
      <c r="AH275">
        <v>3</v>
      </c>
      <c r="AI275">
        <v>2</v>
      </c>
      <c r="AJ275">
        <v>4</v>
      </c>
      <c r="AK275">
        <v>3</v>
      </c>
      <c r="AL275">
        <v>0</v>
      </c>
    </row>
    <row r="276" spans="1:38" x14ac:dyDescent="0.3">
      <c r="A276" t="s">
        <v>342</v>
      </c>
      <c r="B276">
        <v>29</v>
      </c>
      <c r="C276" t="s">
        <v>189</v>
      </c>
      <c r="D276" t="s">
        <v>48</v>
      </c>
      <c r="E276">
        <f t="shared" si="4"/>
        <v>0</v>
      </c>
      <c r="F276" t="s">
        <v>40</v>
      </c>
      <c r="G276">
        <v>1283</v>
      </c>
      <c r="H276" t="s">
        <v>41</v>
      </c>
      <c r="I276">
        <v>23</v>
      </c>
      <c r="J276">
        <v>3</v>
      </c>
      <c r="K276" t="s">
        <v>42</v>
      </c>
      <c r="L276">
        <v>1</v>
      </c>
      <c r="M276">
        <v>495</v>
      </c>
      <c r="N276">
        <v>4</v>
      </c>
      <c r="O276" t="s">
        <v>43</v>
      </c>
      <c r="P276">
        <v>54</v>
      </c>
      <c r="Q276">
        <v>3</v>
      </c>
      <c r="R276">
        <v>1</v>
      </c>
      <c r="S276" t="s">
        <v>59</v>
      </c>
      <c r="T276">
        <v>4</v>
      </c>
      <c r="U276" t="s">
        <v>45</v>
      </c>
      <c r="V276">
        <v>2201</v>
      </c>
      <c r="W276" t="s">
        <v>46</v>
      </c>
      <c r="X276">
        <v>18168</v>
      </c>
      <c r="Y276">
        <v>9</v>
      </c>
      <c r="Z276" t="s">
        <v>47</v>
      </c>
      <c r="AA276" t="s">
        <v>48</v>
      </c>
      <c r="AB276">
        <v>16</v>
      </c>
      <c r="AC276">
        <v>3</v>
      </c>
      <c r="AD276">
        <v>4</v>
      </c>
      <c r="AE276">
        <v>80</v>
      </c>
      <c r="AF276">
        <v>0</v>
      </c>
      <c r="AG276">
        <v>6</v>
      </c>
      <c r="AH276">
        <v>4</v>
      </c>
      <c r="AI276">
        <v>3</v>
      </c>
      <c r="AJ276">
        <v>3</v>
      </c>
      <c r="AK276">
        <v>2</v>
      </c>
      <c r="AL276">
        <v>1</v>
      </c>
    </row>
    <row r="277" spans="1:38" x14ac:dyDescent="0.3">
      <c r="A277" t="s">
        <v>343</v>
      </c>
      <c r="B277">
        <v>29</v>
      </c>
      <c r="C277" t="s">
        <v>189</v>
      </c>
      <c r="D277" t="s">
        <v>48</v>
      </c>
      <c r="E277">
        <f t="shared" si="4"/>
        <v>0</v>
      </c>
      <c r="F277" t="s">
        <v>40</v>
      </c>
      <c r="G277">
        <v>986</v>
      </c>
      <c r="H277" t="s">
        <v>41</v>
      </c>
      <c r="I277">
        <v>3</v>
      </c>
      <c r="J277">
        <v>4</v>
      </c>
      <c r="K277" t="s">
        <v>51</v>
      </c>
      <c r="L277">
        <v>1</v>
      </c>
      <c r="M277">
        <v>564</v>
      </c>
      <c r="N277">
        <v>2</v>
      </c>
      <c r="O277" t="s">
        <v>43</v>
      </c>
      <c r="P277">
        <v>93</v>
      </c>
      <c r="Q277">
        <v>2</v>
      </c>
      <c r="R277">
        <v>3</v>
      </c>
      <c r="S277" t="s">
        <v>251</v>
      </c>
      <c r="T277">
        <v>3</v>
      </c>
      <c r="U277" t="s">
        <v>104</v>
      </c>
      <c r="V277">
        <v>11935</v>
      </c>
      <c r="W277" t="s">
        <v>252</v>
      </c>
      <c r="X277">
        <v>21526</v>
      </c>
      <c r="Y277">
        <v>1</v>
      </c>
      <c r="Z277" t="s">
        <v>47</v>
      </c>
      <c r="AA277" t="s">
        <v>48</v>
      </c>
      <c r="AB277">
        <v>18</v>
      </c>
      <c r="AC277">
        <v>3</v>
      </c>
      <c r="AD277">
        <v>3</v>
      </c>
      <c r="AE277">
        <v>80</v>
      </c>
      <c r="AF277">
        <v>0</v>
      </c>
      <c r="AG277">
        <v>10</v>
      </c>
      <c r="AH277">
        <v>2</v>
      </c>
      <c r="AI277">
        <v>3</v>
      </c>
      <c r="AJ277">
        <v>10</v>
      </c>
      <c r="AK277">
        <v>2</v>
      </c>
      <c r="AL277">
        <v>0</v>
      </c>
    </row>
    <row r="278" spans="1:38" x14ac:dyDescent="0.3">
      <c r="A278" t="s">
        <v>344</v>
      </c>
      <c r="B278">
        <v>29</v>
      </c>
      <c r="C278" t="s">
        <v>189</v>
      </c>
      <c r="D278" t="s">
        <v>39</v>
      </c>
      <c r="E278">
        <f t="shared" si="4"/>
        <v>1</v>
      </c>
      <c r="F278" t="s">
        <v>40</v>
      </c>
      <c r="G278">
        <v>408</v>
      </c>
      <c r="H278" t="s">
        <v>41</v>
      </c>
      <c r="I278">
        <v>25</v>
      </c>
      <c r="J278">
        <v>5</v>
      </c>
      <c r="K278" t="s">
        <v>67</v>
      </c>
      <c r="L278">
        <v>1</v>
      </c>
      <c r="M278">
        <v>565</v>
      </c>
      <c r="N278">
        <v>3</v>
      </c>
      <c r="O278" t="s">
        <v>52</v>
      </c>
      <c r="P278">
        <v>71</v>
      </c>
      <c r="Q278">
        <v>2</v>
      </c>
      <c r="R278">
        <v>1</v>
      </c>
      <c r="S278" t="s">
        <v>59</v>
      </c>
      <c r="T278">
        <v>2</v>
      </c>
      <c r="U278" t="s">
        <v>104</v>
      </c>
      <c r="V278">
        <v>2546</v>
      </c>
      <c r="W278" t="s">
        <v>46</v>
      </c>
      <c r="X278">
        <v>18300</v>
      </c>
      <c r="Y278">
        <v>5</v>
      </c>
      <c r="Z278" t="s">
        <v>47</v>
      </c>
      <c r="AA278" t="s">
        <v>48</v>
      </c>
      <c r="AB278">
        <v>16</v>
      </c>
      <c r="AC278">
        <v>3</v>
      </c>
      <c r="AD278">
        <v>2</v>
      </c>
      <c r="AE278">
        <v>80</v>
      </c>
      <c r="AF278">
        <v>0</v>
      </c>
      <c r="AG278">
        <v>6</v>
      </c>
      <c r="AH278">
        <v>2</v>
      </c>
      <c r="AI278">
        <v>4</v>
      </c>
      <c r="AJ278">
        <v>2</v>
      </c>
      <c r="AK278">
        <v>2</v>
      </c>
      <c r="AL278">
        <v>1</v>
      </c>
    </row>
    <row r="279" spans="1:38" x14ac:dyDescent="0.3">
      <c r="A279" t="s">
        <v>345</v>
      </c>
      <c r="B279">
        <v>29</v>
      </c>
      <c r="C279" t="s">
        <v>189</v>
      </c>
      <c r="D279" t="s">
        <v>48</v>
      </c>
      <c r="E279">
        <f t="shared" si="4"/>
        <v>0</v>
      </c>
      <c r="F279" t="s">
        <v>40</v>
      </c>
      <c r="G279">
        <v>232</v>
      </c>
      <c r="H279" t="s">
        <v>41</v>
      </c>
      <c r="I279">
        <v>19</v>
      </c>
      <c r="J279">
        <v>3</v>
      </c>
      <c r="K279" t="s">
        <v>67</v>
      </c>
      <c r="L279">
        <v>1</v>
      </c>
      <c r="M279">
        <v>611</v>
      </c>
      <c r="N279">
        <v>4</v>
      </c>
      <c r="O279" t="s">
        <v>43</v>
      </c>
      <c r="P279">
        <v>34</v>
      </c>
      <c r="Q279">
        <v>3</v>
      </c>
      <c r="R279">
        <v>2</v>
      </c>
      <c r="S279" t="s">
        <v>111</v>
      </c>
      <c r="T279">
        <v>4</v>
      </c>
      <c r="U279" t="s">
        <v>101</v>
      </c>
      <c r="V279">
        <v>4262</v>
      </c>
      <c r="W279" t="s">
        <v>46</v>
      </c>
      <c r="X279">
        <v>22645</v>
      </c>
      <c r="Y279">
        <v>4</v>
      </c>
      <c r="Z279" t="s">
        <v>47</v>
      </c>
      <c r="AA279" t="s">
        <v>48</v>
      </c>
      <c r="AB279">
        <v>12</v>
      </c>
      <c r="AC279">
        <v>3</v>
      </c>
      <c r="AD279">
        <v>2</v>
      </c>
      <c r="AE279">
        <v>80</v>
      </c>
      <c r="AF279">
        <v>2</v>
      </c>
      <c r="AG279">
        <v>8</v>
      </c>
      <c r="AH279">
        <v>2</v>
      </c>
      <c r="AI279">
        <v>4</v>
      </c>
      <c r="AJ279">
        <v>3</v>
      </c>
      <c r="AK279">
        <v>2</v>
      </c>
      <c r="AL279">
        <v>1</v>
      </c>
    </row>
    <row r="280" spans="1:38" x14ac:dyDescent="0.3">
      <c r="A280" t="s">
        <v>346</v>
      </c>
      <c r="B280">
        <v>29</v>
      </c>
      <c r="C280" t="s">
        <v>189</v>
      </c>
      <c r="D280" t="s">
        <v>48</v>
      </c>
      <c r="E280">
        <f t="shared" si="4"/>
        <v>0</v>
      </c>
      <c r="F280" t="s">
        <v>40</v>
      </c>
      <c r="G280">
        <v>1176</v>
      </c>
      <c r="H280" t="s">
        <v>50</v>
      </c>
      <c r="I280">
        <v>3</v>
      </c>
      <c r="J280">
        <v>2</v>
      </c>
      <c r="K280" t="s">
        <v>51</v>
      </c>
      <c r="L280">
        <v>1</v>
      </c>
      <c r="M280">
        <v>690</v>
      </c>
      <c r="N280">
        <v>2</v>
      </c>
      <c r="O280" t="s">
        <v>52</v>
      </c>
      <c r="P280">
        <v>62</v>
      </c>
      <c r="Q280">
        <v>3</v>
      </c>
      <c r="R280">
        <v>2</v>
      </c>
      <c r="S280" t="s">
        <v>136</v>
      </c>
      <c r="T280">
        <v>3</v>
      </c>
      <c r="U280" t="s">
        <v>104</v>
      </c>
      <c r="V280">
        <v>5561</v>
      </c>
      <c r="W280" t="s">
        <v>162</v>
      </c>
      <c r="X280">
        <v>3487</v>
      </c>
      <c r="Y280">
        <v>1</v>
      </c>
      <c r="Z280" t="s">
        <v>47</v>
      </c>
      <c r="AA280" t="s">
        <v>48</v>
      </c>
      <c r="AB280">
        <v>14</v>
      </c>
      <c r="AC280">
        <v>3</v>
      </c>
      <c r="AD280">
        <v>1</v>
      </c>
      <c r="AE280">
        <v>80</v>
      </c>
      <c r="AF280">
        <v>1</v>
      </c>
      <c r="AG280">
        <v>6</v>
      </c>
      <c r="AH280">
        <v>5</v>
      </c>
      <c r="AI280">
        <v>2</v>
      </c>
      <c r="AJ280">
        <v>6</v>
      </c>
      <c r="AK280">
        <v>0</v>
      </c>
      <c r="AL280">
        <v>1</v>
      </c>
    </row>
    <row r="281" spans="1:38" x14ac:dyDescent="0.3">
      <c r="A281" t="s">
        <v>347</v>
      </c>
      <c r="B281">
        <v>29</v>
      </c>
      <c r="C281" t="s">
        <v>189</v>
      </c>
      <c r="D281" t="s">
        <v>48</v>
      </c>
      <c r="E281">
        <f t="shared" si="4"/>
        <v>0</v>
      </c>
      <c r="F281" t="s">
        <v>55</v>
      </c>
      <c r="G281">
        <v>806</v>
      </c>
      <c r="H281" t="s">
        <v>41</v>
      </c>
      <c r="I281">
        <v>1</v>
      </c>
      <c r="J281">
        <v>4</v>
      </c>
      <c r="K281" t="s">
        <v>42</v>
      </c>
      <c r="L281">
        <v>1</v>
      </c>
      <c r="M281">
        <v>710</v>
      </c>
      <c r="N281">
        <v>2</v>
      </c>
      <c r="O281" t="s">
        <v>43</v>
      </c>
      <c r="P281">
        <v>76</v>
      </c>
      <c r="Q281">
        <v>1</v>
      </c>
      <c r="R281">
        <v>1</v>
      </c>
      <c r="S281" t="s">
        <v>59</v>
      </c>
      <c r="T281">
        <v>4</v>
      </c>
      <c r="U281" t="s">
        <v>101</v>
      </c>
      <c r="V281">
        <v>2720</v>
      </c>
      <c r="W281" t="s">
        <v>46</v>
      </c>
      <c r="X281">
        <v>18959</v>
      </c>
      <c r="Y281">
        <v>1</v>
      </c>
      <c r="Z281" t="s">
        <v>47</v>
      </c>
      <c r="AA281" t="s">
        <v>48</v>
      </c>
      <c r="AB281">
        <v>18</v>
      </c>
      <c r="AC281">
        <v>3</v>
      </c>
      <c r="AD281">
        <v>4</v>
      </c>
      <c r="AE281">
        <v>80</v>
      </c>
      <c r="AF281">
        <v>1</v>
      </c>
      <c r="AG281">
        <v>10</v>
      </c>
      <c r="AH281">
        <v>5</v>
      </c>
      <c r="AI281">
        <v>3</v>
      </c>
      <c r="AJ281">
        <v>10</v>
      </c>
      <c r="AK281">
        <v>7</v>
      </c>
      <c r="AL281">
        <v>2</v>
      </c>
    </row>
    <row r="282" spans="1:38" x14ac:dyDescent="0.3">
      <c r="A282" t="s">
        <v>348</v>
      </c>
      <c r="B282">
        <v>29</v>
      </c>
      <c r="C282" t="s">
        <v>189</v>
      </c>
      <c r="D282" t="s">
        <v>48</v>
      </c>
      <c r="E282">
        <f t="shared" si="4"/>
        <v>0</v>
      </c>
      <c r="F282" t="s">
        <v>40</v>
      </c>
      <c r="G282">
        <v>1396</v>
      </c>
      <c r="H282" t="s">
        <v>50</v>
      </c>
      <c r="I282">
        <v>10</v>
      </c>
      <c r="J282">
        <v>3</v>
      </c>
      <c r="K282" t="s">
        <v>42</v>
      </c>
      <c r="L282">
        <v>1</v>
      </c>
      <c r="M282">
        <v>749</v>
      </c>
      <c r="N282">
        <v>3</v>
      </c>
      <c r="O282" t="s">
        <v>43</v>
      </c>
      <c r="P282">
        <v>99</v>
      </c>
      <c r="Q282">
        <v>3</v>
      </c>
      <c r="R282">
        <v>1</v>
      </c>
      <c r="S282" t="s">
        <v>53</v>
      </c>
      <c r="T282">
        <v>3</v>
      </c>
      <c r="U282" t="s">
        <v>45</v>
      </c>
      <c r="V282">
        <v>2642</v>
      </c>
      <c r="W282" t="s">
        <v>46</v>
      </c>
      <c r="X282">
        <v>2755</v>
      </c>
      <c r="Y282">
        <v>1</v>
      </c>
      <c r="Z282" t="s">
        <v>47</v>
      </c>
      <c r="AA282" t="s">
        <v>48</v>
      </c>
      <c r="AB282">
        <v>11</v>
      </c>
      <c r="AC282">
        <v>3</v>
      </c>
      <c r="AD282">
        <v>3</v>
      </c>
      <c r="AE282">
        <v>80</v>
      </c>
      <c r="AF282">
        <v>0</v>
      </c>
      <c r="AG282">
        <v>1</v>
      </c>
      <c r="AH282">
        <v>6</v>
      </c>
      <c r="AI282">
        <v>3</v>
      </c>
      <c r="AJ282">
        <v>1</v>
      </c>
      <c r="AK282">
        <v>0</v>
      </c>
      <c r="AL282">
        <v>0</v>
      </c>
    </row>
    <row r="283" spans="1:38" x14ac:dyDescent="0.3">
      <c r="A283" t="s">
        <v>349</v>
      </c>
      <c r="B283">
        <v>29</v>
      </c>
      <c r="C283" t="s">
        <v>189</v>
      </c>
      <c r="D283" t="s">
        <v>48</v>
      </c>
      <c r="E283">
        <f t="shared" si="4"/>
        <v>0</v>
      </c>
      <c r="F283" t="s">
        <v>40</v>
      </c>
      <c r="G283">
        <v>1090</v>
      </c>
      <c r="H283" t="s">
        <v>50</v>
      </c>
      <c r="I283">
        <v>10</v>
      </c>
      <c r="J283">
        <v>3</v>
      </c>
      <c r="K283" t="s">
        <v>56</v>
      </c>
      <c r="L283">
        <v>1</v>
      </c>
      <c r="M283">
        <v>766</v>
      </c>
      <c r="N283">
        <v>4</v>
      </c>
      <c r="O283" t="s">
        <v>43</v>
      </c>
      <c r="P283">
        <v>83</v>
      </c>
      <c r="Q283">
        <v>3</v>
      </c>
      <c r="R283">
        <v>1</v>
      </c>
      <c r="S283" t="s">
        <v>53</v>
      </c>
      <c r="T283">
        <v>2</v>
      </c>
      <c r="U283" t="s">
        <v>101</v>
      </c>
      <c r="V283">
        <v>2297</v>
      </c>
      <c r="W283" t="s">
        <v>46</v>
      </c>
      <c r="X283">
        <v>17967</v>
      </c>
      <c r="Y283">
        <v>1</v>
      </c>
      <c r="Z283" t="s">
        <v>47</v>
      </c>
      <c r="AA283" t="s">
        <v>48</v>
      </c>
      <c r="AB283">
        <v>14</v>
      </c>
      <c r="AC283">
        <v>3</v>
      </c>
      <c r="AD283">
        <v>4</v>
      </c>
      <c r="AE283">
        <v>80</v>
      </c>
      <c r="AF283">
        <v>2</v>
      </c>
      <c r="AG283">
        <v>2</v>
      </c>
      <c r="AH283">
        <v>2</v>
      </c>
      <c r="AI283">
        <v>3</v>
      </c>
      <c r="AJ283">
        <v>2</v>
      </c>
      <c r="AK283">
        <v>2</v>
      </c>
      <c r="AL283">
        <v>2</v>
      </c>
    </row>
    <row r="284" spans="1:38" x14ac:dyDescent="0.3">
      <c r="A284" t="s">
        <v>350</v>
      </c>
      <c r="B284">
        <v>29</v>
      </c>
      <c r="C284" t="s">
        <v>189</v>
      </c>
      <c r="D284" t="s">
        <v>48</v>
      </c>
      <c r="E284">
        <f t="shared" si="4"/>
        <v>0</v>
      </c>
      <c r="F284" t="s">
        <v>40</v>
      </c>
      <c r="G284">
        <v>657</v>
      </c>
      <c r="H284" t="s">
        <v>41</v>
      </c>
      <c r="I284">
        <v>27</v>
      </c>
      <c r="J284">
        <v>3</v>
      </c>
      <c r="K284" t="s">
        <v>51</v>
      </c>
      <c r="L284">
        <v>1</v>
      </c>
      <c r="M284">
        <v>793</v>
      </c>
      <c r="N284">
        <v>2</v>
      </c>
      <c r="O284" t="s">
        <v>52</v>
      </c>
      <c r="P284">
        <v>66</v>
      </c>
      <c r="Q284">
        <v>3</v>
      </c>
      <c r="R284">
        <v>2</v>
      </c>
      <c r="S284" t="s">
        <v>160</v>
      </c>
      <c r="T284">
        <v>3</v>
      </c>
      <c r="U284" t="s">
        <v>104</v>
      </c>
      <c r="V284">
        <v>4335</v>
      </c>
      <c r="W284" t="s">
        <v>46</v>
      </c>
      <c r="X284">
        <v>25549</v>
      </c>
      <c r="Y284">
        <v>4</v>
      </c>
      <c r="Z284" t="s">
        <v>47</v>
      </c>
      <c r="AA284" t="s">
        <v>48</v>
      </c>
      <c r="AB284">
        <v>12</v>
      </c>
      <c r="AC284">
        <v>3</v>
      </c>
      <c r="AD284">
        <v>1</v>
      </c>
      <c r="AE284">
        <v>80</v>
      </c>
      <c r="AF284">
        <v>1</v>
      </c>
      <c r="AG284">
        <v>11</v>
      </c>
      <c r="AH284">
        <v>3</v>
      </c>
      <c r="AI284">
        <v>2</v>
      </c>
      <c r="AJ284">
        <v>8</v>
      </c>
      <c r="AK284">
        <v>7</v>
      </c>
      <c r="AL284">
        <v>1</v>
      </c>
    </row>
    <row r="285" spans="1:38" x14ac:dyDescent="0.3">
      <c r="A285" t="s">
        <v>351</v>
      </c>
      <c r="B285">
        <v>29</v>
      </c>
      <c r="C285" t="s">
        <v>189</v>
      </c>
      <c r="D285" t="s">
        <v>39</v>
      </c>
      <c r="E285">
        <f t="shared" si="4"/>
        <v>1</v>
      </c>
      <c r="F285" t="s">
        <v>40</v>
      </c>
      <c r="G285">
        <v>805</v>
      </c>
      <c r="H285" t="s">
        <v>41</v>
      </c>
      <c r="I285">
        <v>1</v>
      </c>
      <c r="J285">
        <v>2</v>
      </c>
      <c r="K285" t="s">
        <v>42</v>
      </c>
      <c r="L285">
        <v>1</v>
      </c>
      <c r="M285">
        <v>816</v>
      </c>
      <c r="N285">
        <v>2</v>
      </c>
      <c r="O285" t="s">
        <v>52</v>
      </c>
      <c r="P285">
        <v>36</v>
      </c>
      <c r="Q285">
        <v>2</v>
      </c>
      <c r="R285">
        <v>1</v>
      </c>
      <c r="S285" t="s">
        <v>44</v>
      </c>
      <c r="T285">
        <v>1</v>
      </c>
      <c r="U285" t="s">
        <v>104</v>
      </c>
      <c r="V285">
        <v>2319</v>
      </c>
      <c r="W285" t="s">
        <v>46</v>
      </c>
      <c r="X285">
        <v>6689</v>
      </c>
      <c r="Y285">
        <v>1</v>
      </c>
      <c r="Z285" t="s">
        <v>47</v>
      </c>
      <c r="AA285" t="s">
        <v>39</v>
      </c>
      <c r="AB285">
        <v>11</v>
      </c>
      <c r="AC285">
        <v>3</v>
      </c>
      <c r="AD285">
        <v>4</v>
      </c>
      <c r="AE285">
        <v>80</v>
      </c>
      <c r="AF285">
        <v>1</v>
      </c>
      <c r="AG285">
        <v>1</v>
      </c>
      <c r="AH285">
        <v>1</v>
      </c>
      <c r="AI285">
        <v>3</v>
      </c>
      <c r="AJ285">
        <v>1</v>
      </c>
      <c r="AK285">
        <v>0</v>
      </c>
      <c r="AL285">
        <v>0</v>
      </c>
    </row>
    <row r="286" spans="1:38" x14ac:dyDescent="0.3">
      <c r="A286" t="s">
        <v>352</v>
      </c>
      <c r="B286">
        <v>29</v>
      </c>
      <c r="C286" t="s">
        <v>189</v>
      </c>
      <c r="D286" t="s">
        <v>48</v>
      </c>
      <c r="E286">
        <f t="shared" si="4"/>
        <v>0</v>
      </c>
      <c r="F286" t="s">
        <v>40</v>
      </c>
      <c r="G286">
        <v>1252</v>
      </c>
      <c r="H286" t="s">
        <v>41</v>
      </c>
      <c r="I286">
        <v>23</v>
      </c>
      <c r="J286">
        <v>2</v>
      </c>
      <c r="K286" t="s">
        <v>42</v>
      </c>
      <c r="L286">
        <v>1</v>
      </c>
      <c r="M286">
        <v>824</v>
      </c>
      <c r="N286">
        <v>3</v>
      </c>
      <c r="O286" t="s">
        <v>43</v>
      </c>
      <c r="P286">
        <v>81</v>
      </c>
      <c r="Q286">
        <v>4</v>
      </c>
      <c r="R286">
        <v>1</v>
      </c>
      <c r="S286" t="s">
        <v>59</v>
      </c>
      <c r="T286">
        <v>3</v>
      </c>
      <c r="U286" t="s">
        <v>104</v>
      </c>
      <c r="V286">
        <v>2700</v>
      </c>
      <c r="W286" t="s">
        <v>46</v>
      </c>
      <c r="X286">
        <v>23779</v>
      </c>
      <c r="Y286">
        <v>1</v>
      </c>
      <c r="Z286" t="s">
        <v>47</v>
      </c>
      <c r="AA286" t="s">
        <v>48</v>
      </c>
      <c r="AB286">
        <v>24</v>
      </c>
      <c r="AC286">
        <v>4</v>
      </c>
      <c r="AD286">
        <v>3</v>
      </c>
      <c r="AE286">
        <v>80</v>
      </c>
      <c r="AF286">
        <v>1</v>
      </c>
      <c r="AG286">
        <v>10</v>
      </c>
      <c r="AH286">
        <v>3</v>
      </c>
      <c r="AI286">
        <v>3</v>
      </c>
      <c r="AJ286">
        <v>10</v>
      </c>
      <c r="AK286">
        <v>7</v>
      </c>
      <c r="AL286">
        <v>0</v>
      </c>
    </row>
    <row r="287" spans="1:38" x14ac:dyDescent="0.3">
      <c r="A287" t="s">
        <v>353</v>
      </c>
      <c r="B287">
        <v>29</v>
      </c>
      <c r="C287" t="s">
        <v>189</v>
      </c>
      <c r="D287" t="s">
        <v>39</v>
      </c>
      <c r="E287">
        <f t="shared" si="4"/>
        <v>1</v>
      </c>
      <c r="F287" t="s">
        <v>40</v>
      </c>
      <c r="G287">
        <v>341</v>
      </c>
      <c r="H287" t="s">
        <v>50</v>
      </c>
      <c r="I287">
        <v>1</v>
      </c>
      <c r="J287">
        <v>3</v>
      </c>
      <c r="K287" t="s">
        <v>51</v>
      </c>
      <c r="L287">
        <v>1</v>
      </c>
      <c r="M287">
        <v>896</v>
      </c>
      <c r="N287">
        <v>2</v>
      </c>
      <c r="O287" t="s">
        <v>52</v>
      </c>
      <c r="P287">
        <v>48</v>
      </c>
      <c r="Q287">
        <v>2</v>
      </c>
      <c r="R287">
        <v>1</v>
      </c>
      <c r="S287" t="s">
        <v>53</v>
      </c>
      <c r="T287">
        <v>3</v>
      </c>
      <c r="U287" t="s">
        <v>101</v>
      </c>
      <c r="V287">
        <v>2800</v>
      </c>
      <c r="W287" t="s">
        <v>46</v>
      </c>
      <c r="X287">
        <v>23522</v>
      </c>
      <c r="Y287">
        <v>6</v>
      </c>
      <c r="Z287" t="s">
        <v>47</v>
      </c>
      <c r="AA287" t="s">
        <v>39</v>
      </c>
      <c r="AB287">
        <v>19</v>
      </c>
      <c r="AC287">
        <v>3</v>
      </c>
      <c r="AD287">
        <v>3</v>
      </c>
      <c r="AE287">
        <v>80</v>
      </c>
      <c r="AF287">
        <v>3</v>
      </c>
      <c r="AG287">
        <v>5</v>
      </c>
      <c r="AH287">
        <v>3</v>
      </c>
      <c r="AI287">
        <v>3</v>
      </c>
      <c r="AJ287">
        <v>3</v>
      </c>
      <c r="AK287">
        <v>2</v>
      </c>
      <c r="AL287">
        <v>0</v>
      </c>
    </row>
    <row r="288" spans="1:38" x14ac:dyDescent="0.3">
      <c r="A288" t="s">
        <v>354</v>
      </c>
      <c r="B288">
        <v>29</v>
      </c>
      <c r="C288" t="s">
        <v>189</v>
      </c>
      <c r="D288" t="s">
        <v>48</v>
      </c>
      <c r="E288">
        <f t="shared" si="4"/>
        <v>0</v>
      </c>
      <c r="F288" t="s">
        <v>40</v>
      </c>
      <c r="G288">
        <v>1086</v>
      </c>
      <c r="H288" t="s">
        <v>41</v>
      </c>
      <c r="I288">
        <v>7</v>
      </c>
      <c r="J288">
        <v>1</v>
      </c>
      <c r="K288" t="s">
        <v>51</v>
      </c>
      <c r="L288">
        <v>1</v>
      </c>
      <c r="M288">
        <v>912</v>
      </c>
      <c r="N288">
        <v>1</v>
      </c>
      <c r="O288" t="s">
        <v>52</v>
      </c>
      <c r="P288">
        <v>62</v>
      </c>
      <c r="Q288">
        <v>2</v>
      </c>
      <c r="R288">
        <v>1</v>
      </c>
      <c r="S288" t="s">
        <v>44</v>
      </c>
      <c r="T288">
        <v>4</v>
      </c>
      <c r="U288" t="s">
        <v>101</v>
      </c>
      <c r="V288">
        <v>2532</v>
      </c>
      <c r="W288" t="s">
        <v>46</v>
      </c>
      <c r="X288">
        <v>6054</v>
      </c>
      <c r="Y288">
        <v>6</v>
      </c>
      <c r="Z288" t="s">
        <v>47</v>
      </c>
      <c r="AA288" t="s">
        <v>48</v>
      </c>
      <c r="AB288">
        <v>14</v>
      </c>
      <c r="AC288">
        <v>3</v>
      </c>
      <c r="AD288">
        <v>3</v>
      </c>
      <c r="AE288">
        <v>80</v>
      </c>
      <c r="AF288">
        <v>3</v>
      </c>
      <c r="AG288">
        <v>8</v>
      </c>
      <c r="AH288">
        <v>5</v>
      </c>
      <c r="AI288">
        <v>3</v>
      </c>
      <c r="AJ288">
        <v>4</v>
      </c>
      <c r="AK288">
        <v>3</v>
      </c>
      <c r="AL288">
        <v>0</v>
      </c>
    </row>
    <row r="289" spans="1:38" x14ac:dyDescent="0.3">
      <c r="A289" t="s">
        <v>355</v>
      </c>
      <c r="B289">
        <v>29</v>
      </c>
      <c r="C289" t="s">
        <v>189</v>
      </c>
      <c r="D289" t="s">
        <v>48</v>
      </c>
      <c r="E289">
        <f t="shared" si="4"/>
        <v>0</v>
      </c>
      <c r="F289" t="s">
        <v>55</v>
      </c>
      <c r="G289">
        <v>1404</v>
      </c>
      <c r="H289" t="s">
        <v>50</v>
      </c>
      <c r="I289">
        <v>20</v>
      </c>
      <c r="J289">
        <v>3</v>
      </c>
      <c r="K289" t="s">
        <v>67</v>
      </c>
      <c r="L289">
        <v>1</v>
      </c>
      <c r="M289">
        <v>974</v>
      </c>
      <c r="N289">
        <v>3</v>
      </c>
      <c r="O289" t="s">
        <v>52</v>
      </c>
      <c r="P289">
        <v>84</v>
      </c>
      <c r="Q289">
        <v>3</v>
      </c>
      <c r="R289">
        <v>1</v>
      </c>
      <c r="S289" t="s">
        <v>53</v>
      </c>
      <c r="T289">
        <v>4</v>
      </c>
      <c r="U289" t="s">
        <v>104</v>
      </c>
      <c r="V289">
        <v>2157</v>
      </c>
      <c r="W289" t="s">
        <v>46</v>
      </c>
      <c r="X289">
        <v>18203</v>
      </c>
      <c r="Y289">
        <v>1</v>
      </c>
      <c r="Z289" t="s">
        <v>47</v>
      </c>
      <c r="AA289" t="s">
        <v>48</v>
      </c>
      <c r="AB289">
        <v>15</v>
      </c>
      <c r="AC289">
        <v>3</v>
      </c>
      <c r="AD289">
        <v>2</v>
      </c>
      <c r="AE289">
        <v>80</v>
      </c>
      <c r="AF289">
        <v>1</v>
      </c>
      <c r="AG289">
        <v>3</v>
      </c>
      <c r="AH289">
        <v>5</v>
      </c>
      <c r="AI289">
        <v>3</v>
      </c>
      <c r="AJ289">
        <v>3</v>
      </c>
      <c r="AK289">
        <v>1</v>
      </c>
      <c r="AL289">
        <v>0</v>
      </c>
    </row>
    <row r="290" spans="1:38" x14ac:dyDescent="0.3">
      <c r="A290" t="s">
        <v>356</v>
      </c>
      <c r="B290">
        <v>29</v>
      </c>
      <c r="C290" t="s">
        <v>189</v>
      </c>
      <c r="D290" t="s">
        <v>39</v>
      </c>
      <c r="E290">
        <f t="shared" si="4"/>
        <v>1</v>
      </c>
      <c r="F290" t="s">
        <v>40</v>
      </c>
      <c r="G290">
        <v>906</v>
      </c>
      <c r="H290" t="s">
        <v>41</v>
      </c>
      <c r="I290">
        <v>10</v>
      </c>
      <c r="J290">
        <v>3</v>
      </c>
      <c r="K290" t="s">
        <v>42</v>
      </c>
      <c r="L290">
        <v>1</v>
      </c>
      <c r="M290">
        <v>994</v>
      </c>
      <c r="N290">
        <v>4</v>
      </c>
      <c r="O290" t="s">
        <v>52</v>
      </c>
      <c r="P290">
        <v>92</v>
      </c>
      <c r="Q290">
        <v>2</v>
      </c>
      <c r="R290">
        <v>1</v>
      </c>
      <c r="S290" t="s">
        <v>59</v>
      </c>
      <c r="T290">
        <v>1</v>
      </c>
      <c r="U290" t="s">
        <v>45</v>
      </c>
      <c r="V290">
        <v>2404</v>
      </c>
      <c r="W290" t="s">
        <v>46</v>
      </c>
      <c r="X290">
        <v>11479</v>
      </c>
      <c r="Y290">
        <v>6</v>
      </c>
      <c r="Z290" t="s">
        <v>47</v>
      </c>
      <c r="AA290" t="s">
        <v>39</v>
      </c>
      <c r="AB290">
        <v>20</v>
      </c>
      <c r="AC290">
        <v>4</v>
      </c>
      <c r="AD290">
        <v>3</v>
      </c>
      <c r="AE290">
        <v>80</v>
      </c>
      <c r="AF290">
        <v>0</v>
      </c>
      <c r="AG290">
        <v>3</v>
      </c>
      <c r="AH290">
        <v>5</v>
      </c>
      <c r="AI290">
        <v>3</v>
      </c>
      <c r="AJ290">
        <v>0</v>
      </c>
      <c r="AK290">
        <v>0</v>
      </c>
      <c r="AL290">
        <v>0</v>
      </c>
    </row>
    <row r="291" spans="1:38" x14ac:dyDescent="0.3">
      <c r="A291" t="s">
        <v>357</v>
      </c>
      <c r="B291">
        <v>29</v>
      </c>
      <c r="C291" t="s">
        <v>189</v>
      </c>
      <c r="D291" t="s">
        <v>48</v>
      </c>
      <c r="E291">
        <f t="shared" si="4"/>
        <v>0</v>
      </c>
      <c r="F291" t="s">
        <v>40</v>
      </c>
      <c r="G291">
        <v>1107</v>
      </c>
      <c r="H291" t="s">
        <v>41</v>
      </c>
      <c r="I291">
        <v>28</v>
      </c>
      <c r="J291">
        <v>4</v>
      </c>
      <c r="K291" t="s">
        <v>42</v>
      </c>
      <c r="L291">
        <v>1</v>
      </c>
      <c r="M291">
        <v>1120</v>
      </c>
      <c r="N291">
        <v>3</v>
      </c>
      <c r="O291" t="s">
        <v>52</v>
      </c>
      <c r="P291">
        <v>93</v>
      </c>
      <c r="Q291">
        <v>3</v>
      </c>
      <c r="R291">
        <v>1</v>
      </c>
      <c r="S291" t="s">
        <v>59</v>
      </c>
      <c r="T291">
        <v>4</v>
      </c>
      <c r="U291" t="s">
        <v>101</v>
      </c>
      <c r="V291">
        <v>2514</v>
      </c>
      <c r="W291" t="s">
        <v>46</v>
      </c>
      <c r="X291">
        <v>26968</v>
      </c>
      <c r="Y291">
        <v>4</v>
      </c>
      <c r="Z291" t="s">
        <v>47</v>
      </c>
      <c r="AA291" t="s">
        <v>48</v>
      </c>
      <c r="AB291">
        <v>22</v>
      </c>
      <c r="AC291">
        <v>4</v>
      </c>
      <c r="AD291">
        <v>1</v>
      </c>
      <c r="AE291">
        <v>80</v>
      </c>
      <c r="AF291">
        <v>1</v>
      </c>
      <c r="AG291">
        <v>11</v>
      </c>
      <c r="AH291">
        <v>1</v>
      </c>
      <c r="AI291">
        <v>3</v>
      </c>
      <c r="AJ291">
        <v>7</v>
      </c>
      <c r="AK291">
        <v>5</v>
      </c>
      <c r="AL291">
        <v>1</v>
      </c>
    </row>
    <row r="292" spans="1:38" x14ac:dyDescent="0.3">
      <c r="A292" t="s">
        <v>358</v>
      </c>
      <c r="B292">
        <v>29</v>
      </c>
      <c r="C292" t="s">
        <v>189</v>
      </c>
      <c r="D292" t="s">
        <v>48</v>
      </c>
      <c r="E292">
        <f t="shared" si="4"/>
        <v>0</v>
      </c>
      <c r="F292" t="s">
        <v>55</v>
      </c>
      <c r="G292">
        <v>490</v>
      </c>
      <c r="H292" t="s">
        <v>41</v>
      </c>
      <c r="I292">
        <v>10</v>
      </c>
      <c r="J292">
        <v>3</v>
      </c>
      <c r="K292" t="s">
        <v>42</v>
      </c>
      <c r="L292">
        <v>1</v>
      </c>
      <c r="M292">
        <v>1143</v>
      </c>
      <c r="N292">
        <v>4</v>
      </c>
      <c r="O292" t="s">
        <v>52</v>
      </c>
      <c r="P292">
        <v>61</v>
      </c>
      <c r="Q292">
        <v>3</v>
      </c>
      <c r="R292">
        <v>1</v>
      </c>
      <c r="S292" t="s">
        <v>59</v>
      </c>
      <c r="T292">
        <v>2</v>
      </c>
      <c r="U292" t="s">
        <v>101</v>
      </c>
      <c r="V292">
        <v>3291</v>
      </c>
      <c r="W292" t="s">
        <v>46</v>
      </c>
      <c r="X292">
        <v>17940</v>
      </c>
      <c r="Y292">
        <v>0</v>
      </c>
      <c r="Z292" t="s">
        <v>47</v>
      </c>
      <c r="AA292" t="s">
        <v>48</v>
      </c>
      <c r="AB292">
        <v>14</v>
      </c>
      <c r="AC292">
        <v>3</v>
      </c>
      <c r="AD292">
        <v>4</v>
      </c>
      <c r="AE292">
        <v>80</v>
      </c>
      <c r="AF292">
        <v>2</v>
      </c>
      <c r="AG292">
        <v>8</v>
      </c>
      <c r="AH292">
        <v>2</v>
      </c>
      <c r="AI292">
        <v>2</v>
      </c>
      <c r="AJ292">
        <v>7</v>
      </c>
      <c r="AK292">
        <v>5</v>
      </c>
      <c r="AL292">
        <v>1</v>
      </c>
    </row>
    <row r="293" spans="1:38" x14ac:dyDescent="0.3">
      <c r="A293" t="s">
        <v>359</v>
      </c>
      <c r="B293">
        <v>29</v>
      </c>
      <c r="C293" t="s">
        <v>189</v>
      </c>
      <c r="D293" t="s">
        <v>48</v>
      </c>
      <c r="E293">
        <f t="shared" si="4"/>
        <v>0</v>
      </c>
      <c r="F293" t="s">
        <v>40</v>
      </c>
      <c r="G293">
        <v>718</v>
      </c>
      <c r="H293" t="s">
        <v>41</v>
      </c>
      <c r="I293">
        <v>8</v>
      </c>
      <c r="J293">
        <v>1</v>
      </c>
      <c r="K293" t="s">
        <v>51</v>
      </c>
      <c r="L293">
        <v>1</v>
      </c>
      <c r="M293">
        <v>1150</v>
      </c>
      <c r="N293">
        <v>2</v>
      </c>
      <c r="O293" t="s">
        <v>43</v>
      </c>
      <c r="P293">
        <v>79</v>
      </c>
      <c r="Q293">
        <v>2</v>
      </c>
      <c r="R293">
        <v>2</v>
      </c>
      <c r="S293" t="s">
        <v>111</v>
      </c>
      <c r="T293">
        <v>4</v>
      </c>
      <c r="U293" t="s">
        <v>104</v>
      </c>
      <c r="V293">
        <v>5056</v>
      </c>
      <c r="W293" t="s">
        <v>162</v>
      </c>
      <c r="X293">
        <v>17689</v>
      </c>
      <c r="Y293">
        <v>1</v>
      </c>
      <c r="Z293" t="s">
        <v>47</v>
      </c>
      <c r="AA293" t="s">
        <v>39</v>
      </c>
      <c r="AB293">
        <v>15</v>
      </c>
      <c r="AC293">
        <v>3</v>
      </c>
      <c r="AD293">
        <v>3</v>
      </c>
      <c r="AE293">
        <v>80</v>
      </c>
      <c r="AF293">
        <v>1</v>
      </c>
      <c r="AG293">
        <v>10</v>
      </c>
      <c r="AH293">
        <v>2</v>
      </c>
      <c r="AI293">
        <v>2</v>
      </c>
      <c r="AJ293">
        <v>10</v>
      </c>
      <c r="AK293">
        <v>7</v>
      </c>
      <c r="AL293">
        <v>1</v>
      </c>
    </row>
    <row r="294" spans="1:38" x14ac:dyDescent="0.3">
      <c r="A294" t="s">
        <v>360</v>
      </c>
      <c r="B294">
        <v>29</v>
      </c>
      <c r="C294" t="s">
        <v>189</v>
      </c>
      <c r="D294" t="s">
        <v>39</v>
      </c>
      <c r="E294">
        <f t="shared" si="4"/>
        <v>1</v>
      </c>
      <c r="F294" t="s">
        <v>40</v>
      </c>
      <c r="G294">
        <v>408</v>
      </c>
      <c r="H294" t="s">
        <v>50</v>
      </c>
      <c r="I294">
        <v>23</v>
      </c>
      <c r="J294">
        <v>1</v>
      </c>
      <c r="K294" t="s">
        <v>42</v>
      </c>
      <c r="L294">
        <v>1</v>
      </c>
      <c r="M294">
        <v>1165</v>
      </c>
      <c r="N294">
        <v>4</v>
      </c>
      <c r="O294" t="s">
        <v>52</v>
      </c>
      <c r="P294">
        <v>45</v>
      </c>
      <c r="Q294">
        <v>2</v>
      </c>
      <c r="R294">
        <v>3</v>
      </c>
      <c r="S294" t="s">
        <v>136</v>
      </c>
      <c r="T294">
        <v>1</v>
      </c>
      <c r="U294" t="s">
        <v>104</v>
      </c>
      <c r="V294">
        <v>7336</v>
      </c>
      <c r="W294" t="s">
        <v>162</v>
      </c>
      <c r="X294">
        <v>11162</v>
      </c>
      <c r="Y294">
        <v>1</v>
      </c>
      <c r="Z294" t="s">
        <v>47</v>
      </c>
      <c r="AA294" t="s">
        <v>48</v>
      </c>
      <c r="AB294">
        <v>13</v>
      </c>
      <c r="AC294">
        <v>3</v>
      </c>
      <c r="AD294">
        <v>1</v>
      </c>
      <c r="AE294">
        <v>80</v>
      </c>
      <c r="AF294">
        <v>1</v>
      </c>
      <c r="AG294">
        <v>11</v>
      </c>
      <c r="AH294">
        <v>3</v>
      </c>
      <c r="AI294">
        <v>1</v>
      </c>
      <c r="AJ294">
        <v>11</v>
      </c>
      <c r="AK294">
        <v>8</v>
      </c>
      <c r="AL294">
        <v>3</v>
      </c>
    </row>
    <row r="295" spans="1:38" x14ac:dyDescent="0.3">
      <c r="A295" t="s">
        <v>361</v>
      </c>
      <c r="B295">
        <v>29</v>
      </c>
      <c r="C295" t="s">
        <v>189</v>
      </c>
      <c r="D295" t="s">
        <v>48</v>
      </c>
      <c r="E295">
        <f t="shared" si="4"/>
        <v>0</v>
      </c>
      <c r="F295" t="s">
        <v>40</v>
      </c>
      <c r="G295">
        <v>1401</v>
      </c>
      <c r="H295" t="s">
        <v>41</v>
      </c>
      <c r="I295">
        <v>6</v>
      </c>
      <c r="J295">
        <v>1</v>
      </c>
      <c r="K295" t="s">
        <v>51</v>
      </c>
      <c r="L295">
        <v>1</v>
      </c>
      <c r="M295">
        <v>1192</v>
      </c>
      <c r="N295">
        <v>2</v>
      </c>
      <c r="O295" t="s">
        <v>52</v>
      </c>
      <c r="P295">
        <v>54</v>
      </c>
      <c r="Q295">
        <v>3</v>
      </c>
      <c r="R295">
        <v>1</v>
      </c>
      <c r="S295" t="s">
        <v>44</v>
      </c>
      <c r="T295">
        <v>4</v>
      </c>
      <c r="U295" t="s">
        <v>104</v>
      </c>
      <c r="V295">
        <v>3131</v>
      </c>
      <c r="W295" t="s">
        <v>46</v>
      </c>
      <c r="X295">
        <v>26342</v>
      </c>
      <c r="Y295">
        <v>1</v>
      </c>
      <c r="Z295" t="s">
        <v>47</v>
      </c>
      <c r="AA295" t="s">
        <v>48</v>
      </c>
      <c r="AB295">
        <v>13</v>
      </c>
      <c r="AC295">
        <v>3</v>
      </c>
      <c r="AD295">
        <v>1</v>
      </c>
      <c r="AE295">
        <v>80</v>
      </c>
      <c r="AF295">
        <v>1</v>
      </c>
      <c r="AG295">
        <v>10</v>
      </c>
      <c r="AH295">
        <v>5</v>
      </c>
      <c r="AI295">
        <v>3</v>
      </c>
      <c r="AJ295">
        <v>10</v>
      </c>
      <c r="AK295">
        <v>8</v>
      </c>
      <c r="AL295">
        <v>0</v>
      </c>
    </row>
    <row r="296" spans="1:38" x14ac:dyDescent="0.3">
      <c r="A296" t="s">
        <v>362</v>
      </c>
      <c r="B296">
        <v>29</v>
      </c>
      <c r="C296" t="s">
        <v>189</v>
      </c>
      <c r="D296" t="s">
        <v>48</v>
      </c>
      <c r="E296">
        <f t="shared" si="4"/>
        <v>0</v>
      </c>
      <c r="F296" t="s">
        <v>40</v>
      </c>
      <c r="G296">
        <v>942</v>
      </c>
      <c r="H296" t="s">
        <v>41</v>
      </c>
      <c r="I296">
        <v>15</v>
      </c>
      <c r="J296">
        <v>1</v>
      </c>
      <c r="K296" t="s">
        <v>42</v>
      </c>
      <c r="L296">
        <v>1</v>
      </c>
      <c r="M296">
        <v>1202</v>
      </c>
      <c r="N296">
        <v>2</v>
      </c>
      <c r="O296" t="s">
        <v>52</v>
      </c>
      <c r="P296">
        <v>69</v>
      </c>
      <c r="Q296">
        <v>1</v>
      </c>
      <c r="R296">
        <v>1</v>
      </c>
      <c r="S296" t="s">
        <v>59</v>
      </c>
      <c r="T296">
        <v>4</v>
      </c>
      <c r="U296" t="s">
        <v>104</v>
      </c>
      <c r="V296">
        <v>2168</v>
      </c>
      <c r="W296" t="s">
        <v>46</v>
      </c>
      <c r="X296">
        <v>26933</v>
      </c>
      <c r="Y296">
        <v>0</v>
      </c>
      <c r="Z296" t="s">
        <v>47</v>
      </c>
      <c r="AA296" t="s">
        <v>39</v>
      </c>
      <c r="AB296">
        <v>18</v>
      </c>
      <c r="AC296">
        <v>3</v>
      </c>
      <c r="AD296">
        <v>1</v>
      </c>
      <c r="AE296">
        <v>80</v>
      </c>
      <c r="AF296">
        <v>1</v>
      </c>
      <c r="AG296">
        <v>6</v>
      </c>
      <c r="AH296">
        <v>2</v>
      </c>
      <c r="AI296">
        <v>2</v>
      </c>
      <c r="AJ296">
        <v>5</v>
      </c>
      <c r="AK296">
        <v>4</v>
      </c>
      <c r="AL296">
        <v>1</v>
      </c>
    </row>
    <row r="297" spans="1:38" x14ac:dyDescent="0.3">
      <c r="A297" t="s">
        <v>363</v>
      </c>
      <c r="B297">
        <v>29</v>
      </c>
      <c r="C297" t="s">
        <v>189</v>
      </c>
      <c r="D297" t="s">
        <v>48</v>
      </c>
      <c r="E297">
        <f t="shared" si="4"/>
        <v>0</v>
      </c>
      <c r="F297" t="s">
        <v>40</v>
      </c>
      <c r="G297">
        <v>1010</v>
      </c>
      <c r="H297" t="s">
        <v>41</v>
      </c>
      <c r="I297">
        <v>1</v>
      </c>
      <c r="J297">
        <v>3</v>
      </c>
      <c r="K297" t="s">
        <v>42</v>
      </c>
      <c r="L297">
        <v>1</v>
      </c>
      <c r="M297">
        <v>1249</v>
      </c>
      <c r="N297">
        <v>1</v>
      </c>
      <c r="O297" t="s">
        <v>52</v>
      </c>
      <c r="P297">
        <v>97</v>
      </c>
      <c r="Q297">
        <v>3</v>
      </c>
      <c r="R297">
        <v>1</v>
      </c>
      <c r="S297" t="s">
        <v>59</v>
      </c>
      <c r="T297">
        <v>4</v>
      </c>
      <c r="U297" t="s">
        <v>101</v>
      </c>
      <c r="V297">
        <v>3760</v>
      </c>
      <c r="W297" t="s">
        <v>46</v>
      </c>
      <c r="X297">
        <v>5598</v>
      </c>
      <c r="Y297">
        <v>1</v>
      </c>
      <c r="Z297" t="s">
        <v>47</v>
      </c>
      <c r="AA297" t="s">
        <v>48</v>
      </c>
      <c r="AB297">
        <v>15</v>
      </c>
      <c r="AC297">
        <v>3</v>
      </c>
      <c r="AD297">
        <v>1</v>
      </c>
      <c r="AE297">
        <v>80</v>
      </c>
      <c r="AF297">
        <v>3</v>
      </c>
      <c r="AG297">
        <v>3</v>
      </c>
      <c r="AH297">
        <v>5</v>
      </c>
      <c r="AI297">
        <v>3</v>
      </c>
      <c r="AJ297">
        <v>3</v>
      </c>
      <c r="AK297">
        <v>2</v>
      </c>
      <c r="AL297">
        <v>1</v>
      </c>
    </row>
    <row r="298" spans="1:38" x14ac:dyDescent="0.3">
      <c r="A298" t="s">
        <v>364</v>
      </c>
      <c r="B298">
        <v>29</v>
      </c>
      <c r="C298" t="s">
        <v>189</v>
      </c>
      <c r="D298" t="s">
        <v>48</v>
      </c>
      <c r="E298">
        <f t="shared" si="4"/>
        <v>0</v>
      </c>
      <c r="F298" t="s">
        <v>40</v>
      </c>
      <c r="G298">
        <v>1329</v>
      </c>
      <c r="H298" t="s">
        <v>41</v>
      </c>
      <c r="I298">
        <v>7</v>
      </c>
      <c r="J298">
        <v>3</v>
      </c>
      <c r="K298" t="s">
        <v>42</v>
      </c>
      <c r="L298">
        <v>1</v>
      </c>
      <c r="M298">
        <v>1260</v>
      </c>
      <c r="N298">
        <v>3</v>
      </c>
      <c r="O298" t="s">
        <v>43</v>
      </c>
      <c r="P298">
        <v>82</v>
      </c>
      <c r="Q298">
        <v>3</v>
      </c>
      <c r="R298">
        <v>2</v>
      </c>
      <c r="S298" t="s">
        <v>160</v>
      </c>
      <c r="T298">
        <v>4</v>
      </c>
      <c r="U298" t="s">
        <v>101</v>
      </c>
      <c r="V298">
        <v>6623</v>
      </c>
      <c r="W298" t="s">
        <v>162</v>
      </c>
      <c r="X298">
        <v>4204</v>
      </c>
      <c r="Y298">
        <v>1</v>
      </c>
      <c r="Z298" t="s">
        <v>47</v>
      </c>
      <c r="AA298" t="s">
        <v>39</v>
      </c>
      <c r="AB298">
        <v>11</v>
      </c>
      <c r="AC298">
        <v>3</v>
      </c>
      <c r="AD298">
        <v>2</v>
      </c>
      <c r="AE298">
        <v>80</v>
      </c>
      <c r="AF298">
        <v>2</v>
      </c>
      <c r="AG298">
        <v>6</v>
      </c>
      <c r="AH298">
        <v>2</v>
      </c>
      <c r="AI298">
        <v>3</v>
      </c>
      <c r="AJ298">
        <v>6</v>
      </c>
      <c r="AK298">
        <v>0</v>
      </c>
      <c r="AL298">
        <v>1</v>
      </c>
    </row>
    <row r="299" spans="1:38" x14ac:dyDescent="0.3">
      <c r="A299" t="s">
        <v>365</v>
      </c>
      <c r="B299">
        <v>29</v>
      </c>
      <c r="C299" t="s">
        <v>189</v>
      </c>
      <c r="D299" t="s">
        <v>48</v>
      </c>
      <c r="E299">
        <f t="shared" si="4"/>
        <v>0</v>
      </c>
      <c r="F299" t="s">
        <v>40</v>
      </c>
      <c r="G299">
        <v>694</v>
      </c>
      <c r="H299" t="s">
        <v>41</v>
      </c>
      <c r="I299">
        <v>1</v>
      </c>
      <c r="J299">
        <v>3</v>
      </c>
      <c r="K299" t="s">
        <v>42</v>
      </c>
      <c r="L299">
        <v>1</v>
      </c>
      <c r="M299">
        <v>1264</v>
      </c>
      <c r="N299">
        <v>4</v>
      </c>
      <c r="O299" t="s">
        <v>52</v>
      </c>
      <c r="P299">
        <v>87</v>
      </c>
      <c r="Q299">
        <v>2</v>
      </c>
      <c r="R299">
        <v>4</v>
      </c>
      <c r="S299" t="s">
        <v>251</v>
      </c>
      <c r="T299">
        <v>4</v>
      </c>
      <c r="U299" t="s">
        <v>101</v>
      </c>
      <c r="V299">
        <v>16124</v>
      </c>
      <c r="W299" t="s">
        <v>366</v>
      </c>
      <c r="X299">
        <v>3423</v>
      </c>
      <c r="Y299">
        <v>3</v>
      </c>
      <c r="Z299" t="s">
        <v>47</v>
      </c>
      <c r="AA299" t="s">
        <v>48</v>
      </c>
      <c r="AB299">
        <v>14</v>
      </c>
      <c r="AC299">
        <v>3</v>
      </c>
      <c r="AD299">
        <v>2</v>
      </c>
      <c r="AE299">
        <v>80</v>
      </c>
      <c r="AF299">
        <v>2</v>
      </c>
      <c r="AG299">
        <v>9</v>
      </c>
      <c r="AH299">
        <v>2</v>
      </c>
      <c r="AI299">
        <v>2</v>
      </c>
      <c r="AJ299">
        <v>7</v>
      </c>
      <c r="AK299">
        <v>7</v>
      </c>
      <c r="AL299">
        <v>1</v>
      </c>
    </row>
    <row r="300" spans="1:38" x14ac:dyDescent="0.3">
      <c r="A300" t="s">
        <v>367</v>
      </c>
      <c r="B300">
        <v>29</v>
      </c>
      <c r="C300" t="s">
        <v>189</v>
      </c>
      <c r="D300" t="s">
        <v>39</v>
      </c>
      <c r="E300">
        <f t="shared" si="4"/>
        <v>1</v>
      </c>
      <c r="F300" t="s">
        <v>40</v>
      </c>
      <c r="G300">
        <v>806</v>
      </c>
      <c r="H300" t="s">
        <v>41</v>
      </c>
      <c r="I300">
        <v>7</v>
      </c>
      <c r="J300">
        <v>3</v>
      </c>
      <c r="K300" t="s">
        <v>67</v>
      </c>
      <c r="L300">
        <v>1</v>
      </c>
      <c r="M300">
        <v>1299</v>
      </c>
      <c r="N300">
        <v>2</v>
      </c>
      <c r="O300" t="s">
        <v>52</v>
      </c>
      <c r="P300">
        <v>39</v>
      </c>
      <c r="Q300">
        <v>3</v>
      </c>
      <c r="R300">
        <v>1</v>
      </c>
      <c r="S300" t="s">
        <v>44</v>
      </c>
      <c r="T300">
        <v>3</v>
      </c>
      <c r="U300" t="s">
        <v>101</v>
      </c>
      <c r="V300">
        <v>3339</v>
      </c>
      <c r="W300" t="s">
        <v>46</v>
      </c>
      <c r="X300">
        <v>17285</v>
      </c>
      <c r="Y300">
        <v>3</v>
      </c>
      <c r="Z300" t="s">
        <v>47</v>
      </c>
      <c r="AA300" t="s">
        <v>39</v>
      </c>
      <c r="AB300">
        <v>13</v>
      </c>
      <c r="AC300">
        <v>3</v>
      </c>
      <c r="AD300">
        <v>1</v>
      </c>
      <c r="AE300">
        <v>80</v>
      </c>
      <c r="AF300">
        <v>2</v>
      </c>
      <c r="AG300">
        <v>10</v>
      </c>
      <c r="AH300">
        <v>2</v>
      </c>
      <c r="AI300">
        <v>3</v>
      </c>
      <c r="AJ300">
        <v>7</v>
      </c>
      <c r="AK300">
        <v>7</v>
      </c>
      <c r="AL300">
        <v>7</v>
      </c>
    </row>
    <row r="301" spans="1:38" x14ac:dyDescent="0.3">
      <c r="A301" t="s">
        <v>368</v>
      </c>
      <c r="B301">
        <v>29</v>
      </c>
      <c r="C301" t="s">
        <v>189</v>
      </c>
      <c r="D301" t="s">
        <v>48</v>
      </c>
      <c r="E301">
        <f t="shared" si="4"/>
        <v>0</v>
      </c>
      <c r="F301" t="s">
        <v>40</v>
      </c>
      <c r="G301">
        <v>332</v>
      </c>
      <c r="H301" t="s">
        <v>70</v>
      </c>
      <c r="I301">
        <v>17</v>
      </c>
      <c r="J301">
        <v>3</v>
      </c>
      <c r="K301" t="s">
        <v>72</v>
      </c>
      <c r="L301">
        <v>1</v>
      </c>
      <c r="M301">
        <v>1419</v>
      </c>
      <c r="N301">
        <v>2</v>
      </c>
      <c r="O301" t="s">
        <v>43</v>
      </c>
      <c r="P301">
        <v>51</v>
      </c>
      <c r="Q301">
        <v>2</v>
      </c>
      <c r="R301">
        <v>3</v>
      </c>
      <c r="S301" t="s">
        <v>70</v>
      </c>
      <c r="T301">
        <v>1</v>
      </c>
      <c r="U301" t="s">
        <v>45</v>
      </c>
      <c r="V301">
        <v>7988</v>
      </c>
      <c r="W301" t="s">
        <v>162</v>
      </c>
      <c r="X301">
        <v>9769</v>
      </c>
      <c r="Y301">
        <v>1</v>
      </c>
      <c r="Z301" t="s">
        <v>47</v>
      </c>
      <c r="AA301" t="s">
        <v>48</v>
      </c>
      <c r="AB301">
        <v>13</v>
      </c>
      <c r="AC301">
        <v>3</v>
      </c>
      <c r="AD301">
        <v>1</v>
      </c>
      <c r="AE301">
        <v>80</v>
      </c>
      <c r="AF301">
        <v>0</v>
      </c>
      <c r="AG301">
        <v>10</v>
      </c>
      <c r="AH301">
        <v>3</v>
      </c>
      <c r="AI301">
        <v>2</v>
      </c>
      <c r="AJ301">
        <v>10</v>
      </c>
      <c r="AK301">
        <v>9</v>
      </c>
      <c r="AL301">
        <v>0</v>
      </c>
    </row>
    <row r="302" spans="1:38" x14ac:dyDescent="0.3">
      <c r="A302" t="s">
        <v>369</v>
      </c>
      <c r="B302">
        <v>29</v>
      </c>
      <c r="C302" t="s">
        <v>189</v>
      </c>
      <c r="D302" t="s">
        <v>39</v>
      </c>
      <c r="E302">
        <f t="shared" si="4"/>
        <v>1</v>
      </c>
      <c r="F302" t="s">
        <v>55</v>
      </c>
      <c r="G302">
        <v>337</v>
      </c>
      <c r="H302" t="s">
        <v>41</v>
      </c>
      <c r="I302">
        <v>14</v>
      </c>
      <c r="J302">
        <v>1</v>
      </c>
      <c r="K302" t="s">
        <v>72</v>
      </c>
      <c r="L302">
        <v>1</v>
      </c>
      <c r="M302">
        <v>1421</v>
      </c>
      <c r="N302">
        <v>3</v>
      </c>
      <c r="O302" t="s">
        <v>52</v>
      </c>
      <c r="P302">
        <v>84</v>
      </c>
      <c r="Q302">
        <v>3</v>
      </c>
      <c r="R302">
        <v>3</v>
      </c>
      <c r="S302" t="s">
        <v>160</v>
      </c>
      <c r="T302">
        <v>4</v>
      </c>
      <c r="U302" t="s">
        <v>45</v>
      </c>
      <c r="V302">
        <v>7553</v>
      </c>
      <c r="W302" t="s">
        <v>162</v>
      </c>
      <c r="X302">
        <v>22930</v>
      </c>
      <c r="Y302">
        <v>0</v>
      </c>
      <c r="Z302" t="s">
        <v>47</v>
      </c>
      <c r="AA302" t="s">
        <v>39</v>
      </c>
      <c r="AB302">
        <v>12</v>
      </c>
      <c r="AC302">
        <v>3</v>
      </c>
      <c r="AD302">
        <v>1</v>
      </c>
      <c r="AE302">
        <v>80</v>
      </c>
      <c r="AF302">
        <v>0</v>
      </c>
      <c r="AG302">
        <v>9</v>
      </c>
      <c r="AH302">
        <v>1</v>
      </c>
      <c r="AI302">
        <v>3</v>
      </c>
      <c r="AJ302">
        <v>8</v>
      </c>
      <c r="AK302">
        <v>7</v>
      </c>
      <c r="AL302">
        <v>7</v>
      </c>
    </row>
    <row r="303" spans="1:38" x14ac:dyDescent="0.3">
      <c r="A303" t="s">
        <v>370</v>
      </c>
      <c r="B303">
        <v>29</v>
      </c>
      <c r="C303" t="s">
        <v>189</v>
      </c>
      <c r="D303" t="s">
        <v>39</v>
      </c>
      <c r="E303">
        <f t="shared" si="4"/>
        <v>1</v>
      </c>
      <c r="F303" t="s">
        <v>55</v>
      </c>
      <c r="G303">
        <v>115</v>
      </c>
      <c r="H303" t="s">
        <v>50</v>
      </c>
      <c r="I303">
        <v>13</v>
      </c>
      <c r="J303">
        <v>3</v>
      </c>
      <c r="K303" t="s">
        <v>67</v>
      </c>
      <c r="L303">
        <v>1</v>
      </c>
      <c r="M303">
        <v>1487</v>
      </c>
      <c r="N303">
        <v>1</v>
      </c>
      <c r="O303" t="s">
        <v>52</v>
      </c>
      <c r="P303">
        <v>51</v>
      </c>
      <c r="Q303">
        <v>3</v>
      </c>
      <c r="R303">
        <v>2</v>
      </c>
      <c r="S303" t="s">
        <v>136</v>
      </c>
      <c r="T303">
        <v>2</v>
      </c>
      <c r="U303" t="s">
        <v>45</v>
      </c>
      <c r="V303">
        <v>5765</v>
      </c>
      <c r="W303" t="s">
        <v>162</v>
      </c>
      <c r="X303">
        <v>17485</v>
      </c>
      <c r="Y303">
        <v>5</v>
      </c>
      <c r="Z303" t="s">
        <v>47</v>
      </c>
      <c r="AA303" t="s">
        <v>48</v>
      </c>
      <c r="AB303">
        <v>11</v>
      </c>
      <c r="AC303">
        <v>3</v>
      </c>
      <c r="AD303">
        <v>1</v>
      </c>
      <c r="AE303">
        <v>80</v>
      </c>
      <c r="AF303">
        <v>0</v>
      </c>
      <c r="AG303">
        <v>7</v>
      </c>
      <c r="AH303">
        <v>4</v>
      </c>
      <c r="AI303">
        <v>1</v>
      </c>
      <c r="AJ303">
        <v>5</v>
      </c>
      <c r="AK303">
        <v>3</v>
      </c>
      <c r="AL303">
        <v>0</v>
      </c>
    </row>
    <row r="304" spans="1:38" x14ac:dyDescent="0.3">
      <c r="A304" t="s">
        <v>371</v>
      </c>
      <c r="B304">
        <v>29</v>
      </c>
      <c r="C304" t="s">
        <v>189</v>
      </c>
      <c r="D304" t="s">
        <v>48</v>
      </c>
      <c r="E304">
        <f t="shared" si="4"/>
        <v>0</v>
      </c>
      <c r="F304" t="s">
        <v>40</v>
      </c>
      <c r="G304">
        <v>1246</v>
      </c>
      <c r="H304" t="s">
        <v>50</v>
      </c>
      <c r="I304">
        <v>19</v>
      </c>
      <c r="J304">
        <v>3</v>
      </c>
      <c r="K304" t="s">
        <v>42</v>
      </c>
      <c r="L304">
        <v>1</v>
      </c>
      <c r="M304">
        <v>1497</v>
      </c>
      <c r="N304">
        <v>3</v>
      </c>
      <c r="O304" t="s">
        <v>43</v>
      </c>
      <c r="P304">
        <v>77</v>
      </c>
      <c r="Q304">
        <v>2</v>
      </c>
      <c r="R304">
        <v>2</v>
      </c>
      <c r="S304" t="s">
        <v>136</v>
      </c>
      <c r="T304">
        <v>3</v>
      </c>
      <c r="U304" t="s">
        <v>101</v>
      </c>
      <c r="V304">
        <v>8620</v>
      </c>
      <c r="W304" t="s">
        <v>162</v>
      </c>
      <c r="X304">
        <v>23757</v>
      </c>
      <c r="Y304">
        <v>1</v>
      </c>
      <c r="Z304" t="s">
        <v>47</v>
      </c>
      <c r="AA304" t="s">
        <v>48</v>
      </c>
      <c r="AB304">
        <v>14</v>
      </c>
      <c r="AC304">
        <v>3</v>
      </c>
      <c r="AD304">
        <v>3</v>
      </c>
      <c r="AE304">
        <v>80</v>
      </c>
      <c r="AF304">
        <v>2</v>
      </c>
      <c r="AG304">
        <v>10</v>
      </c>
      <c r="AH304">
        <v>3</v>
      </c>
      <c r="AI304">
        <v>3</v>
      </c>
      <c r="AJ304">
        <v>10</v>
      </c>
      <c r="AK304">
        <v>7</v>
      </c>
      <c r="AL304">
        <v>0</v>
      </c>
    </row>
    <row r="305" spans="1:38" x14ac:dyDescent="0.3">
      <c r="A305" t="s">
        <v>372</v>
      </c>
      <c r="B305">
        <v>29</v>
      </c>
      <c r="C305" t="s">
        <v>189</v>
      </c>
      <c r="D305" t="s">
        <v>48</v>
      </c>
      <c r="E305">
        <f t="shared" si="4"/>
        <v>0</v>
      </c>
      <c r="F305" t="s">
        <v>55</v>
      </c>
      <c r="G305">
        <v>410</v>
      </c>
      <c r="H305" t="s">
        <v>41</v>
      </c>
      <c r="I305">
        <v>2</v>
      </c>
      <c r="J305">
        <v>1</v>
      </c>
      <c r="K305" t="s">
        <v>42</v>
      </c>
      <c r="L305">
        <v>1</v>
      </c>
      <c r="M305">
        <v>1513</v>
      </c>
      <c r="N305">
        <v>4</v>
      </c>
      <c r="O305" t="s">
        <v>52</v>
      </c>
      <c r="P305">
        <v>97</v>
      </c>
      <c r="Q305">
        <v>3</v>
      </c>
      <c r="R305">
        <v>1</v>
      </c>
      <c r="S305" t="s">
        <v>44</v>
      </c>
      <c r="T305">
        <v>2</v>
      </c>
      <c r="U305" t="s">
        <v>104</v>
      </c>
      <c r="V305">
        <v>3180</v>
      </c>
      <c r="W305" t="s">
        <v>46</v>
      </c>
      <c r="X305">
        <v>4668</v>
      </c>
      <c r="Y305">
        <v>0</v>
      </c>
      <c r="Z305" t="s">
        <v>47</v>
      </c>
      <c r="AA305" t="s">
        <v>48</v>
      </c>
      <c r="AB305">
        <v>13</v>
      </c>
      <c r="AC305">
        <v>3</v>
      </c>
      <c r="AD305">
        <v>3</v>
      </c>
      <c r="AE305">
        <v>80</v>
      </c>
      <c r="AF305">
        <v>3</v>
      </c>
      <c r="AG305">
        <v>4</v>
      </c>
      <c r="AH305">
        <v>3</v>
      </c>
      <c r="AI305">
        <v>3</v>
      </c>
      <c r="AJ305">
        <v>3</v>
      </c>
      <c r="AK305">
        <v>2</v>
      </c>
      <c r="AL305">
        <v>0</v>
      </c>
    </row>
    <row r="306" spans="1:38" x14ac:dyDescent="0.3">
      <c r="A306" t="s">
        <v>373</v>
      </c>
      <c r="B306">
        <v>29</v>
      </c>
      <c r="C306" t="s">
        <v>189</v>
      </c>
      <c r="D306" t="s">
        <v>39</v>
      </c>
      <c r="E306">
        <f t="shared" si="4"/>
        <v>1</v>
      </c>
      <c r="F306" t="s">
        <v>40</v>
      </c>
      <c r="G306">
        <v>224</v>
      </c>
      <c r="H306" t="s">
        <v>41</v>
      </c>
      <c r="I306">
        <v>1</v>
      </c>
      <c r="J306">
        <v>4</v>
      </c>
      <c r="K306" t="s">
        <v>67</v>
      </c>
      <c r="L306">
        <v>1</v>
      </c>
      <c r="M306">
        <v>1522</v>
      </c>
      <c r="N306">
        <v>1</v>
      </c>
      <c r="O306" t="s">
        <v>43</v>
      </c>
      <c r="P306">
        <v>100</v>
      </c>
      <c r="Q306">
        <v>2</v>
      </c>
      <c r="R306">
        <v>1</v>
      </c>
      <c r="S306" t="s">
        <v>59</v>
      </c>
      <c r="T306">
        <v>1</v>
      </c>
      <c r="U306" t="s">
        <v>45</v>
      </c>
      <c r="V306">
        <v>2362</v>
      </c>
      <c r="W306" t="s">
        <v>46</v>
      </c>
      <c r="X306">
        <v>7568</v>
      </c>
      <c r="Y306">
        <v>6</v>
      </c>
      <c r="Z306" t="s">
        <v>47</v>
      </c>
      <c r="AA306" t="s">
        <v>48</v>
      </c>
      <c r="AB306">
        <v>13</v>
      </c>
      <c r="AC306">
        <v>3</v>
      </c>
      <c r="AD306">
        <v>3</v>
      </c>
      <c r="AE306">
        <v>80</v>
      </c>
      <c r="AF306">
        <v>0</v>
      </c>
      <c r="AG306">
        <v>11</v>
      </c>
      <c r="AH306">
        <v>2</v>
      </c>
      <c r="AI306">
        <v>1</v>
      </c>
      <c r="AJ306">
        <v>9</v>
      </c>
      <c r="AK306">
        <v>7</v>
      </c>
      <c r="AL306">
        <v>0</v>
      </c>
    </row>
    <row r="307" spans="1:38" x14ac:dyDescent="0.3">
      <c r="A307" t="s">
        <v>374</v>
      </c>
      <c r="B307">
        <v>29</v>
      </c>
      <c r="C307" t="s">
        <v>189</v>
      </c>
      <c r="D307" t="s">
        <v>48</v>
      </c>
      <c r="E307">
        <f t="shared" si="4"/>
        <v>0</v>
      </c>
      <c r="F307" t="s">
        <v>40</v>
      </c>
      <c r="G307">
        <v>441</v>
      </c>
      <c r="H307" t="s">
        <v>41</v>
      </c>
      <c r="I307">
        <v>8</v>
      </c>
      <c r="J307">
        <v>1</v>
      </c>
      <c r="K307" t="s">
        <v>72</v>
      </c>
      <c r="L307">
        <v>1</v>
      </c>
      <c r="M307">
        <v>1544</v>
      </c>
      <c r="N307">
        <v>3</v>
      </c>
      <c r="O307" t="s">
        <v>52</v>
      </c>
      <c r="P307">
        <v>39</v>
      </c>
      <c r="Q307">
        <v>1</v>
      </c>
      <c r="R307">
        <v>2</v>
      </c>
      <c r="S307" t="s">
        <v>160</v>
      </c>
      <c r="T307">
        <v>1</v>
      </c>
      <c r="U307" t="s">
        <v>104</v>
      </c>
      <c r="V307">
        <v>9715</v>
      </c>
      <c r="W307" t="s">
        <v>162</v>
      </c>
      <c r="X307">
        <v>7288</v>
      </c>
      <c r="Y307">
        <v>3</v>
      </c>
      <c r="Z307" t="s">
        <v>47</v>
      </c>
      <c r="AA307" t="s">
        <v>48</v>
      </c>
      <c r="AB307">
        <v>13</v>
      </c>
      <c r="AC307">
        <v>3</v>
      </c>
      <c r="AD307">
        <v>3</v>
      </c>
      <c r="AE307">
        <v>80</v>
      </c>
      <c r="AF307">
        <v>1</v>
      </c>
      <c r="AG307">
        <v>9</v>
      </c>
      <c r="AH307">
        <v>3</v>
      </c>
      <c r="AI307">
        <v>3</v>
      </c>
      <c r="AJ307">
        <v>7</v>
      </c>
      <c r="AK307">
        <v>7</v>
      </c>
      <c r="AL307">
        <v>0</v>
      </c>
    </row>
    <row r="308" spans="1:38" x14ac:dyDescent="0.3">
      <c r="A308" t="s">
        <v>375</v>
      </c>
      <c r="B308">
        <v>29</v>
      </c>
      <c r="C308" t="s">
        <v>189</v>
      </c>
      <c r="D308" t="s">
        <v>48</v>
      </c>
      <c r="E308">
        <f t="shared" si="4"/>
        <v>0</v>
      </c>
      <c r="F308" t="s">
        <v>40</v>
      </c>
      <c r="G308">
        <v>598</v>
      </c>
      <c r="H308" t="s">
        <v>41</v>
      </c>
      <c r="I308">
        <v>9</v>
      </c>
      <c r="J308">
        <v>3</v>
      </c>
      <c r="K308" t="s">
        <v>42</v>
      </c>
      <c r="L308">
        <v>1</v>
      </c>
      <c r="M308">
        <v>1558</v>
      </c>
      <c r="N308">
        <v>3</v>
      </c>
      <c r="O308" t="s">
        <v>43</v>
      </c>
      <c r="P308">
        <v>91</v>
      </c>
      <c r="Q308">
        <v>4</v>
      </c>
      <c r="R308">
        <v>1</v>
      </c>
      <c r="S308" t="s">
        <v>59</v>
      </c>
      <c r="T308">
        <v>3</v>
      </c>
      <c r="U308" t="s">
        <v>104</v>
      </c>
      <c r="V308">
        <v>2451</v>
      </c>
      <c r="W308" t="s">
        <v>46</v>
      </c>
      <c r="X308">
        <v>22376</v>
      </c>
      <c r="Y308">
        <v>6</v>
      </c>
      <c r="Z308" t="s">
        <v>47</v>
      </c>
      <c r="AA308" t="s">
        <v>48</v>
      </c>
      <c r="AB308">
        <v>18</v>
      </c>
      <c r="AC308">
        <v>3</v>
      </c>
      <c r="AD308">
        <v>1</v>
      </c>
      <c r="AE308">
        <v>80</v>
      </c>
      <c r="AF308">
        <v>2</v>
      </c>
      <c r="AG308">
        <v>5</v>
      </c>
      <c r="AH308">
        <v>2</v>
      </c>
      <c r="AI308">
        <v>2</v>
      </c>
      <c r="AJ308">
        <v>1</v>
      </c>
      <c r="AK308">
        <v>0</v>
      </c>
      <c r="AL308">
        <v>0</v>
      </c>
    </row>
    <row r="309" spans="1:38" x14ac:dyDescent="0.3">
      <c r="A309" t="s">
        <v>376</v>
      </c>
      <c r="B309">
        <v>29</v>
      </c>
      <c r="C309" t="s">
        <v>189</v>
      </c>
      <c r="D309" t="s">
        <v>48</v>
      </c>
      <c r="E309">
        <f t="shared" si="4"/>
        <v>0</v>
      </c>
      <c r="F309" t="s">
        <v>40</v>
      </c>
      <c r="G309">
        <v>1370</v>
      </c>
      <c r="H309" t="s">
        <v>41</v>
      </c>
      <c r="I309">
        <v>3</v>
      </c>
      <c r="J309">
        <v>1</v>
      </c>
      <c r="K309" t="s">
        <v>51</v>
      </c>
      <c r="L309">
        <v>1</v>
      </c>
      <c r="M309">
        <v>1586</v>
      </c>
      <c r="N309">
        <v>2</v>
      </c>
      <c r="O309" t="s">
        <v>43</v>
      </c>
      <c r="P309">
        <v>87</v>
      </c>
      <c r="Q309">
        <v>3</v>
      </c>
      <c r="R309">
        <v>1</v>
      </c>
      <c r="S309" t="s">
        <v>44</v>
      </c>
      <c r="T309">
        <v>1</v>
      </c>
      <c r="U309" t="s">
        <v>45</v>
      </c>
      <c r="V309">
        <v>4723</v>
      </c>
      <c r="W309" t="s">
        <v>46</v>
      </c>
      <c r="X309">
        <v>16213</v>
      </c>
      <c r="Y309">
        <v>1</v>
      </c>
      <c r="Z309" t="s">
        <v>47</v>
      </c>
      <c r="AA309" t="s">
        <v>39</v>
      </c>
      <c r="AB309">
        <v>18</v>
      </c>
      <c r="AC309">
        <v>3</v>
      </c>
      <c r="AD309">
        <v>4</v>
      </c>
      <c r="AE309">
        <v>80</v>
      </c>
      <c r="AF309">
        <v>0</v>
      </c>
      <c r="AG309">
        <v>10</v>
      </c>
      <c r="AH309">
        <v>3</v>
      </c>
      <c r="AI309">
        <v>3</v>
      </c>
      <c r="AJ309">
        <v>10</v>
      </c>
      <c r="AK309">
        <v>9</v>
      </c>
      <c r="AL309">
        <v>1</v>
      </c>
    </row>
    <row r="310" spans="1:38" x14ac:dyDescent="0.3">
      <c r="A310" t="s">
        <v>377</v>
      </c>
      <c r="B310">
        <v>29</v>
      </c>
      <c r="C310" t="s">
        <v>189</v>
      </c>
      <c r="D310" t="s">
        <v>48</v>
      </c>
      <c r="E310">
        <f t="shared" si="4"/>
        <v>0</v>
      </c>
      <c r="F310" t="s">
        <v>55</v>
      </c>
      <c r="G310">
        <v>995</v>
      </c>
      <c r="H310" t="s">
        <v>41</v>
      </c>
      <c r="I310">
        <v>2</v>
      </c>
      <c r="J310">
        <v>1</v>
      </c>
      <c r="K310" t="s">
        <v>42</v>
      </c>
      <c r="L310">
        <v>1</v>
      </c>
      <c r="M310">
        <v>1590</v>
      </c>
      <c r="N310">
        <v>1</v>
      </c>
      <c r="O310" t="s">
        <v>43</v>
      </c>
      <c r="P310">
        <v>87</v>
      </c>
      <c r="Q310">
        <v>3</v>
      </c>
      <c r="R310">
        <v>2</v>
      </c>
      <c r="S310" t="s">
        <v>160</v>
      </c>
      <c r="T310">
        <v>4</v>
      </c>
      <c r="U310" t="s">
        <v>101</v>
      </c>
      <c r="V310">
        <v>8853</v>
      </c>
      <c r="W310" t="s">
        <v>162</v>
      </c>
      <c r="X310">
        <v>24483</v>
      </c>
      <c r="Y310">
        <v>1</v>
      </c>
      <c r="Z310" t="s">
        <v>47</v>
      </c>
      <c r="AA310" t="s">
        <v>48</v>
      </c>
      <c r="AB310">
        <v>19</v>
      </c>
      <c r="AC310">
        <v>3</v>
      </c>
      <c r="AD310">
        <v>4</v>
      </c>
      <c r="AE310">
        <v>80</v>
      </c>
      <c r="AF310">
        <v>1</v>
      </c>
      <c r="AG310">
        <v>6</v>
      </c>
      <c r="AH310">
        <v>0</v>
      </c>
      <c r="AI310">
        <v>4</v>
      </c>
      <c r="AJ310">
        <v>6</v>
      </c>
      <c r="AK310">
        <v>4</v>
      </c>
      <c r="AL310">
        <v>1</v>
      </c>
    </row>
    <row r="311" spans="1:38" x14ac:dyDescent="0.3">
      <c r="A311" t="s">
        <v>378</v>
      </c>
      <c r="B311">
        <v>29</v>
      </c>
      <c r="C311" t="s">
        <v>189</v>
      </c>
      <c r="D311" t="s">
        <v>48</v>
      </c>
      <c r="E311">
        <f t="shared" si="4"/>
        <v>0</v>
      </c>
      <c r="F311" t="s">
        <v>40</v>
      </c>
      <c r="G311">
        <v>469</v>
      </c>
      <c r="H311" t="s">
        <v>50</v>
      </c>
      <c r="I311">
        <v>10</v>
      </c>
      <c r="J311">
        <v>3</v>
      </c>
      <c r="K311" t="s">
        <v>51</v>
      </c>
      <c r="L311">
        <v>1</v>
      </c>
      <c r="M311">
        <v>1650</v>
      </c>
      <c r="N311">
        <v>3</v>
      </c>
      <c r="O311" t="s">
        <v>43</v>
      </c>
      <c r="P311">
        <v>42</v>
      </c>
      <c r="Q311">
        <v>2</v>
      </c>
      <c r="R311">
        <v>2</v>
      </c>
      <c r="S311" t="s">
        <v>136</v>
      </c>
      <c r="T311">
        <v>3</v>
      </c>
      <c r="U311" t="s">
        <v>45</v>
      </c>
      <c r="V311">
        <v>5869</v>
      </c>
      <c r="W311" t="s">
        <v>162</v>
      </c>
      <c r="X311">
        <v>23413</v>
      </c>
      <c r="Y311">
        <v>9</v>
      </c>
      <c r="Z311" t="s">
        <v>47</v>
      </c>
      <c r="AA311" t="s">
        <v>48</v>
      </c>
      <c r="AB311">
        <v>11</v>
      </c>
      <c r="AC311">
        <v>3</v>
      </c>
      <c r="AD311">
        <v>3</v>
      </c>
      <c r="AE311">
        <v>80</v>
      </c>
      <c r="AF311">
        <v>0</v>
      </c>
      <c r="AG311">
        <v>8</v>
      </c>
      <c r="AH311">
        <v>2</v>
      </c>
      <c r="AI311">
        <v>3</v>
      </c>
      <c r="AJ311">
        <v>5</v>
      </c>
      <c r="AK311">
        <v>2</v>
      </c>
      <c r="AL311">
        <v>1</v>
      </c>
    </row>
    <row r="312" spans="1:38" x14ac:dyDescent="0.3">
      <c r="A312" t="s">
        <v>379</v>
      </c>
      <c r="B312">
        <v>29</v>
      </c>
      <c r="C312" t="s">
        <v>189</v>
      </c>
      <c r="D312" t="s">
        <v>48</v>
      </c>
      <c r="E312">
        <f t="shared" si="4"/>
        <v>0</v>
      </c>
      <c r="F312" t="s">
        <v>40</v>
      </c>
      <c r="G312">
        <v>991</v>
      </c>
      <c r="H312" t="s">
        <v>50</v>
      </c>
      <c r="I312">
        <v>5</v>
      </c>
      <c r="J312">
        <v>3</v>
      </c>
      <c r="K312" t="s">
        <v>51</v>
      </c>
      <c r="L312">
        <v>1</v>
      </c>
      <c r="M312">
        <v>1669</v>
      </c>
      <c r="N312">
        <v>1</v>
      </c>
      <c r="O312" t="s">
        <v>43</v>
      </c>
      <c r="P312">
        <v>43</v>
      </c>
      <c r="Q312">
        <v>2</v>
      </c>
      <c r="R312">
        <v>2</v>
      </c>
      <c r="S312" t="s">
        <v>136</v>
      </c>
      <c r="T312">
        <v>2</v>
      </c>
      <c r="U312" t="s">
        <v>101</v>
      </c>
      <c r="V312">
        <v>4187</v>
      </c>
      <c r="W312" t="s">
        <v>46</v>
      </c>
      <c r="X312">
        <v>3356</v>
      </c>
      <c r="Y312">
        <v>1</v>
      </c>
      <c r="Z312" t="s">
        <v>47</v>
      </c>
      <c r="AA312" t="s">
        <v>39</v>
      </c>
      <c r="AB312">
        <v>13</v>
      </c>
      <c r="AC312">
        <v>3</v>
      </c>
      <c r="AD312">
        <v>2</v>
      </c>
      <c r="AE312">
        <v>80</v>
      </c>
      <c r="AF312">
        <v>1</v>
      </c>
      <c r="AG312">
        <v>10</v>
      </c>
      <c r="AH312">
        <v>3</v>
      </c>
      <c r="AI312">
        <v>2</v>
      </c>
      <c r="AJ312">
        <v>10</v>
      </c>
      <c r="AK312">
        <v>0</v>
      </c>
      <c r="AL312">
        <v>0</v>
      </c>
    </row>
    <row r="313" spans="1:38" x14ac:dyDescent="0.3">
      <c r="A313" t="s">
        <v>380</v>
      </c>
      <c r="B313">
        <v>29</v>
      </c>
      <c r="C313" t="s">
        <v>189</v>
      </c>
      <c r="D313" t="s">
        <v>48</v>
      </c>
      <c r="E313">
        <f t="shared" si="4"/>
        <v>0</v>
      </c>
      <c r="F313" t="s">
        <v>40</v>
      </c>
      <c r="G313">
        <v>1082</v>
      </c>
      <c r="H313" t="s">
        <v>41</v>
      </c>
      <c r="I313">
        <v>9</v>
      </c>
      <c r="J313">
        <v>4</v>
      </c>
      <c r="K313" t="s">
        <v>51</v>
      </c>
      <c r="L313">
        <v>1</v>
      </c>
      <c r="M313">
        <v>1709</v>
      </c>
      <c r="N313">
        <v>4</v>
      </c>
      <c r="O313" t="s">
        <v>52</v>
      </c>
      <c r="P313">
        <v>43</v>
      </c>
      <c r="Q313">
        <v>3</v>
      </c>
      <c r="R313">
        <v>1</v>
      </c>
      <c r="S313" t="s">
        <v>44</v>
      </c>
      <c r="T313">
        <v>3</v>
      </c>
      <c r="U313" t="s">
        <v>104</v>
      </c>
      <c r="V313">
        <v>2974</v>
      </c>
      <c r="W313" t="s">
        <v>46</v>
      </c>
      <c r="X313">
        <v>25412</v>
      </c>
      <c r="Y313">
        <v>9</v>
      </c>
      <c r="Z313" t="s">
        <v>47</v>
      </c>
      <c r="AA313" t="s">
        <v>48</v>
      </c>
      <c r="AB313">
        <v>17</v>
      </c>
      <c r="AC313">
        <v>3</v>
      </c>
      <c r="AD313">
        <v>3</v>
      </c>
      <c r="AE313">
        <v>80</v>
      </c>
      <c r="AF313">
        <v>1</v>
      </c>
      <c r="AG313">
        <v>9</v>
      </c>
      <c r="AH313">
        <v>2</v>
      </c>
      <c r="AI313">
        <v>3</v>
      </c>
      <c r="AJ313">
        <v>5</v>
      </c>
      <c r="AK313">
        <v>3</v>
      </c>
      <c r="AL313">
        <v>1</v>
      </c>
    </row>
    <row r="314" spans="1:38" x14ac:dyDescent="0.3">
      <c r="A314" t="s">
        <v>381</v>
      </c>
      <c r="B314">
        <v>29</v>
      </c>
      <c r="C314" t="s">
        <v>189</v>
      </c>
      <c r="D314" t="s">
        <v>39</v>
      </c>
      <c r="E314">
        <f t="shared" si="4"/>
        <v>1</v>
      </c>
      <c r="F314" t="s">
        <v>40</v>
      </c>
      <c r="G314">
        <v>428</v>
      </c>
      <c r="H314" t="s">
        <v>50</v>
      </c>
      <c r="I314">
        <v>9</v>
      </c>
      <c r="J314">
        <v>3</v>
      </c>
      <c r="K314" t="s">
        <v>56</v>
      </c>
      <c r="L314">
        <v>1</v>
      </c>
      <c r="M314">
        <v>1752</v>
      </c>
      <c r="N314">
        <v>2</v>
      </c>
      <c r="O314" t="s">
        <v>52</v>
      </c>
      <c r="P314">
        <v>52</v>
      </c>
      <c r="Q314">
        <v>1</v>
      </c>
      <c r="R314">
        <v>1</v>
      </c>
      <c r="S314" t="s">
        <v>53</v>
      </c>
      <c r="T314">
        <v>2</v>
      </c>
      <c r="U314" t="s">
        <v>45</v>
      </c>
      <c r="V314">
        <v>2760</v>
      </c>
      <c r="W314" t="s">
        <v>46</v>
      </c>
      <c r="X314">
        <v>14630</v>
      </c>
      <c r="Y314">
        <v>1</v>
      </c>
      <c r="Z314" t="s">
        <v>47</v>
      </c>
      <c r="AA314" t="s">
        <v>48</v>
      </c>
      <c r="AB314">
        <v>13</v>
      </c>
      <c r="AC314">
        <v>3</v>
      </c>
      <c r="AD314">
        <v>3</v>
      </c>
      <c r="AE314">
        <v>80</v>
      </c>
      <c r="AF314">
        <v>0</v>
      </c>
      <c r="AG314">
        <v>2</v>
      </c>
      <c r="AH314">
        <v>3</v>
      </c>
      <c r="AI314">
        <v>3</v>
      </c>
      <c r="AJ314">
        <v>2</v>
      </c>
      <c r="AK314">
        <v>2</v>
      </c>
      <c r="AL314">
        <v>2</v>
      </c>
    </row>
    <row r="315" spans="1:38" x14ac:dyDescent="0.3">
      <c r="A315" t="s">
        <v>382</v>
      </c>
      <c r="B315">
        <v>29</v>
      </c>
      <c r="C315" t="s">
        <v>189</v>
      </c>
      <c r="D315" t="s">
        <v>48</v>
      </c>
      <c r="E315">
        <f t="shared" si="4"/>
        <v>0</v>
      </c>
      <c r="F315" t="s">
        <v>55</v>
      </c>
      <c r="G315">
        <v>461</v>
      </c>
      <c r="H315" t="s">
        <v>41</v>
      </c>
      <c r="I315">
        <v>1</v>
      </c>
      <c r="J315">
        <v>3</v>
      </c>
      <c r="K315" t="s">
        <v>42</v>
      </c>
      <c r="L315">
        <v>1</v>
      </c>
      <c r="M315">
        <v>1753</v>
      </c>
      <c r="N315">
        <v>4</v>
      </c>
      <c r="O315" t="s">
        <v>43</v>
      </c>
      <c r="P315">
        <v>70</v>
      </c>
      <c r="Q315">
        <v>4</v>
      </c>
      <c r="R315">
        <v>2</v>
      </c>
      <c r="S315" t="s">
        <v>160</v>
      </c>
      <c r="T315">
        <v>3</v>
      </c>
      <c r="U315" t="s">
        <v>45</v>
      </c>
      <c r="V315">
        <v>6294</v>
      </c>
      <c r="W315" t="s">
        <v>162</v>
      </c>
      <c r="X315">
        <v>23060</v>
      </c>
      <c r="Y315">
        <v>8</v>
      </c>
      <c r="Z315" t="s">
        <v>47</v>
      </c>
      <c r="AA315" t="s">
        <v>39</v>
      </c>
      <c r="AB315">
        <v>12</v>
      </c>
      <c r="AC315">
        <v>3</v>
      </c>
      <c r="AD315">
        <v>4</v>
      </c>
      <c r="AE315">
        <v>80</v>
      </c>
      <c r="AF315">
        <v>0</v>
      </c>
      <c r="AG315">
        <v>10</v>
      </c>
      <c r="AH315">
        <v>5</v>
      </c>
      <c r="AI315">
        <v>4</v>
      </c>
      <c r="AJ315">
        <v>3</v>
      </c>
      <c r="AK315">
        <v>2</v>
      </c>
      <c r="AL315">
        <v>0</v>
      </c>
    </row>
    <row r="316" spans="1:38" x14ac:dyDescent="0.3">
      <c r="A316" t="s">
        <v>383</v>
      </c>
      <c r="B316">
        <v>29</v>
      </c>
      <c r="C316" t="s">
        <v>189</v>
      </c>
      <c r="D316" t="s">
        <v>48</v>
      </c>
      <c r="E316">
        <f t="shared" si="4"/>
        <v>0</v>
      </c>
      <c r="F316" t="s">
        <v>40</v>
      </c>
      <c r="G316">
        <v>590</v>
      </c>
      <c r="H316" t="s">
        <v>41</v>
      </c>
      <c r="I316">
        <v>4</v>
      </c>
      <c r="J316">
        <v>3</v>
      </c>
      <c r="K316" t="s">
        <v>67</v>
      </c>
      <c r="L316">
        <v>1</v>
      </c>
      <c r="M316">
        <v>1762</v>
      </c>
      <c r="N316">
        <v>4</v>
      </c>
      <c r="O316" t="s">
        <v>52</v>
      </c>
      <c r="P316">
        <v>91</v>
      </c>
      <c r="Q316">
        <v>2</v>
      </c>
      <c r="R316">
        <v>1</v>
      </c>
      <c r="S316" t="s">
        <v>59</v>
      </c>
      <c r="T316">
        <v>1</v>
      </c>
      <c r="U316" t="s">
        <v>101</v>
      </c>
      <c r="V316">
        <v>2109</v>
      </c>
      <c r="W316" t="s">
        <v>46</v>
      </c>
      <c r="X316">
        <v>10007</v>
      </c>
      <c r="Y316">
        <v>1</v>
      </c>
      <c r="Z316" t="s">
        <v>47</v>
      </c>
      <c r="AA316" t="s">
        <v>48</v>
      </c>
      <c r="AB316">
        <v>13</v>
      </c>
      <c r="AC316">
        <v>3</v>
      </c>
      <c r="AD316">
        <v>3</v>
      </c>
      <c r="AE316">
        <v>80</v>
      </c>
      <c r="AF316">
        <v>1</v>
      </c>
      <c r="AG316">
        <v>1</v>
      </c>
      <c r="AH316">
        <v>2</v>
      </c>
      <c r="AI316">
        <v>3</v>
      </c>
      <c r="AJ316">
        <v>1</v>
      </c>
      <c r="AK316">
        <v>0</v>
      </c>
      <c r="AL316">
        <v>0</v>
      </c>
    </row>
    <row r="317" spans="1:38" x14ac:dyDescent="0.3">
      <c r="A317" t="s">
        <v>384</v>
      </c>
      <c r="B317">
        <v>29</v>
      </c>
      <c r="C317" t="s">
        <v>189</v>
      </c>
      <c r="D317" t="s">
        <v>39</v>
      </c>
      <c r="E317">
        <f t="shared" si="4"/>
        <v>1</v>
      </c>
      <c r="F317" t="s">
        <v>40</v>
      </c>
      <c r="G317">
        <v>350</v>
      </c>
      <c r="H317" t="s">
        <v>70</v>
      </c>
      <c r="I317">
        <v>13</v>
      </c>
      <c r="J317">
        <v>3</v>
      </c>
      <c r="K317" t="s">
        <v>70</v>
      </c>
      <c r="L317">
        <v>1</v>
      </c>
      <c r="M317">
        <v>1844</v>
      </c>
      <c r="N317">
        <v>1</v>
      </c>
      <c r="O317" t="s">
        <v>43</v>
      </c>
      <c r="P317">
        <v>56</v>
      </c>
      <c r="Q317">
        <v>2</v>
      </c>
      <c r="R317">
        <v>1</v>
      </c>
      <c r="S317" t="s">
        <v>70</v>
      </c>
      <c r="T317">
        <v>1</v>
      </c>
      <c r="U317" t="s">
        <v>101</v>
      </c>
      <c r="V317">
        <v>2335</v>
      </c>
      <c r="W317" t="s">
        <v>46</v>
      </c>
      <c r="X317">
        <v>3157</v>
      </c>
      <c r="Y317">
        <v>4</v>
      </c>
      <c r="Z317" t="s">
        <v>47</v>
      </c>
      <c r="AA317" t="s">
        <v>39</v>
      </c>
      <c r="AB317">
        <v>15</v>
      </c>
      <c r="AC317">
        <v>3</v>
      </c>
      <c r="AD317">
        <v>4</v>
      </c>
      <c r="AE317">
        <v>80</v>
      </c>
      <c r="AF317">
        <v>3</v>
      </c>
      <c r="AG317">
        <v>4</v>
      </c>
      <c r="AH317">
        <v>3</v>
      </c>
      <c r="AI317">
        <v>3</v>
      </c>
      <c r="AJ317">
        <v>2</v>
      </c>
      <c r="AK317">
        <v>2</v>
      </c>
      <c r="AL317">
        <v>2</v>
      </c>
    </row>
    <row r="318" spans="1:38" x14ac:dyDescent="0.3">
      <c r="A318" t="s">
        <v>385</v>
      </c>
      <c r="B318">
        <v>29</v>
      </c>
      <c r="C318" t="s">
        <v>189</v>
      </c>
      <c r="D318" t="s">
        <v>48</v>
      </c>
      <c r="E318">
        <f t="shared" si="4"/>
        <v>0</v>
      </c>
      <c r="F318" t="s">
        <v>55</v>
      </c>
      <c r="G318">
        <v>574</v>
      </c>
      <c r="H318" t="s">
        <v>41</v>
      </c>
      <c r="I318">
        <v>20</v>
      </c>
      <c r="J318">
        <v>1</v>
      </c>
      <c r="K318" t="s">
        <v>51</v>
      </c>
      <c r="L318">
        <v>1</v>
      </c>
      <c r="M318">
        <v>1852</v>
      </c>
      <c r="N318">
        <v>4</v>
      </c>
      <c r="O318" t="s">
        <v>43</v>
      </c>
      <c r="P318">
        <v>40</v>
      </c>
      <c r="Q318">
        <v>3</v>
      </c>
      <c r="R318">
        <v>1</v>
      </c>
      <c r="S318" t="s">
        <v>44</v>
      </c>
      <c r="T318">
        <v>4</v>
      </c>
      <c r="U318" t="s">
        <v>104</v>
      </c>
      <c r="V318">
        <v>3812</v>
      </c>
      <c r="W318" t="s">
        <v>46</v>
      </c>
      <c r="X318">
        <v>7003</v>
      </c>
      <c r="Y318">
        <v>1</v>
      </c>
      <c r="Z318" t="s">
        <v>47</v>
      </c>
      <c r="AA318" t="s">
        <v>48</v>
      </c>
      <c r="AB318">
        <v>13</v>
      </c>
      <c r="AC318">
        <v>3</v>
      </c>
      <c r="AD318">
        <v>2</v>
      </c>
      <c r="AE318">
        <v>80</v>
      </c>
      <c r="AF318">
        <v>0</v>
      </c>
      <c r="AG318">
        <v>11</v>
      </c>
      <c r="AH318">
        <v>3</v>
      </c>
      <c r="AI318">
        <v>4</v>
      </c>
      <c r="AJ318">
        <v>11</v>
      </c>
      <c r="AK318">
        <v>8</v>
      </c>
      <c r="AL318">
        <v>3</v>
      </c>
    </row>
    <row r="319" spans="1:38" x14ac:dyDescent="0.3">
      <c r="A319" t="s">
        <v>386</v>
      </c>
      <c r="B319">
        <v>29</v>
      </c>
      <c r="C319" t="s">
        <v>189</v>
      </c>
      <c r="D319" t="s">
        <v>48</v>
      </c>
      <c r="E319">
        <f t="shared" si="4"/>
        <v>0</v>
      </c>
      <c r="F319" t="s">
        <v>40</v>
      </c>
      <c r="G319">
        <v>726</v>
      </c>
      <c r="H319" t="s">
        <v>41</v>
      </c>
      <c r="I319">
        <v>29</v>
      </c>
      <c r="J319">
        <v>1</v>
      </c>
      <c r="K319" t="s">
        <v>42</v>
      </c>
      <c r="L319">
        <v>1</v>
      </c>
      <c r="M319">
        <v>1859</v>
      </c>
      <c r="N319">
        <v>4</v>
      </c>
      <c r="O319" t="s">
        <v>43</v>
      </c>
      <c r="P319">
        <v>93</v>
      </c>
      <c r="Q319">
        <v>1</v>
      </c>
      <c r="R319">
        <v>2</v>
      </c>
      <c r="S319" t="s">
        <v>160</v>
      </c>
      <c r="T319">
        <v>3</v>
      </c>
      <c r="U319" t="s">
        <v>101</v>
      </c>
      <c r="V319">
        <v>6384</v>
      </c>
      <c r="W319" t="s">
        <v>162</v>
      </c>
      <c r="X319">
        <v>21143</v>
      </c>
      <c r="Y319">
        <v>8</v>
      </c>
      <c r="Z319" t="s">
        <v>47</v>
      </c>
      <c r="AA319" t="s">
        <v>48</v>
      </c>
      <c r="AB319">
        <v>17</v>
      </c>
      <c r="AC319">
        <v>3</v>
      </c>
      <c r="AD319">
        <v>4</v>
      </c>
      <c r="AE319">
        <v>80</v>
      </c>
      <c r="AF319">
        <v>2</v>
      </c>
      <c r="AG319">
        <v>11</v>
      </c>
      <c r="AH319">
        <v>3</v>
      </c>
      <c r="AI319">
        <v>3</v>
      </c>
      <c r="AJ319">
        <v>7</v>
      </c>
      <c r="AK319">
        <v>0</v>
      </c>
      <c r="AL319">
        <v>1</v>
      </c>
    </row>
    <row r="320" spans="1:38" x14ac:dyDescent="0.3">
      <c r="A320" t="s">
        <v>387</v>
      </c>
      <c r="B320">
        <v>29</v>
      </c>
      <c r="C320" t="s">
        <v>189</v>
      </c>
      <c r="D320" t="s">
        <v>48</v>
      </c>
      <c r="E320">
        <f t="shared" si="4"/>
        <v>0</v>
      </c>
      <c r="F320" t="s">
        <v>40</v>
      </c>
      <c r="G320">
        <v>352</v>
      </c>
      <c r="H320" t="s">
        <v>70</v>
      </c>
      <c r="I320">
        <v>6</v>
      </c>
      <c r="J320">
        <v>1</v>
      </c>
      <c r="K320" t="s">
        <v>51</v>
      </c>
      <c r="L320">
        <v>1</v>
      </c>
      <c r="M320">
        <v>1865</v>
      </c>
      <c r="N320">
        <v>4</v>
      </c>
      <c r="O320" t="s">
        <v>43</v>
      </c>
      <c r="P320">
        <v>87</v>
      </c>
      <c r="Q320">
        <v>2</v>
      </c>
      <c r="R320">
        <v>1</v>
      </c>
      <c r="S320" t="s">
        <v>70</v>
      </c>
      <c r="T320">
        <v>2</v>
      </c>
      <c r="U320" t="s">
        <v>104</v>
      </c>
      <c r="V320">
        <v>2804</v>
      </c>
      <c r="W320" t="s">
        <v>46</v>
      </c>
      <c r="X320">
        <v>15434</v>
      </c>
      <c r="Y320">
        <v>1</v>
      </c>
      <c r="Z320" t="s">
        <v>47</v>
      </c>
      <c r="AA320" t="s">
        <v>48</v>
      </c>
      <c r="AB320">
        <v>11</v>
      </c>
      <c r="AC320">
        <v>3</v>
      </c>
      <c r="AD320">
        <v>4</v>
      </c>
      <c r="AE320">
        <v>80</v>
      </c>
      <c r="AF320">
        <v>0</v>
      </c>
      <c r="AG320">
        <v>1</v>
      </c>
      <c r="AH320">
        <v>3</v>
      </c>
      <c r="AI320">
        <v>3</v>
      </c>
      <c r="AJ320">
        <v>1</v>
      </c>
      <c r="AK320">
        <v>0</v>
      </c>
      <c r="AL320">
        <v>0</v>
      </c>
    </row>
    <row r="321" spans="1:38" x14ac:dyDescent="0.3">
      <c r="A321" t="s">
        <v>388</v>
      </c>
      <c r="B321">
        <v>29</v>
      </c>
      <c r="C321" t="s">
        <v>189</v>
      </c>
      <c r="D321" t="s">
        <v>39</v>
      </c>
      <c r="E321">
        <f t="shared" si="4"/>
        <v>1</v>
      </c>
      <c r="F321" t="s">
        <v>55</v>
      </c>
      <c r="G321">
        <v>459</v>
      </c>
      <c r="H321" t="s">
        <v>41</v>
      </c>
      <c r="I321">
        <v>24</v>
      </c>
      <c r="J321">
        <v>2</v>
      </c>
      <c r="K321" t="s">
        <v>42</v>
      </c>
      <c r="L321">
        <v>1</v>
      </c>
      <c r="M321">
        <v>1868</v>
      </c>
      <c r="N321">
        <v>4</v>
      </c>
      <c r="O321" t="s">
        <v>43</v>
      </c>
      <c r="P321">
        <v>73</v>
      </c>
      <c r="Q321">
        <v>2</v>
      </c>
      <c r="R321">
        <v>1</v>
      </c>
      <c r="S321" t="s">
        <v>59</v>
      </c>
      <c r="T321">
        <v>4</v>
      </c>
      <c r="U321" t="s">
        <v>45</v>
      </c>
      <c r="V321">
        <v>2439</v>
      </c>
      <c r="W321" t="s">
        <v>46</v>
      </c>
      <c r="X321">
        <v>14753</v>
      </c>
      <c r="Y321">
        <v>1</v>
      </c>
      <c r="Z321" t="s">
        <v>47</v>
      </c>
      <c r="AA321" t="s">
        <v>39</v>
      </c>
      <c r="AB321">
        <v>24</v>
      </c>
      <c r="AC321">
        <v>4</v>
      </c>
      <c r="AD321">
        <v>2</v>
      </c>
      <c r="AE321">
        <v>80</v>
      </c>
      <c r="AF321">
        <v>0</v>
      </c>
      <c r="AG321">
        <v>1</v>
      </c>
      <c r="AH321">
        <v>3</v>
      </c>
      <c r="AI321">
        <v>2</v>
      </c>
      <c r="AJ321">
        <v>1</v>
      </c>
      <c r="AK321">
        <v>0</v>
      </c>
      <c r="AL321">
        <v>1</v>
      </c>
    </row>
    <row r="322" spans="1:38" x14ac:dyDescent="0.3">
      <c r="A322" t="s">
        <v>389</v>
      </c>
      <c r="B322">
        <v>29</v>
      </c>
      <c r="C322" t="s">
        <v>189</v>
      </c>
      <c r="D322" t="s">
        <v>48</v>
      </c>
      <c r="E322">
        <f t="shared" si="4"/>
        <v>0</v>
      </c>
      <c r="F322" t="s">
        <v>40</v>
      </c>
      <c r="G322">
        <v>592</v>
      </c>
      <c r="H322" t="s">
        <v>41</v>
      </c>
      <c r="I322">
        <v>7</v>
      </c>
      <c r="J322">
        <v>3</v>
      </c>
      <c r="K322" t="s">
        <v>42</v>
      </c>
      <c r="L322">
        <v>1</v>
      </c>
      <c r="M322">
        <v>1883</v>
      </c>
      <c r="N322">
        <v>4</v>
      </c>
      <c r="O322" t="s">
        <v>43</v>
      </c>
      <c r="P322">
        <v>59</v>
      </c>
      <c r="Q322">
        <v>3</v>
      </c>
      <c r="R322">
        <v>1</v>
      </c>
      <c r="S322" t="s">
        <v>44</v>
      </c>
      <c r="T322">
        <v>1</v>
      </c>
      <c r="U322" t="s">
        <v>45</v>
      </c>
      <c r="V322">
        <v>2062</v>
      </c>
      <c r="W322" t="s">
        <v>46</v>
      </c>
      <c r="X322">
        <v>19384</v>
      </c>
      <c r="Y322">
        <v>3</v>
      </c>
      <c r="Z322" t="s">
        <v>47</v>
      </c>
      <c r="AA322" t="s">
        <v>48</v>
      </c>
      <c r="AB322">
        <v>14</v>
      </c>
      <c r="AC322">
        <v>3</v>
      </c>
      <c r="AD322">
        <v>2</v>
      </c>
      <c r="AE322">
        <v>80</v>
      </c>
      <c r="AF322">
        <v>0</v>
      </c>
      <c r="AG322">
        <v>11</v>
      </c>
      <c r="AH322">
        <v>2</v>
      </c>
      <c r="AI322">
        <v>3</v>
      </c>
      <c r="AJ322">
        <v>3</v>
      </c>
      <c r="AK322">
        <v>2</v>
      </c>
      <c r="AL322">
        <v>1</v>
      </c>
    </row>
    <row r="323" spans="1:38" x14ac:dyDescent="0.3">
      <c r="A323" t="s">
        <v>390</v>
      </c>
      <c r="B323">
        <v>29</v>
      </c>
      <c r="C323" t="s">
        <v>189</v>
      </c>
      <c r="D323" t="s">
        <v>39</v>
      </c>
      <c r="E323">
        <f t="shared" ref="E323:E386" si="5">IF(D323="Yes",1,0)</f>
        <v>1</v>
      </c>
      <c r="F323" t="s">
        <v>55</v>
      </c>
      <c r="G323">
        <v>746</v>
      </c>
      <c r="H323" t="s">
        <v>50</v>
      </c>
      <c r="I323">
        <v>24</v>
      </c>
      <c r="J323">
        <v>3</v>
      </c>
      <c r="K323" t="s">
        <v>67</v>
      </c>
      <c r="L323">
        <v>1</v>
      </c>
      <c r="M323">
        <v>1928</v>
      </c>
      <c r="N323">
        <v>3</v>
      </c>
      <c r="O323" t="s">
        <v>43</v>
      </c>
      <c r="P323">
        <v>45</v>
      </c>
      <c r="Q323">
        <v>4</v>
      </c>
      <c r="R323">
        <v>1</v>
      </c>
      <c r="S323" t="s">
        <v>53</v>
      </c>
      <c r="T323">
        <v>1</v>
      </c>
      <c r="U323" t="s">
        <v>45</v>
      </c>
      <c r="V323">
        <v>1091</v>
      </c>
      <c r="W323" t="s">
        <v>46</v>
      </c>
      <c r="X323">
        <v>10642</v>
      </c>
      <c r="Y323">
        <v>1</v>
      </c>
      <c r="Z323" t="s">
        <v>47</v>
      </c>
      <c r="AA323" t="s">
        <v>48</v>
      </c>
      <c r="AB323">
        <v>17</v>
      </c>
      <c r="AC323">
        <v>3</v>
      </c>
      <c r="AD323">
        <v>4</v>
      </c>
      <c r="AE323">
        <v>80</v>
      </c>
      <c r="AF323">
        <v>0</v>
      </c>
      <c r="AG323">
        <v>1</v>
      </c>
      <c r="AH323">
        <v>3</v>
      </c>
      <c r="AI323">
        <v>3</v>
      </c>
      <c r="AJ323">
        <v>1</v>
      </c>
      <c r="AK323">
        <v>0</v>
      </c>
      <c r="AL323">
        <v>0</v>
      </c>
    </row>
    <row r="324" spans="1:38" x14ac:dyDescent="0.3">
      <c r="A324" t="s">
        <v>391</v>
      </c>
      <c r="B324">
        <v>29</v>
      </c>
      <c r="C324" t="s">
        <v>189</v>
      </c>
      <c r="D324" t="s">
        <v>48</v>
      </c>
      <c r="E324">
        <f t="shared" si="5"/>
        <v>0</v>
      </c>
      <c r="F324" t="s">
        <v>40</v>
      </c>
      <c r="G324">
        <v>136</v>
      </c>
      <c r="H324" t="s">
        <v>41</v>
      </c>
      <c r="I324">
        <v>1</v>
      </c>
      <c r="J324">
        <v>3</v>
      </c>
      <c r="K324" t="s">
        <v>42</v>
      </c>
      <c r="L324">
        <v>1</v>
      </c>
      <c r="M324">
        <v>1954</v>
      </c>
      <c r="N324">
        <v>1</v>
      </c>
      <c r="O324" t="s">
        <v>43</v>
      </c>
      <c r="P324">
        <v>89</v>
      </c>
      <c r="Q324">
        <v>3</v>
      </c>
      <c r="R324">
        <v>2</v>
      </c>
      <c r="S324" t="s">
        <v>160</v>
      </c>
      <c r="T324">
        <v>1</v>
      </c>
      <c r="U324" t="s">
        <v>104</v>
      </c>
      <c r="V324">
        <v>5373</v>
      </c>
      <c r="W324" t="s">
        <v>162</v>
      </c>
      <c r="X324">
        <v>6225</v>
      </c>
      <c r="Y324">
        <v>0</v>
      </c>
      <c r="Z324" t="s">
        <v>47</v>
      </c>
      <c r="AA324" t="s">
        <v>48</v>
      </c>
      <c r="AB324">
        <v>12</v>
      </c>
      <c r="AC324">
        <v>3</v>
      </c>
      <c r="AD324">
        <v>1</v>
      </c>
      <c r="AE324">
        <v>80</v>
      </c>
      <c r="AF324">
        <v>1</v>
      </c>
      <c r="AG324">
        <v>6</v>
      </c>
      <c r="AH324">
        <v>5</v>
      </c>
      <c r="AI324">
        <v>2</v>
      </c>
      <c r="AJ324">
        <v>5</v>
      </c>
      <c r="AK324">
        <v>3</v>
      </c>
      <c r="AL324">
        <v>0</v>
      </c>
    </row>
    <row r="325" spans="1:38" x14ac:dyDescent="0.3">
      <c r="A325" t="s">
        <v>392</v>
      </c>
      <c r="B325">
        <v>29</v>
      </c>
      <c r="C325" t="s">
        <v>189</v>
      </c>
      <c r="D325" t="s">
        <v>39</v>
      </c>
      <c r="E325">
        <f t="shared" si="5"/>
        <v>1</v>
      </c>
      <c r="F325" t="s">
        <v>40</v>
      </c>
      <c r="G325">
        <v>1092</v>
      </c>
      <c r="H325" t="s">
        <v>41</v>
      </c>
      <c r="I325">
        <v>1</v>
      </c>
      <c r="J325">
        <v>4</v>
      </c>
      <c r="K325" t="s">
        <v>51</v>
      </c>
      <c r="L325">
        <v>1</v>
      </c>
      <c r="M325">
        <v>2027</v>
      </c>
      <c r="N325">
        <v>1</v>
      </c>
      <c r="O325" t="s">
        <v>43</v>
      </c>
      <c r="P325">
        <v>36</v>
      </c>
      <c r="Q325">
        <v>3</v>
      </c>
      <c r="R325">
        <v>1</v>
      </c>
      <c r="S325" t="s">
        <v>59</v>
      </c>
      <c r="T325">
        <v>4</v>
      </c>
      <c r="U325" t="s">
        <v>104</v>
      </c>
      <c r="V325">
        <v>4787</v>
      </c>
      <c r="W325" t="s">
        <v>46</v>
      </c>
      <c r="X325">
        <v>26124</v>
      </c>
      <c r="Y325">
        <v>9</v>
      </c>
      <c r="Z325" t="s">
        <v>47</v>
      </c>
      <c r="AA325" t="s">
        <v>39</v>
      </c>
      <c r="AB325">
        <v>14</v>
      </c>
      <c r="AC325">
        <v>3</v>
      </c>
      <c r="AD325">
        <v>2</v>
      </c>
      <c r="AE325">
        <v>80</v>
      </c>
      <c r="AF325">
        <v>3</v>
      </c>
      <c r="AG325">
        <v>4</v>
      </c>
      <c r="AH325">
        <v>3</v>
      </c>
      <c r="AI325">
        <v>4</v>
      </c>
      <c r="AJ325">
        <v>2</v>
      </c>
      <c r="AK325">
        <v>2</v>
      </c>
      <c r="AL325">
        <v>2</v>
      </c>
    </row>
    <row r="326" spans="1:38" x14ac:dyDescent="0.3">
      <c r="A326" t="s">
        <v>393</v>
      </c>
      <c r="B326">
        <v>29</v>
      </c>
      <c r="C326" t="s">
        <v>189</v>
      </c>
      <c r="D326" t="s">
        <v>48</v>
      </c>
      <c r="E326">
        <f t="shared" si="5"/>
        <v>0</v>
      </c>
      <c r="F326" t="s">
        <v>40</v>
      </c>
      <c r="G326">
        <v>1378</v>
      </c>
      <c r="H326" t="s">
        <v>41</v>
      </c>
      <c r="I326">
        <v>13</v>
      </c>
      <c r="J326">
        <v>2</v>
      </c>
      <c r="K326" t="s">
        <v>72</v>
      </c>
      <c r="L326">
        <v>1</v>
      </c>
      <c r="M326">
        <v>2053</v>
      </c>
      <c r="N326">
        <v>4</v>
      </c>
      <c r="O326" t="s">
        <v>43</v>
      </c>
      <c r="P326">
        <v>46</v>
      </c>
      <c r="Q326">
        <v>2</v>
      </c>
      <c r="R326">
        <v>2</v>
      </c>
      <c r="S326" t="s">
        <v>44</v>
      </c>
      <c r="T326">
        <v>2</v>
      </c>
      <c r="U326" t="s">
        <v>104</v>
      </c>
      <c r="V326">
        <v>4025</v>
      </c>
      <c r="W326" t="s">
        <v>46</v>
      </c>
      <c r="X326">
        <v>23679</v>
      </c>
      <c r="Y326">
        <v>4</v>
      </c>
      <c r="Z326" t="s">
        <v>47</v>
      </c>
      <c r="AA326" t="s">
        <v>39</v>
      </c>
      <c r="AB326">
        <v>13</v>
      </c>
      <c r="AC326">
        <v>3</v>
      </c>
      <c r="AD326">
        <v>1</v>
      </c>
      <c r="AE326">
        <v>80</v>
      </c>
      <c r="AF326">
        <v>1</v>
      </c>
      <c r="AG326">
        <v>10</v>
      </c>
      <c r="AH326">
        <v>2</v>
      </c>
      <c r="AI326">
        <v>3</v>
      </c>
      <c r="AJ326">
        <v>4</v>
      </c>
      <c r="AK326">
        <v>3</v>
      </c>
      <c r="AL326">
        <v>0</v>
      </c>
    </row>
    <row r="327" spans="1:38" x14ac:dyDescent="0.3">
      <c r="A327" t="s">
        <v>394</v>
      </c>
      <c r="B327">
        <v>29</v>
      </c>
      <c r="C327" t="s">
        <v>189</v>
      </c>
      <c r="D327" t="s">
        <v>48</v>
      </c>
      <c r="E327">
        <f t="shared" si="5"/>
        <v>0</v>
      </c>
      <c r="F327" t="s">
        <v>40</v>
      </c>
      <c r="G327">
        <v>468</v>
      </c>
      <c r="H327" t="s">
        <v>41</v>
      </c>
      <c r="I327">
        <v>28</v>
      </c>
      <c r="J327">
        <v>4</v>
      </c>
      <c r="K327" t="s">
        <v>51</v>
      </c>
      <c r="L327">
        <v>1</v>
      </c>
      <c r="M327">
        <v>2054</v>
      </c>
      <c r="N327">
        <v>4</v>
      </c>
      <c r="O327" t="s">
        <v>52</v>
      </c>
      <c r="P327">
        <v>73</v>
      </c>
      <c r="Q327">
        <v>2</v>
      </c>
      <c r="R327">
        <v>1</v>
      </c>
      <c r="S327" t="s">
        <v>59</v>
      </c>
      <c r="T327">
        <v>1</v>
      </c>
      <c r="U327" t="s">
        <v>45</v>
      </c>
      <c r="V327">
        <v>3785</v>
      </c>
      <c r="W327" t="s">
        <v>46</v>
      </c>
      <c r="X327">
        <v>8489</v>
      </c>
      <c r="Y327">
        <v>1</v>
      </c>
      <c r="Z327" t="s">
        <v>47</v>
      </c>
      <c r="AA327" t="s">
        <v>48</v>
      </c>
      <c r="AB327">
        <v>14</v>
      </c>
      <c r="AC327">
        <v>3</v>
      </c>
      <c r="AD327">
        <v>2</v>
      </c>
      <c r="AE327">
        <v>80</v>
      </c>
      <c r="AF327">
        <v>0</v>
      </c>
      <c r="AG327">
        <v>5</v>
      </c>
      <c r="AH327">
        <v>3</v>
      </c>
      <c r="AI327">
        <v>1</v>
      </c>
      <c r="AJ327">
        <v>5</v>
      </c>
      <c r="AK327">
        <v>4</v>
      </c>
      <c r="AL327">
        <v>0</v>
      </c>
    </row>
    <row r="328" spans="1:38" x14ac:dyDescent="0.3">
      <c r="A328" t="s">
        <v>395</v>
      </c>
      <c r="B328">
        <v>30</v>
      </c>
      <c r="C328" t="s">
        <v>189</v>
      </c>
      <c r="D328" t="s">
        <v>48</v>
      </c>
      <c r="E328">
        <f t="shared" si="5"/>
        <v>0</v>
      </c>
      <c r="F328" t="s">
        <v>40</v>
      </c>
      <c r="G328">
        <v>1358</v>
      </c>
      <c r="H328" t="s">
        <v>41</v>
      </c>
      <c r="I328">
        <v>24</v>
      </c>
      <c r="J328">
        <v>1</v>
      </c>
      <c r="K328" t="s">
        <v>42</v>
      </c>
      <c r="L328">
        <v>1</v>
      </c>
      <c r="M328">
        <v>11</v>
      </c>
      <c r="N328">
        <v>4</v>
      </c>
      <c r="O328" t="s">
        <v>43</v>
      </c>
      <c r="P328">
        <v>67</v>
      </c>
      <c r="Q328">
        <v>3</v>
      </c>
      <c r="R328">
        <v>1</v>
      </c>
      <c r="S328" t="s">
        <v>44</v>
      </c>
      <c r="T328">
        <v>3</v>
      </c>
      <c r="U328" t="s">
        <v>101</v>
      </c>
      <c r="V328">
        <v>2693</v>
      </c>
      <c r="W328" t="s">
        <v>46</v>
      </c>
      <c r="X328">
        <v>13335</v>
      </c>
      <c r="Y328">
        <v>1</v>
      </c>
      <c r="Z328" t="s">
        <v>47</v>
      </c>
      <c r="AA328" t="s">
        <v>48</v>
      </c>
      <c r="AB328">
        <v>22</v>
      </c>
      <c r="AC328">
        <v>4</v>
      </c>
      <c r="AD328">
        <v>2</v>
      </c>
      <c r="AE328">
        <v>80</v>
      </c>
      <c r="AF328">
        <v>1</v>
      </c>
      <c r="AG328">
        <v>1</v>
      </c>
      <c r="AH328">
        <v>2</v>
      </c>
      <c r="AI328">
        <v>3</v>
      </c>
      <c r="AJ328">
        <v>1</v>
      </c>
      <c r="AK328">
        <v>0</v>
      </c>
      <c r="AL328">
        <v>0</v>
      </c>
    </row>
    <row r="329" spans="1:38" x14ac:dyDescent="0.3">
      <c r="A329" t="s">
        <v>396</v>
      </c>
      <c r="B329">
        <v>30</v>
      </c>
      <c r="C329" t="s">
        <v>189</v>
      </c>
      <c r="D329" t="s">
        <v>48</v>
      </c>
      <c r="E329">
        <f t="shared" si="5"/>
        <v>0</v>
      </c>
      <c r="F329" t="s">
        <v>40</v>
      </c>
      <c r="G329">
        <v>125</v>
      </c>
      <c r="H329" t="s">
        <v>41</v>
      </c>
      <c r="I329">
        <v>9</v>
      </c>
      <c r="J329">
        <v>2</v>
      </c>
      <c r="K329" t="s">
        <v>51</v>
      </c>
      <c r="L329">
        <v>1</v>
      </c>
      <c r="M329">
        <v>41</v>
      </c>
      <c r="N329">
        <v>4</v>
      </c>
      <c r="O329" t="s">
        <v>43</v>
      </c>
      <c r="P329">
        <v>83</v>
      </c>
      <c r="Q329">
        <v>2</v>
      </c>
      <c r="R329">
        <v>1</v>
      </c>
      <c r="S329" t="s">
        <v>44</v>
      </c>
      <c r="T329">
        <v>3</v>
      </c>
      <c r="U329" t="s">
        <v>45</v>
      </c>
      <c r="V329">
        <v>2206</v>
      </c>
      <c r="W329" t="s">
        <v>46</v>
      </c>
      <c r="X329">
        <v>16117</v>
      </c>
      <c r="Y329">
        <v>1</v>
      </c>
      <c r="Z329" t="s">
        <v>47</v>
      </c>
      <c r="AA329" t="s">
        <v>48</v>
      </c>
      <c r="AB329">
        <v>13</v>
      </c>
      <c r="AC329">
        <v>3</v>
      </c>
      <c r="AD329">
        <v>1</v>
      </c>
      <c r="AE329">
        <v>80</v>
      </c>
      <c r="AF329">
        <v>0</v>
      </c>
      <c r="AG329">
        <v>10</v>
      </c>
      <c r="AH329">
        <v>5</v>
      </c>
      <c r="AI329">
        <v>3</v>
      </c>
      <c r="AJ329">
        <v>10</v>
      </c>
      <c r="AK329">
        <v>0</v>
      </c>
      <c r="AL329">
        <v>1</v>
      </c>
    </row>
    <row r="330" spans="1:38" x14ac:dyDescent="0.3">
      <c r="A330" t="s">
        <v>397</v>
      </c>
      <c r="B330">
        <v>30</v>
      </c>
      <c r="C330" t="s">
        <v>189</v>
      </c>
      <c r="D330" t="s">
        <v>48</v>
      </c>
      <c r="E330">
        <f t="shared" si="5"/>
        <v>0</v>
      </c>
      <c r="F330" t="s">
        <v>55</v>
      </c>
      <c r="G330">
        <v>721</v>
      </c>
      <c r="H330" t="s">
        <v>41</v>
      </c>
      <c r="I330">
        <v>1</v>
      </c>
      <c r="J330">
        <v>2</v>
      </c>
      <c r="K330" t="s">
        <v>51</v>
      </c>
      <c r="L330">
        <v>1</v>
      </c>
      <c r="M330">
        <v>57</v>
      </c>
      <c r="N330">
        <v>3</v>
      </c>
      <c r="O330" t="s">
        <v>52</v>
      </c>
      <c r="P330">
        <v>58</v>
      </c>
      <c r="Q330">
        <v>3</v>
      </c>
      <c r="R330">
        <v>2</v>
      </c>
      <c r="S330" t="s">
        <v>44</v>
      </c>
      <c r="T330">
        <v>4</v>
      </c>
      <c r="U330" t="s">
        <v>45</v>
      </c>
      <c r="V330">
        <v>4011</v>
      </c>
      <c r="W330" t="s">
        <v>46</v>
      </c>
      <c r="X330">
        <v>10781</v>
      </c>
      <c r="Y330">
        <v>1</v>
      </c>
      <c r="Z330" t="s">
        <v>47</v>
      </c>
      <c r="AA330" t="s">
        <v>48</v>
      </c>
      <c r="AB330">
        <v>23</v>
      </c>
      <c r="AC330">
        <v>4</v>
      </c>
      <c r="AD330">
        <v>4</v>
      </c>
      <c r="AE330">
        <v>80</v>
      </c>
      <c r="AF330">
        <v>0</v>
      </c>
      <c r="AG330">
        <v>12</v>
      </c>
      <c r="AH330">
        <v>2</v>
      </c>
      <c r="AI330">
        <v>3</v>
      </c>
      <c r="AJ330">
        <v>12</v>
      </c>
      <c r="AK330">
        <v>8</v>
      </c>
      <c r="AL330">
        <v>3</v>
      </c>
    </row>
    <row r="331" spans="1:38" x14ac:dyDescent="0.3">
      <c r="A331" t="s">
        <v>398</v>
      </c>
      <c r="B331">
        <v>30</v>
      </c>
      <c r="C331" t="s">
        <v>189</v>
      </c>
      <c r="D331" t="s">
        <v>48</v>
      </c>
      <c r="E331">
        <f t="shared" si="5"/>
        <v>0</v>
      </c>
      <c r="F331" t="s">
        <v>40</v>
      </c>
      <c r="G331">
        <v>852</v>
      </c>
      <c r="H331" t="s">
        <v>41</v>
      </c>
      <c r="I331">
        <v>1</v>
      </c>
      <c r="J331">
        <v>1</v>
      </c>
      <c r="K331" t="s">
        <v>42</v>
      </c>
      <c r="L331">
        <v>1</v>
      </c>
      <c r="M331">
        <v>104</v>
      </c>
      <c r="N331">
        <v>4</v>
      </c>
      <c r="O331" t="s">
        <v>43</v>
      </c>
      <c r="P331">
        <v>55</v>
      </c>
      <c r="Q331">
        <v>2</v>
      </c>
      <c r="R331">
        <v>2</v>
      </c>
      <c r="S331" t="s">
        <v>44</v>
      </c>
      <c r="T331">
        <v>4</v>
      </c>
      <c r="U331" t="s">
        <v>104</v>
      </c>
      <c r="V331">
        <v>5126</v>
      </c>
      <c r="W331" t="s">
        <v>162</v>
      </c>
      <c r="X331">
        <v>15998</v>
      </c>
      <c r="Y331">
        <v>1</v>
      </c>
      <c r="Z331" t="s">
        <v>47</v>
      </c>
      <c r="AA331" t="s">
        <v>39</v>
      </c>
      <c r="AB331">
        <v>12</v>
      </c>
      <c r="AC331">
        <v>3</v>
      </c>
      <c r="AD331">
        <v>3</v>
      </c>
      <c r="AE331">
        <v>80</v>
      </c>
      <c r="AF331">
        <v>2</v>
      </c>
      <c r="AG331">
        <v>10</v>
      </c>
      <c r="AH331">
        <v>1</v>
      </c>
      <c r="AI331">
        <v>2</v>
      </c>
      <c r="AJ331">
        <v>10</v>
      </c>
      <c r="AK331">
        <v>8</v>
      </c>
      <c r="AL331">
        <v>3</v>
      </c>
    </row>
    <row r="332" spans="1:38" x14ac:dyDescent="0.3">
      <c r="A332" t="s">
        <v>399</v>
      </c>
      <c r="B332">
        <v>30</v>
      </c>
      <c r="C332" t="s">
        <v>189</v>
      </c>
      <c r="D332" t="s">
        <v>48</v>
      </c>
      <c r="E332">
        <f t="shared" si="5"/>
        <v>0</v>
      </c>
      <c r="F332" t="s">
        <v>40</v>
      </c>
      <c r="G332">
        <v>288</v>
      </c>
      <c r="H332" t="s">
        <v>41</v>
      </c>
      <c r="I332">
        <v>2</v>
      </c>
      <c r="J332">
        <v>3</v>
      </c>
      <c r="K332" t="s">
        <v>42</v>
      </c>
      <c r="L332">
        <v>1</v>
      </c>
      <c r="M332">
        <v>117</v>
      </c>
      <c r="N332">
        <v>3</v>
      </c>
      <c r="O332" t="s">
        <v>43</v>
      </c>
      <c r="P332">
        <v>99</v>
      </c>
      <c r="Q332">
        <v>2</v>
      </c>
      <c r="R332">
        <v>2</v>
      </c>
      <c r="S332" t="s">
        <v>160</v>
      </c>
      <c r="T332">
        <v>4</v>
      </c>
      <c r="U332" t="s">
        <v>104</v>
      </c>
      <c r="V332">
        <v>4152</v>
      </c>
      <c r="W332" t="s">
        <v>46</v>
      </c>
      <c r="X332">
        <v>15830</v>
      </c>
      <c r="Y332">
        <v>1</v>
      </c>
      <c r="Z332" t="s">
        <v>47</v>
      </c>
      <c r="AA332" t="s">
        <v>48</v>
      </c>
      <c r="AB332">
        <v>19</v>
      </c>
      <c r="AC332">
        <v>3</v>
      </c>
      <c r="AD332">
        <v>1</v>
      </c>
      <c r="AE332">
        <v>80</v>
      </c>
      <c r="AF332">
        <v>3</v>
      </c>
      <c r="AG332">
        <v>11</v>
      </c>
      <c r="AH332">
        <v>3</v>
      </c>
      <c r="AI332">
        <v>3</v>
      </c>
      <c r="AJ332">
        <v>11</v>
      </c>
      <c r="AK332">
        <v>10</v>
      </c>
      <c r="AL332">
        <v>10</v>
      </c>
    </row>
    <row r="333" spans="1:38" x14ac:dyDescent="0.3">
      <c r="A333" t="s">
        <v>400</v>
      </c>
      <c r="B333">
        <v>30</v>
      </c>
      <c r="C333" t="s">
        <v>189</v>
      </c>
      <c r="D333" t="s">
        <v>48</v>
      </c>
      <c r="E333">
        <f t="shared" si="5"/>
        <v>0</v>
      </c>
      <c r="F333" t="s">
        <v>40</v>
      </c>
      <c r="G333">
        <v>1334</v>
      </c>
      <c r="H333" t="s">
        <v>50</v>
      </c>
      <c r="I333">
        <v>4</v>
      </c>
      <c r="J333">
        <v>2</v>
      </c>
      <c r="K333" t="s">
        <v>51</v>
      </c>
      <c r="L333">
        <v>1</v>
      </c>
      <c r="M333">
        <v>121</v>
      </c>
      <c r="N333">
        <v>3</v>
      </c>
      <c r="O333" t="s">
        <v>52</v>
      </c>
      <c r="P333">
        <v>63</v>
      </c>
      <c r="Q333">
        <v>2</v>
      </c>
      <c r="R333">
        <v>2</v>
      </c>
      <c r="S333" t="s">
        <v>136</v>
      </c>
      <c r="T333">
        <v>2</v>
      </c>
      <c r="U333" t="s">
        <v>101</v>
      </c>
      <c r="V333">
        <v>5209</v>
      </c>
      <c r="W333" t="s">
        <v>162</v>
      </c>
      <c r="X333">
        <v>19760</v>
      </c>
      <c r="Y333">
        <v>1</v>
      </c>
      <c r="Z333" t="s">
        <v>47</v>
      </c>
      <c r="AA333" t="s">
        <v>39</v>
      </c>
      <c r="AB333">
        <v>12</v>
      </c>
      <c r="AC333">
        <v>3</v>
      </c>
      <c r="AD333">
        <v>2</v>
      </c>
      <c r="AE333">
        <v>80</v>
      </c>
      <c r="AF333">
        <v>3</v>
      </c>
      <c r="AG333">
        <v>11</v>
      </c>
      <c r="AH333">
        <v>4</v>
      </c>
      <c r="AI333">
        <v>2</v>
      </c>
      <c r="AJ333">
        <v>11</v>
      </c>
      <c r="AK333">
        <v>8</v>
      </c>
      <c r="AL333">
        <v>2</v>
      </c>
    </row>
    <row r="334" spans="1:38" x14ac:dyDescent="0.3">
      <c r="A334" t="s">
        <v>401</v>
      </c>
      <c r="B334">
        <v>30</v>
      </c>
      <c r="C334" t="s">
        <v>189</v>
      </c>
      <c r="D334" t="s">
        <v>48</v>
      </c>
      <c r="E334">
        <f t="shared" si="5"/>
        <v>0</v>
      </c>
      <c r="F334" t="s">
        <v>55</v>
      </c>
      <c r="G334">
        <v>1312</v>
      </c>
      <c r="H334" t="s">
        <v>41</v>
      </c>
      <c r="I334">
        <v>23</v>
      </c>
      <c r="J334">
        <v>3</v>
      </c>
      <c r="K334" t="s">
        <v>42</v>
      </c>
      <c r="L334">
        <v>1</v>
      </c>
      <c r="M334">
        <v>159</v>
      </c>
      <c r="N334">
        <v>1</v>
      </c>
      <c r="O334" t="s">
        <v>43</v>
      </c>
      <c r="P334">
        <v>96</v>
      </c>
      <c r="Q334">
        <v>1</v>
      </c>
      <c r="R334">
        <v>1</v>
      </c>
      <c r="S334" t="s">
        <v>59</v>
      </c>
      <c r="T334">
        <v>3</v>
      </c>
      <c r="U334" t="s">
        <v>101</v>
      </c>
      <c r="V334">
        <v>2613</v>
      </c>
      <c r="W334" t="s">
        <v>46</v>
      </c>
      <c r="X334">
        <v>22310</v>
      </c>
      <c r="Y334">
        <v>1</v>
      </c>
      <c r="Z334" t="s">
        <v>47</v>
      </c>
      <c r="AA334" t="s">
        <v>48</v>
      </c>
      <c r="AB334">
        <v>25</v>
      </c>
      <c r="AC334">
        <v>4</v>
      </c>
      <c r="AD334">
        <v>3</v>
      </c>
      <c r="AE334">
        <v>80</v>
      </c>
      <c r="AF334">
        <v>3</v>
      </c>
      <c r="AG334">
        <v>10</v>
      </c>
      <c r="AH334">
        <v>2</v>
      </c>
      <c r="AI334">
        <v>2</v>
      </c>
      <c r="AJ334">
        <v>10</v>
      </c>
      <c r="AK334">
        <v>7</v>
      </c>
      <c r="AL334">
        <v>0</v>
      </c>
    </row>
    <row r="335" spans="1:38" x14ac:dyDescent="0.3">
      <c r="A335" t="s">
        <v>402</v>
      </c>
      <c r="B335">
        <v>30</v>
      </c>
      <c r="C335" t="s">
        <v>189</v>
      </c>
      <c r="D335" t="s">
        <v>48</v>
      </c>
      <c r="E335">
        <f t="shared" si="5"/>
        <v>0</v>
      </c>
      <c r="F335" t="s">
        <v>40</v>
      </c>
      <c r="G335">
        <v>1240</v>
      </c>
      <c r="H335" t="s">
        <v>70</v>
      </c>
      <c r="I335">
        <v>9</v>
      </c>
      <c r="J335">
        <v>3</v>
      </c>
      <c r="K335" t="s">
        <v>70</v>
      </c>
      <c r="L335">
        <v>1</v>
      </c>
      <c r="M335">
        <v>184</v>
      </c>
      <c r="N335">
        <v>3</v>
      </c>
      <c r="O335" t="s">
        <v>43</v>
      </c>
      <c r="P335">
        <v>48</v>
      </c>
      <c r="Q335">
        <v>3</v>
      </c>
      <c r="R335">
        <v>2</v>
      </c>
      <c r="S335" t="s">
        <v>70</v>
      </c>
      <c r="T335">
        <v>4</v>
      </c>
      <c r="U335" t="s">
        <v>104</v>
      </c>
      <c r="V335">
        <v>6347</v>
      </c>
      <c r="W335" t="s">
        <v>162</v>
      </c>
      <c r="X335">
        <v>13982</v>
      </c>
      <c r="Y335">
        <v>0</v>
      </c>
      <c r="Z335" t="s">
        <v>47</v>
      </c>
      <c r="AA335" t="s">
        <v>39</v>
      </c>
      <c r="AB335">
        <v>19</v>
      </c>
      <c r="AC335">
        <v>3</v>
      </c>
      <c r="AD335">
        <v>4</v>
      </c>
      <c r="AE335">
        <v>80</v>
      </c>
      <c r="AF335">
        <v>0</v>
      </c>
      <c r="AG335">
        <v>12</v>
      </c>
      <c r="AH335">
        <v>2</v>
      </c>
      <c r="AI335">
        <v>1</v>
      </c>
      <c r="AJ335">
        <v>11</v>
      </c>
      <c r="AK335">
        <v>9</v>
      </c>
      <c r="AL335">
        <v>4</v>
      </c>
    </row>
    <row r="336" spans="1:38" x14ac:dyDescent="0.3">
      <c r="A336" t="s">
        <v>403</v>
      </c>
      <c r="B336">
        <v>30</v>
      </c>
      <c r="C336" t="s">
        <v>189</v>
      </c>
      <c r="D336" t="s">
        <v>48</v>
      </c>
      <c r="E336">
        <f t="shared" si="5"/>
        <v>0</v>
      </c>
      <c r="F336" t="s">
        <v>40</v>
      </c>
      <c r="G336">
        <v>438</v>
      </c>
      <c r="H336" t="s">
        <v>41</v>
      </c>
      <c r="I336">
        <v>18</v>
      </c>
      <c r="J336">
        <v>3</v>
      </c>
      <c r="K336" t="s">
        <v>42</v>
      </c>
      <c r="L336">
        <v>1</v>
      </c>
      <c r="M336">
        <v>194</v>
      </c>
      <c r="N336">
        <v>1</v>
      </c>
      <c r="O336" t="s">
        <v>52</v>
      </c>
      <c r="P336">
        <v>75</v>
      </c>
      <c r="Q336">
        <v>3</v>
      </c>
      <c r="R336">
        <v>1</v>
      </c>
      <c r="S336" t="s">
        <v>59</v>
      </c>
      <c r="T336">
        <v>3</v>
      </c>
      <c r="U336" t="s">
        <v>45</v>
      </c>
      <c r="V336">
        <v>2632</v>
      </c>
      <c r="W336" t="s">
        <v>46</v>
      </c>
      <c r="X336">
        <v>23910</v>
      </c>
      <c r="Y336">
        <v>1</v>
      </c>
      <c r="Z336" t="s">
        <v>47</v>
      </c>
      <c r="AA336" t="s">
        <v>48</v>
      </c>
      <c r="AB336">
        <v>14</v>
      </c>
      <c r="AC336">
        <v>3</v>
      </c>
      <c r="AD336">
        <v>3</v>
      </c>
      <c r="AE336">
        <v>80</v>
      </c>
      <c r="AF336">
        <v>0</v>
      </c>
      <c r="AG336">
        <v>5</v>
      </c>
      <c r="AH336">
        <v>4</v>
      </c>
      <c r="AI336">
        <v>2</v>
      </c>
      <c r="AJ336">
        <v>5</v>
      </c>
      <c r="AK336">
        <v>4</v>
      </c>
      <c r="AL336">
        <v>0</v>
      </c>
    </row>
    <row r="337" spans="1:38" x14ac:dyDescent="0.3">
      <c r="A337" t="s">
        <v>404</v>
      </c>
      <c r="B337">
        <v>30</v>
      </c>
      <c r="C337" t="s">
        <v>189</v>
      </c>
      <c r="D337" t="s">
        <v>48</v>
      </c>
      <c r="E337">
        <f t="shared" si="5"/>
        <v>0</v>
      </c>
      <c r="F337" t="s">
        <v>40</v>
      </c>
      <c r="G337">
        <v>201</v>
      </c>
      <c r="H337" t="s">
        <v>41</v>
      </c>
      <c r="I337">
        <v>5</v>
      </c>
      <c r="J337">
        <v>3</v>
      </c>
      <c r="K337" t="s">
        <v>67</v>
      </c>
      <c r="L337">
        <v>1</v>
      </c>
      <c r="M337">
        <v>197</v>
      </c>
      <c r="N337">
        <v>4</v>
      </c>
      <c r="O337" t="s">
        <v>52</v>
      </c>
      <c r="P337">
        <v>84</v>
      </c>
      <c r="Q337">
        <v>3</v>
      </c>
      <c r="R337">
        <v>1</v>
      </c>
      <c r="S337" t="s">
        <v>59</v>
      </c>
      <c r="T337">
        <v>1</v>
      </c>
      <c r="U337" t="s">
        <v>101</v>
      </c>
      <c r="V337">
        <v>3204</v>
      </c>
      <c r="W337" t="s">
        <v>46</v>
      </c>
      <c r="X337">
        <v>10415</v>
      </c>
      <c r="Y337">
        <v>5</v>
      </c>
      <c r="Z337" t="s">
        <v>47</v>
      </c>
      <c r="AA337" t="s">
        <v>48</v>
      </c>
      <c r="AB337">
        <v>14</v>
      </c>
      <c r="AC337">
        <v>3</v>
      </c>
      <c r="AD337">
        <v>4</v>
      </c>
      <c r="AE337">
        <v>80</v>
      </c>
      <c r="AF337">
        <v>1</v>
      </c>
      <c r="AG337">
        <v>8</v>
      </c>
      <c r="AH337">
        <v>3</v>
      </c>
      <c r="AI337">
        <v>3</v>
      </c>
      <c r="AJ337">
        <v>3</v>
      </c>
      <c r="AK337">
        <v>2</v>
      </c>
      <c r="AL337">
        <v>2</v>
      </c>
    </row>
    <row r="338" spans="1:38" x14ac:dyDescent="0.3">
      <c r="A338" t="s">
        <v>405</v>
      </c>
      <c r="B338">
        <v>30</v>
      </c>
      <c r="C338" t="s">
        <v>189</v>
      </c>
      <c r="D338" t="s">
        <v>48</v>
      </c>
      <c r="E338">
        <f t="shared" si="5"/>
        <v>0</v>
      </c>
      <c r="F338" t="s">
        <v>40</v>
      </c>
      <c r="G338">
        <v>1427</v>
      </c>
      <c r="H338" t="s">
        <v>41</v>
      </c>
      <c r="I338">
        <v>2</v>
      </c>
      <c r="J338">
        <v>1</v>
      </c>
      <c r="K338" t="s">
        <v>51</v>
      </c>
      <c r="L338">
        <v>1</v>
      </c>
      <c r="M338">
        <v>198</v>
      </c>
      <c r="N338">
        <v>2</v>
      </c>
      <c r="O338" t="s">
        <v>43</v>
      </c>
      <c r="P338">
        <v>35</v>
      </c>
      <c r="Q338">
        <v>2</v>
      </c>
      <c r="R338">
        <v>1</v>
      </c>
      <c r="S338" t="s">
        <v>44</v>
      </c>
      <c r="T338">
        <v>4</v>
      </c>
      <c r="U338" t="s">
        <v>45</v>
      </c>
      <c r="V338">
        <v>2720</v>
      </c>
      <c r="W338" t="s">
        <v>46</v>
      </c>
      <c r="X338">
        <v>11162</v>
      </c>
      <c r="Y338">
        <v>0</v>
      </c>
      <c r="Z338" t="s">
        <v>47</v>
      </c>
      <c r="AA338" t="s">
        <v>48</v>
      </c>
      <c r="AB338">
        <v>13</v>
      </c>
      <c r="AC338">
        <v>3</v>
      </c>
      <c r="AD338">
        <v>4</v>
      </c>
      <c r="AE338">
        <v>80</v>
      </c>
      <c r="AF338">
        <v>0</v>
      </c>
      <c r="AG338">
        <v>6</v>
      </c>
      <c r="AH338">
        <v>3</v>
      </c>
      <c r="AI338">
        <v>3</v>
      </c>
      <c r="AJ338">
        <v>5</v>
      </c>
      <c r="AK338">
        <v>3</v>
      </c>
      <c r="AL338">
        <v>1</v>
      </c>
    </row>
    <row r="339" spans="1:38" x14ac:dyDescent="0.3">
      <c r="A339" t="s">
        <v>406</v>
      </c>
      <c r="B339">
        <v>30</v>
      </c>
      <c r="C339" t="s">
        <v>189</v>
      </c>
      <c r="D339" t="s">
        <v>48</v>
      </c>
      <c r="E339">
        <f t="shared" si="5"/>
        <v>0</v>
      </c>
      <c r="F339" t="s">
        <v>40</v>
      </c>
      <c r="G339">
        <v>1339</v>
      </c>
      <c r="H339" t="s">
        <v>50</v>
      </c>
      <c r="I339">
        <v>5</v>
      </c>
      <c r="J339">
        <v>3</v>
      </c>
      <c r="K339" t="s">
        <v>42</v>
      </c>
      <c r="L339">
        <v>1</v>
      </c>
      <c r="M339">
        <v>228</v>
      </c>
      <c r="N339">
        <v>2</v>
      </c>
      <c r="O339" t="s">
        <v>52</v>
      </c>
      <c r="P339">
        <v>41</v>
      </c>
      <c r="Q339">
        <v>3</v>
      </c>
      <c r="R339">
        <v>3</v>
      </c>
      <c r="S339" t="s">
        <v>136</v>
      </c>
      <c r="T339">
        <v>4</v>
      </c>
      <c r="U339" t="s">
        <v>104</v>
      </c>
      <c r="V339">
        <v>9419</v>
      </c>
      <c r="W339" t="s">
        <v>162</v>
      </c>
      <c r="X339">
        <v>8053</v>
      </c>
      <c r="Y339">
        <v>2</v>
      </c>
      <c r="Z339" t="s">
        <v>47</v>
      </c>
      <c r="AA339" t="s">
        <v>48</v>
      </c>
      <c r="AB339">
        <v>12</v>
      </c>
      <c r="AC339">
        <v>3</v>
      </c>
      <c r="AD339">
        <v>3</v>
      </c>
      <c r="AE339">
        <v>80</v>
      </c>
      <c r="AF339">
        <v>1</v>
      </c>
      <c r="AG339">
        <v>12</v>
      </c>
      <c r="AH339">
        <v>2</v>
      </c>
      <c r="AI339">
        <v>3</v>
      </c>
      <c r="AJ339">
        <v>10</v>
      </c>
      <c r="AK339">
        <v>9</v>
      </c>
      <c r="AL339">
        <v>7</v>
      </c>
    </row>
    <row r="340" spans="1:38" x14ac:dyDescent="0.3">
      <c r="A340" t="s">
        <v>407</v>
      </c>
      <c r="B340">
        <v>30</v>
      </c>
      <c r="C340" t="s">
        <v>189</v>
      </c>
      <c r="D340" t="s">
        <v>48</v>
      </c>
      <c r="E340">
        <f t="shared" si="5"/>
        <v>0</v>
      </c>
      <c r="F340" t="s">
        <v>58</v>
      </c>
      <c r="G340">
        <v>111</v>
      </c>
      <c r="H340" t="s">
        <v>41</v>
      </c>
      <c r="I340">
        <v>9</v>
      </c>
      <c r="J340">
        <v>3</v>
      </c>
      <c r="K340" t="s">
        <v>51</v>
      </c>
      <c r="L340">
        <v>1</v>
      </c>
      <c r="M340">
        <v>239</v>
      </c>
      <c r="N340">
        <v>3</v>
      </c>
      <c r="O340" t="s">
        <v>43</v>
      </c>
      <c r="P340">
        <v>66</v>
      </c>
      <c r="Q340">
        <v>3</v>
      </c>
      <c r="R340">
        <v>2</v>
      </c>
      <c r="S340" t="s">
        <v>44</v>
      </c>
      <c r="T340">
        <v>1</v>
      </c>
      <c r="U340" t="s">
        <v>101</v>
      </c>
      <c r="V340">
        <v>3072</v>
      </c>
      <c r="W340" t="s">
        <v>46</v>
      </c>
      <c r="X340">
        <v>11012</v>
      </c>
      <c r="Y340">
        <v>1</v>
      </c>
      <c r="Z340" t="s">
        <v>47</v>
      </c>
      <c r="AA340" t="s">
        <v>48</v>
      </c>
      <c r="AB340">
        <v>11</v>
      </c>
      <c r="AC340">
        <v>3</v>
      </c>
      <c r="AD340">
        <v>3</v>
      </c>
      <c r="AE340">
        <v>80</v>
      </c>
      <c r="AF340">
        <v>2</v>
      </c>
      <c r="AG340">
        <v>12</v>
      </c>
      <c r="AH340">
        <v>4</v>
      </c>
      <c r="AI340">
        <v>3</v>
      </c>
      <c r="AJ340">
        <v>12</v>
      </c>
      <c r="AK340">
        <v>9</v>
      </c>
      <c r="AL340">
        <v>6</v>
      </c>
    </row>
    <row r="341" spans="1:38" x14ac:dyDescent="0.3">
      <c r="A341" t="s">
        <v>408</v>
      </c>
      <c r="B341">
        <v>30</v>
      </c>
      <c r="C341" t="s">
        <v>189</v>
      </c>
      <c r="D341" t="s">
        <v>48</v>
      </c>
      <c r="E341">
        <f t="shared" si="5"/>
        <v>0</v>
      </c>
      <c r="F341" t="s">
        <v>58</v>
      </c>
      <c r="G341">
        <v>829</v>
      </c>
      <c r="H341" t="s">
        <v>41</v>
      </c>
      <c r="I341">
        <v>1</v>
      </c>
      <c r="J341">
        <v>1</v>
      </c>
      <c r="K341" t="s">
        <v>42</v>
      </c>
      <c r="L341">
        <v>1</v>
      </c>
      <c r="M341">
        <v>292</v>
      </c>
      <c r="N341">
        <v>3</v>
      </c>
      <c r="O341" t="s">
        <v>43</v>
      </c>
      <c r="P341">
        <v>88</v>
      </c>
      <c r="Q341">
        <v>2</v>
      </c>
      <c r="R341">
        <v>3</v>
      </c>
      <c r="S341" t="s">
        <v>111</v>
      </c>
      <c r="T341">
        <v>3</v>
      </c>
      <c r="U341" t="s">
        <v>45</v>
      </c>
      <c r="V341">
        <v>8474</v>
      </c>
      <c r="W341" t="s">
        <v>162</v>
      </c>
      <c r="X341">
        <v>20925</v>
      </c>
      <c r="Y341">
        <v>1</v>
      </c>
      <c r="Z341" t="s">
        <v>47</v>
      </c>
      <c r="AA341" t="s">
        <v>48</v>
      </c>
      <c r="AB341">
        <v>22</v>
      </c>
      <c r="AC341">
        <v>4</v>
      </c>
      <c r="AD341">
        <v>3</v>
      </c>
      <c r="AE341">
        <v>80</v>
      </c>
      <c r="AF341">
        <v>0</v>
      </c>
      <c r="AG341">
        <v>12</v>
      </c>
      <c r="AH341">
        <v>2</v>
      </c>
      <c r="AI341">
        <v>3</v>
      </c>
      <c r="AJ341">
        <v>11</v>
      </c>
      <c r="AK341">
        <v>8</v>
      </c>
      <c r="AL341">
        <v>5</v>
      </c>
    </row>
    <row r="342" spans="1:38" x14ac:dyDescent="0.3">
      <c r="A342" t="s">
        <v>409</v>
      </c>
      <c r="B342">
        <v>30</v>
      </c>
      <c r="C342" t="s">
        <v>189</v>
      </c>
      <c r="D342" t="s">
        <v>39</v>
      </c>
      <c r="E342">
        <f t="shared" si="5"/>
        <v>1</v>
      </c>
      <c r="F342" t="s">
        <v>40</v>
      </c>
      <c r="G342">
        <v>1005</v>
      </c>
      <c r="H342" t="s">
        <v>41</v>
      </c>
      <c r="I342">
        <v>3</v>
      </c>
      <c r="J342">
        <v>3</v>
      </c>
      <c r="K342" t="s">
        <v>67</v>
      </c>
      <c r="L342">
        <v>1</v>
      </c>
      <c r="M342">
        <v>297</v>
      </c>
      <c r="N342">
        <v>4</v>
      </c>
      <c r="O342" t="s">
        <v>52</v>
      </c>
      <c r="P342">
        <v>88</v>
      </c>
      <c r="Q342">
        <v>3</v>
      </c>
      <c r="R342">
        <v>1</v>
      </c>
      <c r="S342" t="s">
        <v>59</v>
      </c>
      <c r="T342">
        <v>1</v>
      </c>
      <c r="U342" t="s">
        <v>45</v>
      </c>
      <c r="V342">
        <v>2657</v>
      </c>
      <c r="W342" t="s">
        <v>46</v>
      </c>
      <c r="X342">
        <v>8556</v>
      </c>
      <c r="Y342">
        <v>5</v>
      </c>
      <c r="Z342" t="s">
        <v>47</v>
      </c>
      <c r="AA342" t="s">
        <v>39</v>
      </c>
      <c r="AB342">
        <v>11</v>
      </c>
      <c r="AC342">
        <v>3</v>
      </c>
      <c r="AD342">
        <v>3</v>
      </c>
      <c r="AE342">
        <v>80</v>
      </c>
      <c r="AF342">
        <v>0</v>
      </c>
      <c r="AG342">
        <v>8</v>
      </c>
      <c r="AH342">
        <v>5</v>
      </c>
      <c r="AI342">
        <v>3</v>
      </c>
      <c r="AJ342">
        <v>5</v>
      </c>
      <c r="AK342">
        <v>2</v>
      </c>
      <c r="AL342">
        <v>0</v>
      </c>
    </row>
    <row r="343" spans="1:38" x14ac:dyDescent="0.3">
      <c r="A343" t="s">
        <v>410</v>
      </c>
      <c r="B343">
        <v>30</v>
      </c>
      <c r="C343" t="s">
        <v>189</v>
      </c>
      <c r="D343" t="s">
        <v>39</v>
      </c>
      <c r="E343">
        <f t="shared" si="5"/>
        <v>1</v>
      </c>
      <c r="F343" t="s">
        <v>55</v>
      </c>
      <c r="G343">
        <v>334</v>
      </c>
      <c r="H343" t="s">
        <v>50</v>
      </c>
      <c r="I343">
        <v>26</v>
      </c>
      <c r="J343">
        <v>4</v>
      </c>
      <c r="K343" t="s">
        <v>56</v>
      </c>
      <c r="L343">
        <v>1</v>
      </c>
      <c r="M343">
        <v>299</v>
      </c>
      <c r="N343">
        <v>3</v>
      </c>
      <c r="O343" t="s">
        <v>52</v>
      </c>
      <c r="P343">
        <v>52</v>
      </c>
      <c r="Q343">
        <v>2</v>
      </c>
      <c r="R343">
        <v>2</v>
      </c>
      <c r="S343" t="s">
        <v>136</v>
      </c>
      <c r="T343">
        <v>1</v>
      </c>
      <c r="U343" t="s">
        <v>45</v>
      </c>
      <c r="V343">
        <v>6696</v>
      </c>
      <c r="W343" t="s">
        <v>162</v>
      </c>
      <c r="X343">
        <v>22967</v>
      </c>
      <c r="Y343">
        <v>5</v>
      </c>
      <c r="Z343" t="s">
        <v>47</v>
      </c>
      <c r="AA343" t="s">
        <v>48</v>
      </c>
      <c r="AB343">
        <v>15</v>
      </c>
      <c r="AC343">
        <v>3</v>
      </c>
      <c r="AD343">
        <v>3</v>
      </c>
      <c r="AE343">
        <v>80</v>
      </c>
      <c r="AF343">
        <v>0</v>
      </c>
      <c r="AG343">
        <v>9</v>
      </c>
      <c r="AH343">
        <v>5</v>
      </c>
      <c r="AI343">
        <v>2</v>
      </c>
      <c r="AJ343">
        <v>6</v>
      </c>
      <c r="AK343">
        <v>3</v>
      </c>
      <c r="AL343">
        <v>0</v>
      </c>
    </row>
    <row r="344" spans="1:38" x14ac:dyDescent="0.3">
      <c r="A344" t="s">
        <v>411</v>
      </c>
      <c r="B344">
        <v>30</v>
      </c>
      <c r="C344" t="s">
        <v>189</v>
      </c>
      <c r="D344" t="s">
        <v>48</v>
      </c>
      <c r="E344">
        <f t="shared" si="5"/>
        <v>0</v>
      </c>
      <c r="F344" t="s">
        <v>40</v>
      </c>
      <c r="G344">
        <v>1275</v>
      </c>
      <c r="H344" t="s">
        <v>41</v>
      </c>
      <c r="I344">
        <v>28</v>
      </c>
      <c r="J344">
        <v>2</v>
      </c>
      <c r="K344" t="s">
        <v>51</v>
      </c>
      <c r="L344">
        <v>1</v>
      </c>
      <c r="M344">
        <v>441</v>
      </c>
      <c r="N344">
        <v>4</v>
      </c>
      <c r="O344" t="s">
        <v>52</v>
      </c>
      <c r="P344">
        <v>64</v>
      </c>
      <c r="Q344">
        <v>3</v>
      </c>
      <c r="R344">
        <v>2</v>
      </c>
      <c r="S344" t="s">
        <v>59</v>
      </c>
      <c r="T344">
        <v>4</v>
      </c>
      <c r="U344" t="s">
        <v>104</v>
      </c>
      <c r="V344">
        <v>5775</v>
      </c>
      <c r="W344" t="s">
        <v>162</v>
      </c>
      <c r="X344">
        <v>11934</v>
      </c>
      <c r="Y344">
        <v>1</v>
      </c>
      <c r="Z344" t="s">
        <v>47</v>
      </c>
      <c r="AA344" t="s">
        <v>48</v>
      </c>
      <c r="AB344">
        <v>13</v>
      </c>
      <c r="AC344">
        <v>3</v>
      </c>
      <c r="AD344">
        <v>4</v>
      </c>
      <c r="AE344">
        <v>80</v>
      </c>
      <c r="AF344">
        <v>2</v>
      </c>
      <c r="AG344">
        <v>11</v>
      </c>
      <c r="AH344">
        <v>2</v>
      </c>
      <c r="AI344">
        <v>3</v>
      </c>
      <c r="AJ344">
        <v>10</v>
      </c>
      <c r="AK344">
        <v>8</v>
      </c>
      <c r="AL344">
        <v>1</v>
      </c>
    </row>
    <row r="345" spans="1:38" x14ac:dyDescent="0.3">
      <c r="A345" t="s">
        <v>412</v>
      </c>
      <c r="B345">
        <v>30</v>
      </c>
      <c r="C345" t="s">
        <v>189</v>
      </c>
      <c r="D345" t="s">
        <v>48</v>
      </c>
      <c r="E345">
        <f t="shared" si="5"/>
        <v>0</v>
      </c>
      <c r="F345" t="s">
        <v>40</v>
      </c>
      <c r="G345">
        <v>570</v>
      </c>
      <c r="H345" t="s">
        <v>50</v>
      </c>
      <c r="I345">
        <v>5</v>
      </c>
      <c r="J345">
        <v>3</v>
      </c>
      <c r="K345" t="s">
        <v>56</v>
      </c>
      <c r="L345">
        <v>1</v>
      </c>
      <c r="M345">
        <v>456</v>
      </c>
      <c r="N345">
        <v>4</v>
      </c>
      <c r="O345" t="s">
        <v>52</v>
      </c>
      <c r="P345">
        <v>30</v>
      </c>
      <c r="Q345">
        <v>2</v>
      </c>
      <c r="R345">
        <v>2</v>
      </c>
      <c r="S345" t="s">
        <v>136</v>
      </c>
      <c r="T345">
        <v>3</v>
      </c>
      <c r="U345" t="s">
        <v>101</v>
      </c>
      <c r="V345">
        <v>6118</v>
      </c>
      <c r="W345" t="s">
        <v>162</v>
      </c>
      <c r="X345">
        <v>5431</v>
      </c>
      <c r="Y345">
        <v>1</v>
      </c>
      <c r="Z345" t="s">
        <v>47</v>
      </c>
      <c r="AA345" t="s">
        <v>48</v>
      </c>
      <c r="AB345">
        <v>13</v>
      </c>
      <c r="AC345">
        <v>3</v>
      </c>
      <c r="AD345">
        <v>3</v>
      </c>
      <c r="AE345">
        <v>80</v>
      </c>
      <c r="AF345">
        <v>3</v>
      </c>
      <c r="AG345">
        <v>10</v>
      </c>
      <c r="AH345">
        <v>2</v>
      </c>
      <c r="AI345">
        <v>3</v>
      </c>
      <c r="AJ345">
        <v>10</v>
      </c>
      <c r="AK345">
        <v>9</v>
      </c>
      <c r="AL345">
        <v>1</v>
      </c>
    </row>
    <row r="346" spans="1:38" x14ac:dyDescent="0.3">
      <c r="A346" t="s">
        <v>413</v>
      </c>
      <c r="B346">
        <v>30</v>
      </c>
      <c r="C346" t="s">
        <v>189</v>
      </c>
      <c r="D346" t="s">
        <v>48</v>
      </c>
      <c r="E346">
        <f t="shared" si="5"/>
        <v>0</v>
      </c>
      <c r="F346" t="s">
        <v>58</v>
      </c>
      <c r="G346">
        <v>641</v>
      </c>
      <c r="H346" t="s">
        <v>50</v>
      </c>
      <c r="I346">
        <v>25</v>
      </c>
      <c r="J346">
        <v>2</v>
      </c>
      <c r="K346" t="s">
        <v>67</v>
      </c>
      <c r="L346">
        <v>1</v>
      </c>
      <c r="M346">
        <v>475</v>
      </c>
      <c r="N346">
        <v>4</v>
      </c>
      <c r="O346" t="s">
        <v>52</v>
      </c>
      <c r="P346">
        <v>85</v>
      </c>
      <c r="Q346">
        <v>3</v>
      </c>
      <c r="R346">
        <v>2</v>
      </c>
      <c r="S346" t="s">
        <v>136</v>
      </c>
      <c r="T346">
        <v>3</v>
      </c>
      <c r="U346" t="s">
        <v>104</v>
      </c>
      <c r="V346">
        <v>4736</v>
      </c>
      <c r="W346" t="s">
        <v>46</v>
      </c>
      <c r="X346">
        <v>6069</v>
      </c>
      <c r="Y346">
        <v>7</v>
      </c>
      <c r="Z346" t="s">
        <v>47</v>
      </c>
      <c r="AA346" t="s">
        <v>39</v>
      </c>
      <c r="AB346">
        <v>12</v>
      </c>
      <c r="AC346">
        <v>3</v>
      </c>
      <c r="AD346">
        <v>2</v>
      </c>
      <c r="AE346">
        <v>80</v>
      </c>
      <c r="AF346">
        <v>1</v>
      </c>
      <c r="AG346">
        <v>4</v>
      </c>
      <c r="AH346">
        <v>2</v>
      </c>
      <c r="AI346">
        <v>4</v>
      </c>
      <c r="AJ346">
        <v>2</v>
      </c>
      <c r="AK346">
        <v>2</v>
      </c>
      <c r="AL346">
        <v>2</v>
      </c>
    </row>
    <row r="347" spans="1:38" x14ac:dyDescent="0.3">
      <c r="A347" t="s">
        <v>414</v>
      </c>
      <c r="B347">
        <v>30</v>
      </c>
      <c r="C347" t="s">
        <v>189</v>
      </c>
      <c r="D347" t="s">
        <v>48</v>
      </c>
      <c r="E347">
        <f t="shared" si="5"/>
        <v>0</v>
      </c>
      <c r="F347" t="s">
        <v>40</v>
      </c>
      <c r="G347">
        <v>202</v>
      </c>
      <c r="H347" t="s">
        <v>50</v>
      </c>
      <c r="I347">
        <v>2</v>
      </c>
      <c r="J347">
        <v>1</v>
      </c>
      <c r="K347" t="s">
        <v>67</v>
      </c>
      <c r="L347">
        <v>1</v>
      </c>
      <c r="M347">
        <v>508</v>
      </c>
      <c r="N347">
        <v>3</v>
      </c>
      <c r="O347" t="s">
        <v>43</v>
      </c>
      <c r="P347">
        <v>72</v>
      </c>
      <c r="Q347">
        <v>3</v>
      </c>
      <c r="R347">
        <v>1</v>
      </c>
      <c r="S347" t="s">
        <v>53</v>
      </c>
      <c r="T347">
        <v>2</v>
      </c>
      <c r="U347" t="s">
        <v>104</v>
      </c>
      <c r="V347">
        <v>2476</v>
      </c>
      <c r="W347" t="s">
        <v>46</v>
      </c>
      <c r="X347">
        <v>17434</v>
      </c>
      <c r="Y347">
        <v>1</v>
      </c>
      <c r="Z347" t="s">
        <v>47</v>
      </c>
      <c r="AA347" t="s">
        <v>48</v>
      </c>
      <c r="AB347">
        <v>18</v>
      </c>
      <c r="AC347">
        <v>3</v>
      </c>
      <c r="AD347">
        <v>1</v>
      </c>
      <c r="AE347">
        <v>80</v>
      </c>
      <c r="AF347">
        <v>1</v>
      </c>
      <c r="AG347">
        <v>1</v>
      </c>
      <c r="AH347">
        <v>3</v>
      </c>
      <c r="AI347">
        <v>3</v>
      </c>
      <c r="AJ347">
        <v>1</v>
      </c>
      <c r="AK347">
        <v>0</v>
      </c>
      <c r="AL347">
        <v>0</v>
      </c>
    </row>
    <row r="348" spans="1:38" x14ac:dyDescent="0.3">
      <c r="A348" t="s">
        <v>415</v>
      </c>
      <c r="B348">
        <v>30</v>
      </c>
      <c r="C348" t="s">
        <v>189</v>
      </c>
      <c r="D348" t="s">
        <v>39</v>
      </c>
      <c r="E348">
        <f t="shared" si="5"/>
        <v>1</v>
      </c>
      <c r="F348" t="s">
        <v>55</v>
      </c>
      <c r="G348">
        <v>464</v>
      </c>
      <c r="H348" t="s">
        <v>41</v>
      </c>
      <c r="I348">
        <v>4</v>
      </c>
      <c r="J348">
        <v>3</v>
      </c>
      <c r="K348" t="s">
        <v>67</v>
      </c>
      <c r="L348">
        <v>1</v>
      </c>
      <c r="M348">
        <v>514</v>
      </c>
      <c r="N348">
        <v>3</v>
      </c>
      <c r="O348" t="s">
        <v>43</v>
      </c>
      <c r="P348">
        <v>40</v>
      </c>
      <c r="Q348">
        <v>3</v>
      </c>
      <c r="R348">
        <v>1</v>
      </c>
      <c r="S348" t="s">
        <v>59</v>
      </c>
      <c r="T348">
        <v>4</v>
      </c>
      <c r="U348" t="s">
        <v>45</v>
      </c>
      <c r="V348">
        <v>2285</v>
      </c>
      <c r="W348" t="s">
        <v>46</v>
      </c>
      <c r="X348">
        <v>3427</v>
      </c>
      <c r="Y348">
        <v>9</v>
      </c>
      <c r="Z348" t="s">
        <v>47</v>
      </c>
      <c r="AA348" t="s">
        <v>39</v>
      </c>
      <c r="AB348">
        <v>23</v>
      </c>
      <c r="AC348">
        <v>4</v>
      </c>
      <c r="AD348">
        <v>3</v>
      </c>
      <c r="AE348">
        <v>80</v>
      </c>
      <c r="AF348">
        <v>0</v>
      </c>
      <c r="AG348">
        <v>3</v>
      </c>
      <c r="AH348">
        <v>4</v>
      </c>
      <c r="AI348">
        <v>3</v>
      </c>
      <c r="AJ348">
        <v>1</v>
      </c>
      <c r="AK348">
        <v>0</v>
      </c>
      <c r="AL348">
        <v>0</v>
      </c>
    </row>
    <row r="349" spans="1:38" x14ac:dyDescent="0.3">
      <c r="A349" t="s">
        <v>416</v>
      </c>
      <c r="B349">
        <v>30</v>
      </c>
      <c r="C349" t="s">
        <v>189</v>
      </c>
      <c r="D349" t="s">
        <v>48</v>
      </c>
      <c r="E349">
        <f t="shared" si="5"/>
        <v>0</v>
      </c>
      <c r="F349" t="s">
        <v>40</v>
      </c>
      <c r="G349">
        <v>1082</v>
      </c>
      <c r="H349" t="s">
        <v>50</v>
      </c>
      <c r="I349">
        <v>12</v>
      </c>
      <c r="J349">
        <v>3</v>
      </c>
      <c r="K349" t="s">
        <v>67</v>
      </c>
      <c r="L349">
        <v>1</v>
      </c>
      <c r="M349">
        <v>533</v>
      </c>
      <c r="N349">
        <v>2</v>
      </c>
      <c r="O349" t="s">
        <v>52</v>
      </c>
      <c r="P349">
        <v>83</v>
      </c>
      <c r="Q349">
        <v>3</v>
      </c>
      <c r="R349">
        <v>2</v>
      </c>
      <c r="S349" t="s">
        <v>136</v>
      </c>
      <c r="T349">
        <v>3</v>
      </c>
      <c r="U349" t="s">
        <v>45</v>
      </c>
      <c r="V349">
        <v>6577</v>
      </c>
      <c r="W349" t="s">
        <v>162</v>
      </c>
      <c r="X349">
        <v>19558</v>
      </c>
      <c r="Y349">
        <v>0</v>
      </c>
      <c r="Z349" t="s">
        <v>47</v>
      </c>
      <c r="AA349" t="s">
        <v>48</v>
      </c>
      <c r="AB349">
        <v>11</v>
      </c>
      <c r="AC349">
        <v>3</v>
      </c>
      <c r="AD349">
        <v>2</v>
      </c>
      <c r="AE349">
        <v>80</v>
      </c>
      <c r="AF349">
        <v>0</v>
      </c>
      <c r="AG349">
        <v>6</v>
      </c>
      <c r="AH349">
        <v>6</v>
      </c>
      <c r="AI349">
        <v>3</v>
      </c>
      <c r="AJ349">
        <v>5</v>
      </c>
      <c r="AK349">
        <v>4</v>
      </c>
      <c r="AL349">
        <v>4</v>
      </c>
    </row>
    <row r="350" spans="1:38" x14ac:dyDescent="0.3">
      <c r="A350" t="s">
        <v>417</v>
      </c>
      <c r="B350">
        <v>30</v>
      </c>
      <c r="C350" t="s">
        <v>189</v>
      </c>
      <c r="D350" t="s">
        <v>48</v>
      </c>
      <c r="E350">
        <f t="shared" si="5"/>
        <v>0</v>
      </c>
      <c r="F350" t="s">
        <v>40</v>
      </c>
      <c r="G350">
        <v>317</v>
      </c>
      <c r="H350" t="s">
        <v>41</v>
      </c>
      <c r="I350">
        <v>2</v>
      </c>
      <c r="J350">
        <v>3</v>
      </c>
      <c r="K350" t="s">
        <v>42</v>
      </c>
      <c r="L350">
        <v>1</v>
      </c>
      <c r="M350">
        <v>548</v>
      </c>
      <c r="N350">
        <v>3</v>
      </c>
      <c r="O350" t="s">
        <v>52</v>
      </c>
      <c r="P350">
        <v>43</v>
      </c>
      <c r="Q350">
        <v>1</v>
      </c>
      <c r="R350">
        <v>2</v>
      </c>
      <c r="S350" t="s">
        <v>111</v>
      </c>
      <c r="T350">
        <v>4</v>
      </c>
      <c r="U350" t="s">
        <v>45</v>
      </c>
      <c r="V350">
        <v>6091</v>
      </c>
      <c r="W350" t="s">
        <v>162</v>
      </c>
      <c r="X350">
        <v>24793</v>
      </c>
      <c r="Y350">
        <v>2</v>
      </c>
      <c r="Z350" t="s">
        <v>47</v>
      </c>
      <c r="AA350" t="s">
        <v>48</v>
      </c>
      <c r="AB350">
        <v>20</v>
      </c>
      <c r="AC350">
        <v>4</v>
      </c>
      <c r="AD350">
        <v>3</v>
      </c>
      <c r="AE350">
        <v>80</v>
      </c>
      <c r="AF350">
        <v>0</v>
      </c>
      <c r="AG350">
        <v>11</v>
      </c>
      <c r="AH350">
        <v>2</v>
      </c>
      <c r="AI350">
        <v>3</v>
      </c>
      <c r="AJ350">
        <v>5</v>
      </c>
      <c r="AK350">
        <v>4</v>
      </c>
      <c r="AL350">
        <v>0</v>
      </c>
    </row>
    <row r="351" spans="1:38" x14ac:dyDescent="0.3">
      <c r="A351" t="s">
        <v>418</v>
      </c>
      <c r="B351">
        <v>30</v>
      </c>
      <c r="C351" t="s">
        <v>189</v>
      </c>
      <c r="D351" t="s">
        <v>48</v>
      </c>
      <c r="E351">
        <f t="shared" si="5"/>
        <v>0</v>
      </c>
      <c r="F351" t="s">
        <v>58</v>
      </c>
      <c r="G351">
        <v>1400</v>
      </c>
      <c r="H351" t="s">
        <v>41</v>
      </c>
      <c r="I351">
        <v>3</v>
      </c>
      <c r="J351">
        <v>3</v>
      </c>
      <c r="K351" t="s">
        <v>42</v>
      </c>
      <c r="L351">
        <v>1</v>
      </c>
      <c r="M351">
        <v>562</v>
      </c>
      <c r="N351">
        <v>3</v>
      </c>
      <c r="O351" t="s">
        <v>43</v>
      </c>
      <c r="P351">
        <v>53</v>
      </c>
      <c r="Q351">
        <v>3</v>
      </c>
      <c r="R351">
        <v>1</v>
      </c>
      <c r="S351" t="s">
        <v>44</v>
      </c>
      <c r="T351">
        <v>4</v>
      </c>
      <c r="U351" t="s">
        <v>104</v>
      </c>
      <c r="V351">
        <v>2097</v>
      </c>
      <c r="W351" t="s">
        <v>46</v>
      </c>
      <c r="X351">
        <v>16734</v>
      </c>
      <c r="Y351">
        <v>4</v>
      </c>
      <c r="Z351" t="s">
        <v>47</v>
      </c>
      <c r="AA351" t="s">
        <v>48</v>
      </c>
      <c r="AB351">
        <v>15</v>
      </c>
      <c r="AC351">
        <v>3</v>
      </c>
      <c r="AD351">
        <v>3</v>
      </c>
      <c r="AE351">
        <v>80</v>
      </c>
      <c r="AF351">
        <v>1</v>
      </c>
      <c r="AG351">
        <v>9</v>
      </c>
      <c r="AH351">
        <v>3</v>
      </c>
      <c r="AI351">
        <v>1</v>
      </c>
      <c r="AJ351">
        <v>5</v>
      </c>
      <c r="AK351">
        <v>3</v>
      </c>
      <c r="AL351">
        <v>1</v>
      </c>
    </row>
    <row r="352" spans="1:38" x14ac:dyDescent="0.3">
      <c r="A352" t="s">
        <v>419</v>
      </c>
      <c r="B352">
        <v>30</v>
      </c>
      <c r="C352" t="s">
        <v>189</v>
      </c>
      <c r="D352" t="s">
        <v>48</v>
      </c>
      <c r="E352">
        <f t="shared" si="5"/>
        <v>0</v>
      </c>
      <c r="F352" t="s">
        <v>58</v>
      </c>
      <c r="G352">
        <v>1398</v>
      </c>
      <c r="H352" t="s">
        <v>50</v>
      </c>
      <c r="I352">
        <v>22</v>
      </c>
      <c r="J352">
        <v>4</v>
      </c>
      <c r="K352" t="s">
        <v>72</v>
      </c>
      <c r="L352">
        <v>1</v>
      </c>
      <c r="M352">
        <v>567</v>
      </c>
      <c r="N352">
        <v>3</v>
      </c>
      <c r="O352" t="s">
        <v>52</v>
      </c>
      <c r="P352">
        <v>69</v>
      </c>
      <c r="Q352">
        <v>3</v>
      </c>
      <c r="R352">
        <v>3</v>
      </c>
      <c r="S352" t="s">
        <v>136</v>
      </c>
      <c r="T352">
        <v>1</v>
      </c>
      <c r="U352" t="s">
        <v>104</v>
      </c>
      <c r="V352">
        <v>8412</v>
      </c>
      <c r="W352" t="s">
        <v>162</v>
      </c>
      <c r="X352">
        <v>2890</v>
      </c>
      <c r="Y352">
        <v>0</v>
      </c>
      <c r="Z352" t="s">
        <v>47</v>
      </c>
      <c r="AA352" t="s">
        <v>48</v>
      </c>
      <c r="AB352">
        <v>11</v>
      </c>
      <c r="AC352">
        <v>3</v>
      </c>
      <c r="AD352">
        <v>3</v>
      </c>
      <c r="AE352">
        <v>80</v>
      </c>
      <c r="AF352">
        <v>0</v>
      </c>
      <c r="AG352">
        <v>10</v>
      </c>
      <c r="AH352">
        <v>3</v>
      </c>
      <c r="AI352">
        <v>3</v>
      </c>
      <c r="AJ352">
        <v>9</v>
      </c>
      <c r="AK352">
        <v>8</v>
      </c>
      <c r="AL352">
        <v>7</v>
      </c>
    </row>
    <row r="353" spans="1:38" x14ac:dyDescent="0.3">
      <c r="A353" t="s">
        <v>420</v>
      </c>
      <c r="B353">
        <v>30</v>
      </c>
      <c r="C353" t="s">
        <v>189</v>
      </c>
      <c r="D353" t="s">
        <v>48</v>
      </c>
      <c r="E353">
        <f t="shared" si="5"/>
        <v>0</v>
      </c>
      <c r="F353" t="s">
        <v>58</v>
      </c>
      <c r="G353">
        <v>1116</v>
      </c>
      <c r="H353" t="s">
        <v>41</v>
      </c>
      <c r="I353">
        <v>2</v>
      </c>
      <c r="J353">
        <v>3</v>
      </c>
      <c r="K353" t="s">
        <v>51</v>
      </c>
      <c r="L353">
        <v>1</v>
      </c>
      <c r="M353">
        <v>571</v>
      </c>
      <c r="N353">
        <v>3</v>
      </c>
      <c r="O353" t="s">
        <v>52</v>
      </c>
      <c r="P353">
        <v>49</v>
      </c>
      <c r="Q353">
        <v>3</v>
      </c>
      <c r="R353">
        <v>1</v>
      </c>
      <c r="S353" t="s">
        <v>44</v>
      </c>
      <c r="T353">
        <v>4</v>
      </c>
      <c r="U353" t="s">
        <v>45</v>
      </c>
      <c r="V353">
        <v>2564</v>
      </c>
      <c r="W353" t="s">
        <v>46</v>
      </c>
      <c r="X353">
        <v>7181</v>
      </c>
      <c r="Y353">
        <v>0</v>
      </c>
      <c r="Z353" t="s">
        <v>47</v>
      </c>
      <c r="AA353" t="s">
        <v>48</v>
      </c>
      <c r="AB353">
        <v>14</v>
      </c>
      <c r="AC353">
        <v>3</v>
      </c>
      <c r="AD353">
        <v>3</v>
      </c>
      <c r="AE353">
        <v>80</v>
      </c>
      <c r="AF353">
        <v>0</v>
      </c>
      <c r="AG353">
        <v>12</v>
      </c>
      <c r="AH353">
        <v>2</v>
      </c>
      <c r="AI353">
        <v>2</v>
      </c>
      <c r="AJ353">
        <v>11</v>
      </c>
      <c r="AK353">
        <v>7</v>
      </c>
      <c r="AL353">
        <v>6</v>
      </c>
    </row>
    <row r="354" spans="1:38" x14ac:dyDescent="0.3">
      <c r="A354" t="s">
        <v>421</v>
      </c>
      <c r="B354">
        <v>30</v>
      </c>
      <c r="C354" t="s">
        <v>189</v>
      </c>
      <c r="D354" t="s">
        <v>48</v>
      </c>
      <c r="E354">
        <f t="shared" si="5"/>
        <v>0</v>
      </c>
      <c r="F354" t="s">
        <v>40</v>
      </c>
      <c r="G354">
        <v>413</v>
      </c>
      <c r="H354" t="s">
        <v>50</v>
      </c>
      <c r="I354">
        <v>7</v>
      </c>
      <c r="J354">
        <v>1</v>
      </c>
      <c r="K354" t="s">
        <v>56</v>
      </c>
      <c r="L354">
        <v>1</v>
      </c>
      <c r="M354">
        <v>585</v>
      </c>
      <c r="N354">
        <v>4</v>
      </c>
      <c r="O354" t="s">
        <v>43</v>
      </c>
      <c r="P354">
        <v>57</v>
      </c>
      <c r="Q354">
        <v>3</v>
      </c>
      <c r="R354">
        <v>1</v>
      </c>
      <c r="S354" t="s">
        <v>53</v>
      </c>
      <c r="T354">
        <v>2</v>
      </c>
      <c r="U354" t="s">
        <v>45</v>
      </c>
      <c r="V354">
        <v>2983</v>
      </c>
      <c r="W354" t="s">
        <v>46</v>
      </c>
      <c r="X354">
        <v>18398</v>
      </c>
      <c r="Y354">
        <v>0</v>
      </c>
      <c r="Z354" t="s">
        <v>47</v>
      </c>
      <c r="AA354" t="s">
        <v>48</v>
      </c>
      <c r="AB354">
        <v>14</v>
      </c>
      <c r="AC354">
        <v>3</v>
      </c>
      <c r="AD354">
        <v>1</v>
      </c>
      <c r="AE354">
        <v>80</v>
      </c>
      <c r="AF354">
        <v>0</v>
      </c>
      <c r="AG354">
        <v>4</v>
      </c>
      <c r="AH354">
        <v>3</v>
      </c>
      <c r="AI354">
        <v>3</v>
      </c>
      <c r="AJ354">
        <v>3</v>
      </c>
      <c r="AK354">
        <v>2</v>
      </c>
      <c r="AL354">
        <v>1</v>
      </c>
    </row>
    <row r="355" spans="1:38" x14ac:dyDescent="0.3">
      <c r="A355" t="s">
        <v>422</v>
      </c>
      <c r="B355">
        <v>30</v>
      </c>
      <c r="C355" t="s">
        <v>189</v>
      </c>
      <c r="D355" t="s">
        <v>39</v>
      </c>
      <c r="E355">
        <f t="shared" si="5"/>
        <v>1</v>
      </c>
      <c r="F355" t="s">
        <v>55</v>
      </c>
      <c r="G355">
        <v>448</v>
      </c>
      <c r="H355" t="s">
        <v>50</v>
      </c>
      <c r="I355">
        <v>12</v>
      </c>
      <c r="J355">
        <v>4</v>
      </c>
      <c r="K355" t="s">
        <v>42</v>
      </c>
      <c r="L355">
        <v>1</v>
      </c>
      <c r="M355">
        <v>648</v>
      </c>
      <c r="N355">
        <v>2</v>
      </c>
      <c r="O355" t="s">
        <v>43</v>
      </c>
      <c r="P355">
        <v>74</v>
      </c>
      <c r="Q355">
        <v>2</v>
      </c>
      <c r="R355">
        <v>1</v>
      </c>
      <c r="S355" t="s">
        <v>53</v>
      </c>
      <c r="T355">
        <v>1</v>
      </c>
      <c r="U355" t="s">
        <v>104</v>
      </c>
      <c r="V355">
        <v>2033</v>
      </c>
      <c r="W355" t="s">
        <v>46</v>
      </c>
      <c r="X355">
        <v>14470</v>
      </c>
      <c r="Y355">
        <v>1</v>
      </c>
      <c r="Z355" t="s">
        <v>47</v>
      </c>
      <c r="AA355" t="s">
        <v>48</v>
      </c>
      <c r="AB355">
        <v>18</v>
      </c>
      <c r="AC355">
        <v>3</v>
      </c>
      <c r="AD355">
        <v>3</v>
      </c>
      <c r="AE355">
        <v>80</v>
      </c>
      <c r="AF355">
        <v>1</v>
      </c>
      <c r="AG355">
        <v>1</v>
      </c>
      <c r="AH355">
        <v>2</v>
      </c>
      <c r="AI355">
        <v>4</v>
      </c>
      <c r="AJ355">
        <v>1</v>
      </c>
      <c r="AK355">
        <v>0</v>
      </c>
      <c r="AL355">
        <v>0</v>
      </c>
    </row>
    <row r="356" spans="1:38" x14ac:dyDescent="0.3">
      <c r="A356" t="s">
        <v>423</v>
      </c>
      <c r="B356">
        <v>30</v>
      </c>
      <c r="C356" t="s">
        <v>189</v>
      </c>
      <c r="D356" t="s">
        <v>48</v>
      </c>
      <c r="E356">
        <f t="shared" si="5"/>
        <v>0</v>
      </c>
      <c r="F356" t="s">
        <v>55</v>
      </c>
      <c r="G356">
        <v>160</v>
      </c>
      <c r="H356" t="s">
        <v>41</v>
      </c>
      <c r="I356">
        <v>3</v>
      </c>
      <c r="J356">
        <v>3</v>
      </c>
      <c r="K356" t="s">
        <v>51</v>
      </c>
      <c r="L356">
        <v>1</v>
      </c>
      <c r="M356">
        <v>680</v>
      </c>
      <c r="N356">
        <v>3</v>
      </c>
      <c r="O356" t="s">
        <v>52</v>
      </c>
      <c r="P356">
        <v>71</v>
      </c>
      <c r="Q356">
        <v>3</v>
      </c>
      <c r="R356">
        <v>1</v>
      </c>
      <c r="S356" t="s">
        <v>59</v>
      </c>
      <c r="T356">
        <v>3</v>
      </c>
      <c r="U356" t="s">
        <v>101</v>
      </c>
      <c r="V356">
        <v>2083</v>
      </c>
      <c r="W356" t="s">
        <v>46</v>
      </c>
      <c r="X356">
        <v>22653</v>
      </c>
      <c r="Y356">
        <v>1</v>
      </c>
      <c r="Z356" t="s">
        <v>47</v>
      </c>
      <c r="AA356" t="s">
        <v>48</v>
      </c>
      <c r="AB356">
        <v>20</v>
      </c>
      <c r="AC356">
        <v>4</v>
      </c>
      <c r="AD356">
        <v>3</v>
      </c>
      <c r="AE356">
        <v>80</v>
      </c>
      <c r="AF356">
        <v>1</v>
      </c>
      <c r="AG356">
        <v>1</v>
      </c>
      <c r="AH356">
        <v>2</v>
      </c>
      <c r="AI356">
        <v>3</v>
      </c>
      <c r="AJ356">
        <v>1</v>
      </c>
      <c r="AK356">
        <v>0</v>
      </c>
      <c r="AL356">
        <v>0</v>
      </c>
    </row>
    <row r="357" spans="1:38" x14ac:dyDescent="0.3">
      <c r="A357" t="s">
        <v>424</v>
      </c>
      <c r="B357">
        <v>30</v>
      </c>
      <c r="C357" t="s">
        <v>189</v>
      </c>
      <c r="D357" t="s">
        <v>48</v>
      </c>
      <c r="E357">
        <f t="shared" si="5"/>
        <v>0</v>
      </c>
      <c r="F357" t="s">
        <v>40</v>
      </c>
      <c r="G357">
        <v>501</v>
      </c>
      <c r="H357" t="s">
        <v>50</v>
      </c>
      <c r="I357">
        <v>27</v>
      </c>
      <c r="J357">
        <v>5</v>
      </c>
      <c r="K357" t="s">
        <v>56</v>
      </c>
      <c r="L357">
        <v>1</v>
      </c>
      <c r="M357">
        <v>747</v>
      </c>
      <c r="N357">
        <v>3</v>
      </c>
      <c r="O357" t="s">
        <v>43</v>
      </c>
      <c r="P357">
        <v>99</v>
      </c>
      <c r="Q357">
        <v>3</v>
      </c>
      <c r="R357">
        <v>2</v>
      </c>
      <c r="S357" t="s">
        <v>136</v>
      </c>
      <c r="T357">
        <v>4</v>
      </c>
      <c r="U357" t="s">
        <v>101</v>
      </c>
      <c r="V357">
        <v>5304</v>
      </c>
      <c r="W357" t="s">
        <v>162</v>
      </c>
      <c r="X357">
        <v>25275</v>
      </c>
      <c r="Y357">
        <v>7</v>
      </c>
      <c r="Z357" t="s">
        <v>47</v>
      </c>
      <c r="AA357" t="s">
        <v>48</v>
      </c>
      <c r="AB357">
        <v>23</v>
      </c>
      <c r="AC357">
        <v>4</v>
      </c>
      <c r="AD357">
        <v>4</v>
      </c>
      <c r="AE357">
        <v>80</v>
      </c>
      <c r="AF357">
        <v>1</v>
      </c>
      <c r="AG357">
        <v>10</v>
      </c>
      <c r="AH357">
        <v>2</v>
      </c>
      <c r="AI357">
        <v>2</v>
      </c>
      <c r="AJ357">
        <v>8</v>
      </c>
      <c r="AK357">
        <v>7</v>
      </c>
      <c r="AL357">
        <v>7</v>
      </c>
    </row>
    <row r="358" spans="1:38" x14ac:dyDescent="0.3">
      <c r="A358" t="s">
        <v>425</v>
      </c>
      <c r="B358">
        <v>30</v>
      </c>
      <c r="C358" t="s">
        <v>189</v>
      </c>
      <c r="D358" t="s">
        <v>48</v>
      </c>
      <c r="E358">
        <f t="shared" si="5"/>
        <v>0</v>
      </c>
      <c r="F358" t="s">
        <v>40</v>
      </c>
      <c r="G358">
        <v>921</v>
      </c>
      <c r="H358" t="s">
        <v>41</v>
      </c>
      <c r="I358">
        <v>1</v>
      </c>
      <c r="J358">
        <v>3</v>
      </c>
      <c r="K358" t="s">
        <v>42</v>
      </c>
      <c r="L358">
        <v>1</v>
      </c>
      <c r="M358">
        <v>806</v>
      </c>
      <c r="N358">
        <v>4</v>
      </c>
      <c r="O358" t="s">
        <v>43</v>
      </c>
      <c r="P358">
        <v>38</v>
      </c>
      <c r="Q358">
        <v>1</v>
      </c>
      <c r="R358">
        <v>1</v>
      </c>
      <c r="S358" t="s">
        <v>44</v>
      </c>
      <c r="T358">
        <v>3</v>
      </c>
      <c r="U358" t="s">
        <v>104</v>
      </c>
      <c r="V358">
        <v>3833</v>
      </c>
      <c r="W358" t="s">
        <v>46</v>
      </c>
      <c r="X358">
        <v>24375</v>
      </c>
      <c r="Y358">
        <v>3</v>
      </c>
      <c r="Z358" t="s">
        <v>47</v>
      </c>
      <c r="AA358" t="s">
        <v>48</v>
      </c>
      <c r="AB358">
        <v>21</v>
      </c>
      <c r="AC358">
        <v>4</v>
      </c>
      <c r="AD358">
        <v>3</v>
      </c>
      <c r="AE358">
        <v>80</v>
      </c>
      <c r="AF358">
        <v>2</v>
      </c>
      <c r="AG358">
        <v>7</v>
      </c>
      <c r="AH358">
        <v>2</v>
      </c>
      <c r="AI358">
        <v>3</v>
      </c>
      <c r="AJ358">
        <v>2</v>
      </c>
      <c r="AK358">
        <v>2</v>
      </c>
      <c r="AL358">
        <v>0</v>
      </c>
    </row>
    <row r="359" spans="1:38" x14ac:dyDescent="0.3">
      <c r="A359" t="s">
        <v>426</v>
      </c>
      <c r="B359">
        <v>30</v>
      </c>
      <c r="C359" t="s">
        <v>189</v>
      </c>
      <c r="D359" t="s">
        <v>48</v>
      </c>
      <c r="E359">
        <f t="shared" si="5"/>
        <v>0</v>
      </c>
      <c r="F359" t="s">
        <v>40</v>
      </c>
      <c r="G359">
        <v>946</v>
      </c>
      <c r="H359" t="s">
        <v>41</v>
      </c>
      <c r="I359">
        <v>2</v>
      </c>
      <c r="J359">
        <v>3</v>
      </c>
      <c r="K359" t="s">
        <v>51</v>
      </c>
      <c r="L359">
        <v>1</v>
      </c>
      <c r="M359">
        <v>833</v>
      </c>
      <c r="N359">
        <v>3</v>
      </c>
      <c r="O359" t="s">
        <v>52</v>
      </c>
      <c r="P359">
        <v>52</v>
      </c>
      <c r="Q359">
        <v>2</v>
      </c>
      <c r="R359">
        <v>2</v>
      </c>
      <c r="S359" t="s">
        <v>111</v>
      </c>
      <c r="T359">
        <v>4</v>
      </c>
      <c r="U359" t="s">
        <v>45</v>
      </c>
      <c r="V359">
        <v>6877</v>
      </c>
      <c r="W359" t="s">
        <v>162</v>
      </c>
      <c r="X359">
        <v>20234</v>
      </c>
      <c r="Y359">
        <v>5</v>
      </c>
      <c r="Z359" t="s">
        <v>47</v>
      </c>
      <c r="AA359" t="s">
        <v>39</v>
      </c>
      <c r="AB359">
        <v>24</v>
      </c>
      <c r="AC359">
        <v>4</v>
      </c>
      <c r="AD359">
        <v>2</v>
      </c>
      <c r="AE359">
        <v>80</v>
      </c>
      <c r="AF359">
        <v>0</v>
      </c>
      <c r="AG359">
        <v>12</v>
      </c>
      <c r="AH359">
        <v>4</v>
      </c>
      <c r="AI359">
        <v>2</v>
      </c>
      <c r="AJ359">
        <v>0</v>
      </c>
      <c r="AK359">
        <v>0</v>
      </c>
      <c r="AL359">
        <v>0</v>
      </c>
    </row>
    <row r="360" spans="1:38" x14ac:dyDescent="0.3">
      <c r="A360" t="s">
        <v>427</v>
      </c>
      <c r="B360">
        <v>30</v>
      </c>
      <c r="C360" t="s">
        <v>189</v>
      </c>
      <c r="D360" t="s">
        <v>48</v>
      </c>
      <c r="E360">
        <f t="shared" si="5"/>
        <v>0</v>
      </c>
      <c r="F360" t="s">
        <v>55</v>
      </c>
      <c r="G360">
        <v>1012</v>
      </c>
      <c r="H360" t="s">
        <v>41</v>
      </c>
      <c r="I360">
        <v>5</v>
      </c>
      <c r="J360">
        <v>4</v>
      </c>
      <c r="K360" t="s">
        <v>42</v>
      </c>
      <c r="L360">
        <v>1</v>
      </c>
      <c r="M360">
        <v>861</v>
      </c>
      <c r="N360">
        <v>2</v>
      </c>
      <c r="O360" t="s">
        <v>43</v>
      </c>
      <c r="P360">
        <v>75</v>
      </c>
      <c r="Q360">
        <v>2</v>
      </c>
      <c r="R360">
        <v>1</v>
      </c>
      <c r="S360" t="s">
        <v>59</v>
      </c>
      <c r="T360">
        <v>4</v>
      </c>
      <c r="U360" t="s">
        <v>101</v>
      </c>
      <c r="V360">
        <v>3761</v>
      </c>
      <c r="W360" t="s">
        <v>46</v>
      </c>
      <c r="X360">
        <v>2373</v>
      </c>
      <c r="Y360">
        <v>9</v>
      </c>
      <c r="Z360" t="s">
        <v>47</v>
      </c>
      <c r="AA360" t="s">
        <v>48</v>
      </c>
      <c r="AB360">
        <v>12</v>
      </c>
      <c r="AC360">
        <v>3</v>
      </c>
      <c r="AD360">
        <v>2</v>
      </c>
      <c r="AE360">
        <v>80</v>
      </c>
      <c r="AF360">
        <v>1</v>
      </c>
      <c r="AG360">
        <v>10</v>
      </c>
      <c r="AH360">
        <v>3</v>
      </c>
      <c r="AI360">
        <v>2</v>
      </c>
      <c r="AJ360">
        <v>5</v>
      </c>
      <c r="AK360">
        <v>4</v>
      </c>
      <c r="AL360">
        <v>0</v>
      </c>
    </row>
    <row r="361" spans="1:38" x14ac:dyDescent="0.3">
      <c r="A361" t="s">
        <v>428</v>
      </c>
      <c r="B361">
        <v>30</v>
      </c>
      <c r="C361" t="s">
        <v>189</v>
      </c>
      <c r="D361" t="s">
        <v>48</v>
      </c>
      <c r="E361">
        <f t="shared" si="5"/>
        <v>0</v>
      </c>
      <c r="F361" t="s">
        <v>40</v>
      </c>
      <c r="G361">
        <v>231</v>
      </c>
      <c r="H361" t="s">
        <v>50</v>
      </c>
      <c r="I361">
        <v>8</v>
      </c>
      <c r="J361">
        <v>2</v>
      </c>
      <c r="K361" t="s">
        <v>72</v>
      </c>
      <c r="L361">
        <v>1</v>
      </c>
      <c r="M361">
        <v>982</v>
      </c>
      <c r="N361">
        <v>3</v>
      </c>
      <c r="O361" t="s">
        <v>43</v>
      </c>
      <c r="P361">
        <v>62</v>
      </c>
      <c r="Q361">
        <v>3</v>
      </c>
      <c r="R361">
        <v>3</v>
      </c>
      <c r="S361" t="s">
        <v>136</v>
      </c>
      <c r="T361">
        <v>3</v>
      </c>
      <c r="U361" t="s">
        <v>101</v>
      </c>
      <c r="V361">
        <v>7264</v>
      </c>
      <c r="W361" t="s">
        <v>162</v>
      </c>
      <c r="X361">
        <v>9977</v>
      </c>
      <c r="Y361">
        <v>5</v>
      </c>
      <c r="Z361" t="s">
        <v>47</v>
      </c>
      <c r="AA361" t="s">
        <v>48</v>
      </c>
      <c r="AB361">
        <v>11</v>
      </c>
      <c r="AC361">
        <v>3</v>
      </c>
      <c r="AD361">
        <v>1</v>
      </c>
      <c r="AE361">
        <v>80</v>
      </c>
      <c r="AF361">
        <v>1</v>
      </c>
      <c r="AG361">
        <v>10</v>
      </c>
      <c r="AH361">
        <v>2</v>
      </c>
      <c r="AI361">
        <v>4</v>
      </c>
      <c r="AJ361">
        <v>8</v>
      </c>
      <c r="AK361">
        <v>4</v>
      </c>
      <c r="AL361">
        <v>7</v>
      </c>
    </row>
    <row r="362" spans="1:38" x14ac:dyDescent="0.3">
      <c r="A362" t="s">
        <v>429</v>
      </c>
      <c r="B362">
        <v>30</v>
      </c>
      <c r="C362" t="s">
        <v>189</v>
      </c>
      <c r="D362" t="s">
        <v>39</v>
      </c>
      <c r="E362">
        <f t="shared" si="5"/>
        <v>1</v>
      </c>
      <c r="F362" t="s">
        <v>40</v>
      </c>
      <c r="G362">
        <v>138</v>
      </c>
      <c r="H362" t="s">
        <v>41</v>
      </c>
      <c r="I362">
        <v>22</v>
      </c>
      <c r="J362">
        <v>3</v>
      </c>
      <c r="K362" t="s">
        <v>42</v>
      </c>
      <c r="L362">
        <v>1</v>
      </c>
      <c r="M362">
        <v>1004</v>
      </c>
      <c r="N362">
        <v>1</v>
      </c>
      <c r="O362" t="s">
        <v>52</v>
      </c>
      <c r="P362">
        <v>48</v>
      </c>
      <c r="Q362">
        <v>3</v>
      </c>
      <c r="R362">
        <v>1</v>
      </c>
      <c r="S362" t="s">
        <v>59</v>
      </c>
      <c r="T362">
        <v>3</v>
      </c>
      <c r="U362" t="s">
        <v>104</v>
      </c>
      <c r="V362">
        <v>2132</v>
      </c>
      <c r="W362" t="s">
        <v>46</v>
      </c>
      <c r="X362">
        <v>11539</v>
      </c>
      <c r="Y362">
        <v>4</v>
      </c>
      <c r="Z362" t="s">
        <v>47</v>
      </c>
      <c r="AA362" t="s">
        <v>39</v>
      </c>
      <c r="AB362">
        <v>11</v>
      </c>
      <c r="AC362">
        <v>3</v>
      </c>
      <c r="AD362">
        <v>2</v>
      </c>
      <c r="AE362">
        <v>80</v>
      </c>
      <c r="AF362">
        <v>0</v>
      </c>
      <c r="AG362">
        <v>7</v>
      </c>
      <c r="AH362">
        <v>2</v>
      </c>
      <c r="AI362">
        <v>3</v>
      </c>
      <c r="AJ362">
        <v>5</v>
      </c>
      <c r="AK362">
        <v>2</v>
      </c>
      <c r="AL362">
        <v>0</v>
      </c>
    </row>
    <row r="363" spans="1:38" x14ac:dyDescent="0.3">
      <c r="A363" t="s">
        <v>430</v>
      </c>
      <c r="B363">
        <v>30</v>
      </c>
      <c r="C363" t="s">
        <v>189</v>
      </c>
      <c r="D363" t="s">
        <v>48</v>
      </c>
      <c r="E363">
        <f t="shared" si="5"/>
        <v>0</v>
      </c>
      <c r="F363" t="s">
        <v>40</v>
      </c>
      <c r="G363">
        <v>153</v>
      </c>
      <c r="H363" t="s">
        <v>41</v>
      </c>
      <c r="I363">
        <v>8</v>
      </c>
      <c r="J363">
        <v>2</v>
      </c>
      <c r="K363" t="s">
        <v>42</v>
      </c>
      <c r="L363">
        <v>1</v>
      </c>
      <c r="M363">
        <v>1015</v>
      </c>
      <c r="N363">
        <v>2</v>
      </c>
      <c r="O363" t="s">
        <v>52</v>
      </c>
      <c r="P363">
        <v>73</v>
      </c>
      <c r="Q363">
        <v>4</v>
      </c>
      <c r="R363">
        <v>3</v>
      </c>
      <c r="S363" t="s">
        <v>251</v>
      </c>
      <c r="T363">
        <v>1</v>
      </c>
      <c r="U363" t="s">
        <v>104</v>
      </c>
      <c r="V363">
        <v>11416</v>
      </c>
      <c r="W363" t="s">
        <v>252</v>
      </c>
      <c r="X363">
        <v>17802</v>
      </c>
      <c r="Y363">
        <v>0</v>
      </c>
      <c r="Z363" t="s">
        <v>47</v>
      </c>
      <c r="AA363" t="s">
        <v>39</v>
      </c>
      <c r="AB363">
        <v>12</v>
      </c>
      <c r="AC363">
        <v>3</v>
      </c>
      <c r="AD363">
        <v>3</v>
      </c>
      <c r="AE363">
        <v>80</v>
      </c>
      <c r="AF363">
        <v>3</v>
      </c>
      <c r="AG363">
        <v>9</v>
      </c>
      <c r="AH363">
        <v>4</v>
      </c>
      <c r="AI363">
        <v>2</v>
      </c>
      <c r="AJ363">
        <v>8</v>
      </c>
      <c r="AK363">
        <v>7</v>
      </c>
      <c r="AL363">
        <v>1</v>
      </c>
    </row>
    <row r="364" spans="1:38" x14ac:dyDescent="0.3">
      <c r="A364" t="s">
        <v>431</v>
      </c>
      <c r="B364">
        <v>30</v>
      </c>
      <c r="C364" t="s">
        <v>189</v>
      </c>
      <c r="D364" t="s">
        <v>39</v>
      </c>
      <c r="E364">
        <f t="shared" si="5"/>
        <v>1</v>
      </c>
      <c r="F364" t="s">
        <v>55</v>
      </c>
      <c r="G364">
        <v>109</v>
      </c>
      <c r="H364" t="s">
        <v>41</v>
      </c>
      <c r="I364">
        <v>5</v>
      </c>
      <c r="J364">
        <v>3</v>
      </c>
      <c r="K364" t="s">
        <v>51</v>
      </c>
      <c r="L364">
        <v>1</v>
      </c>
      <c r="M364">
        <v>1017</v>
      </c>
      <c r="N364">
        <v>2</v>
      </c>
      <c r="O364" t="s">
        <v>52</v>
      </c>
      <c r="P364">
        <v>60</v>
      </c>
      <c r="Q364">
        <v>3</v>
      </c>
      <c r="R364">
        <v>1</v>
      </c>
      <c r="S364" t="s">
        <v>44</v>
      </c>
      <c r="T364">
        <v>2</v>
      </c>
      <c r="U364" t="s">
        <v>45</v>
      </c>
      <c r="V364">
        <v>2422</v>
      </c>
      <c r="W364" t="s">
        <v>46</v>
      </c>
      <c r="X364">
        <v>25725</v>
      </c>
      <c r="Y364">
        <v>0</v>
      </c>
      <c r="Z364" t="s">
        <v>47</v>
      </c>
      <c r="AA364" t="s">
        <v>48</v>
      </c>
      <c r="AB364">
        <v>17</v>
      </c>
      <c r="AC364">
        <v>3</v>
      </c>
      <c r="AD364">
        <v>1</v>
      </c>
      <c r="AE364">
        <v>80</v>
      </c>
      <c r="AF364">
        <v>0</v>
      </c>
      <c r="AG364">
        <v>4</v>
      </c>
      <c r="AH364">
        <v>3</v>
      </c>
      <c r="AI364">
        <v>3</v>
      </c>
      <c r="AJ364">
        <v>3</v>
      </c>
      <c r="AK364">
        <v>2</v>
      </c>
      <c r="AL364">
        <v>1</v>
      </c>
    </row>
    <row r="365" spans="1:38" x14ac:dyDescent="0.3">
      <c r="A365" t="s">
        <v>432</v>
      </c>
      <c r="B365">
        <v>30</v>
      </c>
      <c r="C365" t="s">
        <v>189</v>
      </c>
      <c r="D365" t="s">
        <v>48</v>
      </c>
      <c r="E365">
        <f t="shared" si="5"/>
        <v>0</v>
      </c>
      <c r="F365" t="s">
        <v>40</v>
      </c>
      <c r="G365">
        <v>1176</v>
      </c>
      <c r="H365" t="s">
        <v>41</v>
      </c>
      <c r="I365">
        <v>20</v>
      </c>
      <c r="J365">
        <v>3</v>
      </c>
      <c r="K365" t="s">
        <v>72</v>
      </c>
      <c r="L365">
        <v>1</v>
      </c>
      <c r="M365">
        <v>1084</v>
      </c>
      <c r="N365">
        <v>3</v>
      </c>
      <c r="O365" t="s">
        <v>43</v>
      </c>
      <c r="P365">
        <v>85</v>
      </c>
      <c r="Q365">
        <v>3</v>
      </c>
      <c r="R365">
        <v>2</v>
      </c>
      <c r="S365" t="s">
        <v>111</v>
      </c>
      <c r="T365">
        <v>1</v>
      </c>
      <c r="U365" t="s">
        <v>104</v>
      </c>
      <c r="V365">
        <v>9957</v>
      </c>
      <c r="W365" t="s">
        <v>162</v>
      </c>
      <c r="X365">
        <v>9096</v>
      </c>
      <c r="Y365">
        <v>0</v>
      </c>
      <c r="Z365" t="s">
        <v>47</v>
      </c>
      <c r="AA365" t="s">
        <v>48</v>
      </c>
      <c r="AB365">
        <v>15</v>
      </c>
      <c r="AC365">
        <v>3</v>
      </c>
      <c r="AD365">
        <v>3</v>
      </c>
      <c r="AE365">
        <v>80</v>
      </c>
      <c r="AF365">
        <v>1</v>
      </c>
      <c r="AG365">
        <v>7</v>
      </c>
      <c r="AH365">
        <v>1</v>
      </c>
      <c r="AI365">
        <v>2</v>
      </c>
      <c r="AJ365">
        <v>6</v>
      </c>
      <c r="AK365">
        <v>2</v>
      </c>
      <c r="AL365">
        <v>0</v>
      </c>
    </row>
    <row r="366" spans="1:38" x14ac:dyDescent="0.3">
      <c r="A366" t="s">
        <v>433</v>
      </c>
      <c r="B366">
        <v>30</v>
      </c>
      <c r="C366" t="s">
        <v>189</v>
      </c>
      <c r="D366" t="s">
        <v>48</v>
      </c>
      <c r="E366">
        <f t="shared" si="5"/>
        <v>0</v>
      </c>
      <c r="F366" t="s">
        <v>40</v>
      </c>
      <c r="G366">
        <v>852</v>
      </c>
      <c r="H366" t="s">
        <v>50</v>
      </c>
      <c r="I366">
        <v>10</v>
      </c>
      <c r="J366">
        <v>3</v>
      </c>
      <c r="K366" t="s">
        <v>56</v>
      </c>
      <c r="L366">
        <v>1</v>
      </c>
      <c r="M366">
        <v>1179</v>
      </c>
      <c r="N366">
        <v>3</v>
      </c>
      <c r="O366" t="s">
        <v>43</v>
      </c>
      <c r="P366">
        <v>72</v>
      </c>
      <c r="Q366">
        <v>2</v>
      </c>
      <c r="R366">
        <v>2</v>
      </c>
      <c r="S366" t="s">
        <v>136</v>
      </c>
      <c r="T366">
        <v>3</v>
      </c>
      <c r="U366" t="s">
        <v>104</v>
      </c>
      <c r="V366">
        <v>6578</v>
      </c>
      <c r="W366" t="s">
        <v>162</v>
      </c>
      <c r="X366">
        <v>2706</v>
      </c>
      <c r="Y366">
        <v>1</v>
      </c>
      <c r="Z366" t="s">
        <v>47</v>
      </c>
      <c r="AA366" t="s">
        <v>48</v>
      </c>
      <c r="AB366">
        <v>18</v>
      </c>
      <c r="AC366">
        <v>3</v>
      </c>
      <c r="AD366">
        <v>1</v>
      </c>
      <c r="AE366">
        <v>80</v>
      </c>
      <c r="AF366">
        <v>1</v>
      </c>
      <c r="AG366">
        <v>10</v>
      </c>
      <c r="AH366">
        <v>3</v>
      </c>
      <c r="AI366">
        <v>3</v>
      </c>
      <c r="AJ366">
        <v>10</v>
      </c>
      <c r="AK366">
        <v>3</v>
      </c>
      <c r="AL366">
        <v>1</v>
      </c>
    </row>
    <row r="367" spans="1:38" x14ac:dyDescent="0.3">
      <c r="A367" t="s">
        <v>434</v>
      </c>
      <c r="B367">
        <v>30</v>
      </c>
      <c r="C367" t="s">
        <v>189</v>
      </c>
      <c r="D367" t="s">
        <v>48</v>
      </c>
      <c r="E367">
        <f t="shared" si="5"/>
        <v>0</v>
      </c>
      <c r="F367" t="s">
        <v>40</v>
      </c>
      <c r="G367">
        <v>1329</v>
      </c>
      <c r="H367" t="s">
        <v>50</v>
      </c>
      <c r="I367">
        <v>29</v>
      </c>
      <c r="J367">
        <v>4</v>
      </c>
      <c r="K367" t="s">
        <v>42</v>
      </c>
      <c r="L367">
        <v>1</v>
      </c>
      <c r="M367">
        <v>1211</v>
      </c>
      <c r="N367">
        <v>3</v>
      </c>
      <c r="O367" t="s">
        <v>43</v>
      </c>
      <c r="P367">
        <v>61</v>
      </c>
      <c r="Q367">
        <v>3</v>
      </c>
      <c r="R367">
        <v>2</v>
      </c>
      <c r="S367" t="s">
        <v>136</v>
      </c>
      <c r="T367">
        <v>1</v>
      </c>
      <c r="U367" t="s">
        <v>101</v>
      </c>
      <c r="V367">
        <v>4115</v>
      </c>
      <c r="W367" t="s">
        <v>46</v>
      </c>
      <c r="X367">
        <v>13192</v>
      </c>
      <c r="Y367">
        <v>8</v>
      </c>
      <c r="Z367" t="s">
        <v>47</v>
      </c>
      <c r="AA367" t="s">
        <v>48</v>
      </c>
      <c r="AB367">
        <v>19</v>
      </c>
      <c r="AC367">
        <v>3</v>
      </c>
      <c r="AD367">
        <v>3</v>
      </c>
      <c r="AE367">
        <v>80</v>
      </c>
      <c r="AF367">
        <v>3</v>
      </c>
      <c r="AG367">
        <v>8</v>
      </c>
      <c r="AH367">
        <v>3</v>
      </c>
      <c r="AI367">
        <v>3</v>
      </c>
      <c r="AJ367">
        <v>4</v>
      </c>
      <c r="AK367">
        <v>3</v>
      </c>
      <c r="AL367">
        <v>0</v>
      </c>
    </row>
    <row r="368" spans="1:38" x14ac:dyDescent="0.3">
      <c r="A368" t="s">
        <v>435</v>
      </c>
      <c r="B368">
        <v>30</v>
      </c>
      <c r="C368" t="s">
        <v>189</v>
      </c>
      <c r="D368" t="s">
        <v>48</v>
      </c>
      <c r="E368">
        <f t="shared" si="5"/>
        <v>0</v>
      </c>
      <c r="F368" t="s">
        <v>40</v>
      </c>
      <c r="G368">
        <v>853</v>
      </c>
      <c r="H368" t="s">
        <v>41</v>
      </c>
      <c r="I368">
        <v>7</v>
      </c>
      <c r="J368">
        <v>4</v>
      </c>
      <c r="K368" t="s">
        <v>42</v>
      </c>
      <c r="L368">
        <v>1</v>
      </c>
      <c r="M368">
        <v>1224</v>
      </c>
      <c r="N368">
        <v>3</v>
      </c>
      <c r="O368" t="s">
        <v>43</v>
      </c>
      <c r="P368">
        <v>49</v>
      </c>
      <c r="Q368">
        <v>3</v>
      </c>
      <c r="R368">
        <v>2</v>
      </c>
      <c r="S368" t="s">
        <v>44</v>
      </c>
      <c r="T368">
        <v>3</v>
      </c>
      <c r="U368" t="s">
        <v>101</v>
      </c>
      <c r="V368">
        <v>3491</v>
      </c>
      <c r="W368" t="s">
        <v>46</v>
      </c>
      <c r="X368">
        <v>11309</v>
      </c>
      <c r="Y368">
        <v>1</v>
      </c>
      <c r="Z368" t="s">
        <v>47</v>
      </c>
      <c r="AA368" t="s">
        <v>48</v>
      </c>
      <c r="AB368">
        <v>13</v>
      </c>
      <c r="AC368">
        <v>3</v>
      </c>
      <c r="AD368">
        <v>1</v>
      </c>
      <c r="AE368">
        <v>80</v>
      </c>
      <c r="AF368">
        <v>3</v>
      </c>
      <c r="AG368">
        <v>10</v>
      </c>
      <c r="AH368">
        <v>4</v>
      </c>
      <c r="AI368">
        <v>2</v>
      </c>
      <c r="AJ368">
        <v>10</v>
      </c>
      <c r="AK368">
        <v>7</v>
      </c>
      <c r="AL368">
        <v>8</v>
      </c>
    </row>
    <row r="369" spans="1:38" x14ac:dyDescent="0.3">
      <c r="A369" t="s">
        <v>436</v>
      </c>
      <c r="B369">
        <v>30</v>
      </c>
      <c r="C369" t="s">
        <v>189</v>
      </c>
      <c r="D369" t="s">
        <v>48</v>
      </c>
      <c r="E369">
        <f t="shared" si="5"/>
        <v>0</v>
      </c>
      <c r="F369" t="s">
        <v>40</v>
      </c>
      <c r="G369">
        <v>1465</v>
      </c>
      <c r="H369" t="s">
        <v>41</v>
      </c>
      <c r="I369">
        <v>1</v>
      </c>
      <c r="J369">
        <v>3</v>
      </c>
      <c r="K369" t="s">
        <v>51</v>
      </c>
      <c r="L369">
        <v>1</v>
      </c>
      <c r="M369">
        <v>1241</v>
      </c>
      <c r="N369">
        <v>4</v>
      </c>
      <c r="O369" t="s">
        <v>43</v>
      </c>
      <c r="P369">
        <v>63</v>
      </c>
      <c r="Q369">
        <v>3</v>
      </c>
      <c r="R369">
        <v>1</v>
      </c>
      <c r="S369" t="s">
        <v>59</v>
      </c>
      <c r="T369">
        <v>2</v>
      </c>
      <c r="U369" t="s">
        <v>104</v>
      </c>
      <c r="V369">
        <v>3579</v>
      </c>
      <c r="W369" t="s">
        <v>46</v>
      </c>
      <c r="X369">
        <v>9369</v>
      </c>
      <c r="Y369">
        <v>0</v>
      </c>
      <c r="Z369" t="s">
        <v>47</v>
      </c>
      <c r="AA369" t="s">
        <v>39</v>
      </c>
      <c r="AB369">
        <v>21</v>
      </c>
      <c r="AC369">
        <v>4</v>
      </c>
      <c r="AD369">
        <v>1</v>
      </c>
      <c r="AE369">
        <v>80</v>
      </c>
      <c r="AF369">
        <v>1</v>
      </c>
      <c r="AG369">
        <v>12</v>
      </c>
      <c r="AH369">
        <v>2</v>
      </c>
      <c r="AI369">
        <v>3</v>
      </c>
      <c r="AJ369">
        <v>11</v>
      </c>
      <c r="AK369">
        <v>9</v>
      </c>
      <c r="AL369">
        <v>5</v>
      </c>
    </row>
    <row r="370" spans="1:38" x14ac:dyDescent="0.3">
      <c r="A370" t="s">
        <v>437</v>
      </c>
      <c r="B370">
        <v>30</v>
      </c>
      <c r="C370" t="s">
        <v>189</v>
      </c>
      <c r="D370" t="s">
        <v>48</v>
      </c>
      <c r="E370">
        <f t="shared" si="5"/>
        <v>0</v>
      </c>
      <c r="F370" t="s">
        <v>58</v>
      </c>
      <c r="G370">
        <v>879</v>
      </c>
      <c r="H370" t="s">
        <v>41</v>
      </c>
      <c r="I370">
        <v>9</v>
      </c>
      <c r="J370">
        <v>2</v>
      </c>
      <c r="K370" t="s">
        <v>51</v>
      </c>
      <c r="L370">
        <v>1</v>
      </c>
      <c r="M370">
        <v>1298</v>
      </c>
      <c r="N370">
        <v>3</v>
      </c>
      <c r="O370" t="s">
        <v>52</v>
      </c>
      <c r="P370">
        <v>72</v>
      </c>
      <c r="Q370">
        <v>3</v>
      </c>
      <c r="R370">
        <v>2</v>
      </c>
      <c r="S370" t="s">
        <v>111</v>
      </c>
      <c r="T370">
        <v>3</v>
      </c>
      <c r="U370" t="s">
        <v>45</v>
      </c>
      <c r="V370">
        <v>4695</v>
      </c>
      <c r="W370" t="s">
        <v>46</v>
      </c>
      <c r="X370">
        <v>12858</v>
      </c>
      <c r="Y370">
        <v>7</v>
      </c>
      <c r="Z370" t="s">
        <v>47</v>
      </c>
      <c r="AA370" t="s">
        <v>39</v>
      </c>
      <c r="AB370">
        <v>18</v>
      </c>
      <c r="AC370">
        <v>3</v>
      </c>
      <c r="AD370">
        <v>3</v>
      </c>
      <c r="AE370">
        <v>80</v>
      </c>
      <c r="AF370">
        <v>0</v>
      </c>
      <c r="AG370">
        <v>10</v>
      </c>
      <c r="AH370">
        <v>3</v>
      </c>
      <c r="AI370">
        <v>3</v>
      </c>
      <c r="AJ370">
        <v>8</v>
      </c>
      <c r="AK370">
        <v>4</v>
      </c>
      <c r="AL370">
        <v>1</v>
      </c>
    </row>
    <row r="371" spans="1:38" x14ac:dyDescent="0.3">
      <c r="A371" t="s">
        <v>438</v>
      </c>
      <c r="B371">
        <v>30</v>
      </c>
      <c r="C371" t="s">
        <v>189</v>
      </c>
      <c r="D371" t="s">
        <v>48</v>
      </c>
      <c r="E371">
        <f t="shared" si="5"/>
        <v>0</v>
      </c>
      <c r="F371" t="s">
        <v>40</v>
      </c>
      <c r="G371">
        <v>1138</v>
      </c>
      <c r="H371" t="s">
        <v>41</v>
      </c>
      <c r="I371">
        <v>6</v>
      </c>
      <c r="J371">
        <v>3</v>
      </c>
      <c r="K371" t="s">
        <v>67</v>
      </c>
      <c r="L371">
        <v>1</v>
      </c>
      <c r="M371">
        <v>1311</v>
      </c>
      <c r="N371">
        <v>1</v>
      </c>
      <c r="O371" t="s">
        <v>52</v>
      </c>
      <c r="P371">
        <v>48</v>
      </c>
      <c r="Q371">
        <v>2</v>
      </c>
      <c r="R371">
        <v>2</v>
      </c>
      <c r="S371" t="s">
        <v>44</v>
      </c>
      <c r="T371">
        <v>4</v>
      </c>
      <c r="U371" t="s">
        <v>104</v>
      </c>
      <c r="V371">
        <v>4627</v>
      </c>
      <c r="W371" t="s">
        <v>46</v>
      </c>
      <c r="X371">
        <v>23631</v>
      </c>
      <c r="Y371">
        <v>0</v>
      </c>
      <c r="Z371" t="s">
        <v>47</v>
      </c>
      <c r="AA371" t="s">
        <v>48</v>
      </c>
      <c r="AB371">
        <v>12</v>
      </c>
      <c r="AC371">
        <v>3</v>
      </c>
      <c r="AD371">
        <v>1</v>
      </c>
      <c r="AE371">
        <v>80</v>
      </c>
      <c r="AF371">
        <v>1</v>
      </c>
      <c r="AG371">
        <v>10</v>
      </c>
      <c r="AH371">
        <v>6</v>
      </c>
      <c r="AI371">
        <v>3</v>
      </c>
      <c r="AJ371">
        <v>9</v>
      </c>
      <c r="AK371">
        <v>2</v>
      </c>
      <c r="AL371">
        <v>6</v>
      </c>
    </row>
    <row r="372" spans="1:38" x14ac:dyDescent="0.3">
      <c r="A372" t="s">
        <v>439</v>
      </c>
      <c r="B372">
        <v>30</v>
      </c>
      <c r="C372" t="s">
        <v>189</v>
      </c>
      <c r="D372" t="s">
        <v>48</v>
      </c>
      <c r="E372">
        <f t="shared" si="5"/>
        <v>0</v>
      </c>
      <c r="F372" t="s">
        <v>40</v>
      </c>
      <c r="G372">
        <v>634</v>
      </c>
      <c r="H372" t="s">
        <v>41</v>
      </c>
      <c r="I372">
        <v>17</v>
      </c>
      <c r="J372">
        <v>4</v>
      </c>
      <c r="K372" t="s">
        <v>51</v>
      </c>
      <c r="L372">
        <v>1</v>
      </c>
      <c r="M372">
        <v>1321</v>
      </c>
      <c r="N372">
        <v>2</v>
      </c>
      <c r="O372" t="s">
        <v>52</v>
      </c>
      <c r="P372">
        <v>95</v>
      </c>
      <c r="Q372">
        <v>3</v>
      </c>
      <c r="R372">
        <v>3</v>
      </c>
      <c r="S372" t="s">
        <v>440</v>
      </c>
      <c r="T372">
        <v>1</v>
      </c>
      <c r="U372" t="s">
        <v>104</v>
      </c>
      <c r="V372">
        <v>11916</v>
      </c>
      <c r="W372" t="s">
        <v>252</v>
      </c>
      <c r="X372">
        <v>25927</v>
      </c>
      <c r="Y372">
        <v>1</v>
      </c>
      <c r="Z372" t="s">
        <v>47</v>
      </c>
      <c r="AA372" t="s">
        <v>39</v>
      </c>
      <c r="AB372">
        <v>23</v>
      </c>
      <c r="AC372">
        <v>4</v>
      </c>
      <c r="AD372">
        <v>4</v>
      </c>
      <c r="AE372">
        <v>80</v>
      </c>
      <c r="AF372">
        <v>2</v>
      </c>
      <c r="AG372">
        <v>9</v>
      </c>
      <c r="AH372">
        <v>2</v>
      </c>
      <c r="AI372">
        <v>3</v>
      </c>
      <c r="AJ372">
        <v>9</v>
      </c>
      <c r="AK372">
        <v>1</v>
      </c>
      <c r="AL372">
        <v>0</v>
      </c>
    </row>
    <row r="373" spans="1:38" x14ac:dyDescent="0.3">
      <c r="A373" t="s">
        <v>441</v>
      </c>
      <c r="B373">
        <v>30</v>
      </c>
      <c r="C373" t="s">
        <v>189</v>
      </c>
      <c r="D373" t="s">
        <v>48</v>
      </c>
      <c r="E373">
        <f t="shared" si="5"/>
        <v>0</v>
      </c>
      <c r="F373" t="s">
        <v>40</v>
      </c>
      <c r="G373">
        <v>855</v>
      </c>
      <c r="H373" t="s">
        <v>50</v>
      </c>
      <c r="I373">
        <v>7</v>
      </c>
      <c r="J373">
        <v>4</v>
      </c>
      <c r="K373" t="s">
        <v>56</v>
      </c>
      <c r="L373">
        <v>1</v>
      </c>
      <c r="M373">
        <v>1428</v>
      </c>
      <c r="N373">
        <v>4</v>
      </c>
      <c r="O373" t="s">
        <v>52</v>
      </c>
      <c r="P373">
        <v>73</v>
      </c>
      <c r="Q373">
        <v>3</v>
      </c>
      <c r="R373">
        <v>2</v>
      </c>
      <c r="S373" t="s">
        <v>136</v>
      </c>
      <c r="T373">
        <v>1</v>
      </c>
      <c r="U373" t="s">
        <v>101</v>
      </c>
      <c r="V373">
        <v>4779</v>
      </c>
      <c r="W373" t="s">
        <v>46</v>
      </c>
      <c r="X373">
        <v>12761</v>
      </c>
      <c r="Y373">
        <v>7</v>
      </c>
      <c r="Z373" t="s">
        <v>47</v>
      </c>
      <c r="AA373" t="s">
        <v>48</v>
      </c>
      <c r="AB373">
        <v>14</v>
      </c>
      <c r="AC373">
        <v>3</v>
      </c>
      <c r="AD373">
        <v>2</v>
      </c>
      <c r="AE373">
        <v>80</v>
      </c>
      <c r="AF373">
        <v>2</v>
      </c>
      <c r="AG373">
        <v>8</v>
      </c>
      <c r="AH373">
        <v>3</v>
      </c>
      <c r="AI373">
        <v>3</v>
      </c>
      <c r="AJ373">
        <v>3</v>
      </c>
      <c r="AK373">
        <v>2</v>
      </c>
      <c r="AL373">
        <v>0</v>
      </c>
    </row>
    <row r="374" spans="1:38" x14ac:dyDescent="0.3">
      <c r="A374" t="s">
        <v>442</v>
      </c>
      <c r="B374">
        <v>30</v>
      </c>
      <c r="C374" t="s">
        <v>189</v>
      </c>
      <c r="D374" t="s">
        <v>48</v>
      </c>
      <c r="E374">
        <f t="shared" si="5"/>
        <v>0</v>
      </c>
      <c r="F374" t="s">
        <v>40</v>
      </c>
      <c r="G374">
        <v>1358</v>
      </c>
      <c r="H374" t="s">
        <v>50</v>
      </c>
      <c r="I374">
        <v>16</v>
      </c>
      <c r="J374">
        <v>1</v>
      </c>
      <c r="K374" t="s">
        <v>42</v>
      </c>
      <c r="L374">
        <v>1</v>
      </c>
      <c r="M374">
        <v>1479</v>
      </c>
      <c r="N374">
        <v>4</v>
      </c>
      <c r="O374" t="s">
        <v>43</v>
      </c>
      <c r="P374">
        <v>96</v>
      </c>
      <c r="Q374">
        <v>3</v>
      </c>
      <c r="R374">
        <v>2</v>
      </c>
      <c r="S374" t="s">
        <v>136</v>
      </c>
      <c r="T374">
        <v>3</v>
      </c>
      <c r="U374" t="s">
        <v>104</v>
      </c>
      <c r="V374">
        <v>5301</v>
      </c>
      <c r="W374" t="s">
        <v>162</v>
      </c>
      <c r="X374">
        <v>2939</v>
      </c>
      <c r="Y374">
        <v>8</v>
      </c>
      <c r="Z374" t="s">
        <v>47</v>
      </c>
      <c r="AA374" t="s">
        <v>48</v>
      </c>
      <c r="AB374">
        <v>15</v>
      </c>
      <c r="AC374">
        <v>3</v>
      </c>
      <c r="AD374">
        <v>3</v>
      </c>
      <c r="AE374">
        <v>80</v>
      </c>
      <c r="AF374">
        <v>2</v>
      </c>
      <c r="AG374">
        <v>4</v>
      </c>
      <c r="AH374">
        <v>2</v>
      </c>
      <c r="AI374">
        <v>2</v>
      </c>
      <c r="AJ374">
        <v>2</v>
      </c>
      <c r="AK374">
        <v>1</v>
      </c>
      <c r="AL374">
        <v>2</v>
      </c>
    </row>
    <row r="375" spans="1:38" x14ac:dyDescent="0.3">
      <c r="A375" t="s">
        <v>443</v>
      </c>
      <c r="B375">
        <v>30</v>
      </c>
      <c r="C375" t="s">
        <v>189</v>
      </c>
      <c r="D375" t="s">
        <v>48</v>
      </c>
      <c r="E375">
        <f t="shared" si="5"/>
        <v>0</v>
      </c>
      <c r="F375" t="s">
        <v>58</v>
      </c>
      <c r="G375">
        <v>990</v>
      </c>
      <c r="H375" t="s">
        <v>41</v>
      </c>
      <c r="I375">
        <v>7</v>
      </c>
      <c r="J375">
        <v>3</v>
      </c>
      <c r="K375" t="s">
        <v>67</v>
      </c>
      <c r="L375">
        <v>1</v>
      </c>
      <c r="M375">
        <v>1482</v>
      </c>
      <c r="N375">
        <v>3</v>
      </c>
      <c r="O375" t="s">
        <v>43</v>
      </c>
      <c r="P375">
        <v>64</v>
      </c>
      <c r="Q375">
        <v>3</v>
      </c>
      <c r="R375">
        <v>1</v>
      </c>
      <c r="S375" t="s">
        <v>59</v>
      </c>
      <c r="T375">
        <v>3</v>
      </c>
      <c r="U375" t="s">
        <v>101</v>
      </c>
      <c r="V375">
        <v>1274</v>
      </c>
      <c r="W375" t="s">
        <v>46</v>
      </c>
      <c r="X375">
        <v>7152</v>
      </c>
      <c r="Y375">
        <v>1</v>
      </c>
      <c r="Z375" t="s">
        <v>47</v>
      </c>
      <c r="AA375" t="s">
        <v>48</v>
      </c>
      <c r="AB375">
        <v>13</v>
      </c>
      <c r="AC375">
        <v>3</v>
      </c>
      <c r="AD375">
        <v>2</v>
      </c>
      <c r="AE375">
        <v>80</v>
      </c>
      <c r="AF375">
        <v>2</v>
      </c>
      <c r="AG375">
        <v>1</v>
      </c>
      <c r="AH375">
        <v>2</v>
      </c>
      <c r="AI375">
        <v>2</v>
      </c>
      <c r="AJ375">
        <v>1</v>
      </c>
      <c r="AK375">
        <v>0</v>
      </c>
      <c r="AL375">
        <v>0</v>
      </c>
    </row>
    <row r="376" spans="1:38" x14ac:dyDescent="0.3">
      <c r="A376" t="s">
        <v>444</v>
      </c>
      <c r="B376">
        <v>30</v>
      </c>
      <c r="C376" t="s">
        <v>189</v>
      </c>
      <c r="D376" t="s">
        <v>48</v>
      </c>
      <c r="E376">
        <f t="shared" si="5"/>
        <v>0</v>
      </c>
      <c r="F376" t="s">
        <v>40</v>
      </c>
      <c r="G376">
        <v>330</v>
      </c>
      <c r="H376" t="s">
        <v>70</v>
      </c>
      <c r="I376">
        <v>1</v>
      </c>
      <c r="J376">
        <v>3</v>
      </c>
      <c r="K376" t="s">
        <v>42</v>
      </c>
      <c r="L376">
        <v>1</v>
      </c>
      <c r="M376">
        <v>1499</v>
      </c>
      <c r="N376">
        <v>3</v>
      </c>
      <c r="O376" t="s">
        <v>43</v>
      </c>
      <c r="P376">
        <v>46</v>
      </c>
      <c r="Q376">
        <v>3</v>
      </c>
      <c r="R376">
        <v>1</v>
      </c>
      <c r="S376" t="s">
        <v>70</v>
      </c>
      <c r="T376">
        <v>3</v>
      </c>
      <c r="U376" t="s">
        <v>101</v>
      </c>
      <c r="V376">
        <v>2064</v>
      </c>
      <c r="W376" t="s">
        <v>46</v>
      </c>
      <c r="X376">
        <v>15428</v>
      </c>
      <c r="Y376">
        <v>0</v>
      </c>
      <c r="Z376" t="s">
        <v>47</v>
      </c>
      <c r="AA376" t="s">
        <v>48</v>
      </c>
      <c r="AB376">
        <v>21</v>
      </c>
      <c r="AC376">
        <v>4</v>
      </c>
      <c r="AD376">
        <v>1</v>
      </c>
      <c r="AE376">
        <v>80</v>
      </c>
      <c r="AF376">
        <v>1</v>
      </c>
      <c r="AG376">
        <v>6</v>
      </c>
      <c r="AH376">
        <v>3</v>
      </c>
      <c r="AI376">
        <v>4</v>
      </c>
      <c r="AJ376">
        <v>5</v>
      </c>
      <c r="AK376">
        <v>3</v>
      </c>
      <c r="AL376">
        <v>1</v>
      </c>
    </row>
    <row r="377" spans="1:38" x14ac:dyDescent="0.3">
      <c r="A377" t="s">
        <v>445</v>
      </c>
      <c r="B377">
        <v>30</v>
      </c>
      <c r="C377" t="s">
        <v>189</v>
      </c>
      <c r="D377" t="s">
        <v>39</v>
      </c>
      <c r="E377">
        <f t="shared" si="5"/>
        <v>1</v>
      </c>
      <c r="F377" t="s">
        <v>40</v>
      </c>
      <c r="G377">
        <v>740</v>
      </c>
      <c r="H377" t="s">
        <v>50</v>
      </c>
      <c r="I377">
        <v>1</v>
      </c>
      <c r="J377">
        <v>3</v>
      </c>
      <c r="K377" t="s">
        <v>42</v>
      </c>
      <c r="L377">
        <v>1</v>
      </c>
      <c r="M377">
        <v>1562</v>
      </c>
      <c r="N377">
        <v>2</v>
      </c>
      <c r="O377" t="s">
        <v>43</v>
      </c>
      <c r="P377">
        <v>64</v>
      </c>
      <c r="Q377">
        <v>2</v>
      </c>
      <c r="R377">
        <v>2</v>
      </c>
      <c r="S377" t="s">
        <v>136</v>
      </c>
      <c r="T377">
        <v>1</v>
      </c>
      <c r="U377" t="s">
        <v>104</v>
      </c>
      <c r="V377">
        <v>9714</v>
      </c>
      <c r="W377" t="s">
        <v>162</v>
      </c>
      <c r="X377">
        <v>5323</v>
      </c>
      <c r="Y377">
        <v>1</v>
      </c>
      <c r="Z377" t="s">
        <v>47</v>
      </c>
      <c r="AA377" t="s">
        <v>48</v>
      </c>
      <c r="AB377">
        <v>11</v>
      </c>
      <c r="AC377">
        <v>3</v>
      </c>
      <c r="AD377">
        <v>4</v>
      </c>
      <c r="AE377">
        <v>80</v>
      </c>
      <c r="AF377">
        <v>1</v>
      </c>
      <c r="AG377">
        <v>10</v>
      </c>
      <c r="AH377">
        <v>4</v>
      </c>
      <c r="AI377">
        <v>3</v>
      </c>
      <c r="AJ377">
        <v>10</v>
      </c>
      <c r="AK377">
        <v>8</v>
      </c>
      <c r="AL377">
        <v>6</v>
      </c>
    </row>
    <row r="378" spans="1:38" x14ac:dyDescent="0.3">
      <c r="A378" t="s">
        <v>446</v>
      </c>
      <c r="B378">
        <v>30</v>
      </c>
      <c r="C378" t="s">
        <v>189</v>
      </c>
      <c r="D378" t="s">
        <v>48</v>
      </c>
      <c r="E378">
        <f t="shared" si="5"/>
        <v>0</v>
      </c>
      <c r="F378" t="s">
        <v>40</v>
      </c>
      <c r="G378">
        <v>1288</v>
      </c>
      <c r="H378" t="s">
        <v>50</v>
      </c>
      <c r="I378">
        <v>29</v>
      </c>
      <c r="J378">
        <v>4</v>
      </c>
      <c r="K378" t="s">
        <v>67</v>
      </c>
      <c r="L378">
        <v>1</v>
      </c>
      <c r="M378">
        <v>1568</v>
      </c>
      <c r="N378">
        <v>3</v>
      </c>
      <c r="O378" t="s">
        <v>43</v>
      </c>
      <c r="P378">
        <v>33</v>
      </c>
      <c r="Q378">
        <v>3</v>
      </c>
      <c r="R378">
        <v>3</v>
      </c>
      <c r="S378" t="s">
        <v>136</v>
      </c>
      <c r="T378">
        <v>2</v>
      </c>
      <c r="U378" t="s">
        <v>104</v>
      </c>
      <c r="V378">
        <v>9250</v>
      </c>
      <c r="W378" t="s">
        <v>162</v>
      </c>
      <c r="X378">
        <v>17799</v>
      </c>
      <c r="Y378">
        <v>3</v>
      </c>
      <c r="Z378" t="s">
        <v>47</v>
      </c>
      <c r="AA378" t="s">
        <v>48</v>
      </c>
      <c r="AB378">
        <v>12</v>
      </c>
      <c r="AC378">
        <v>3</v>
      </c>
      <c r="AD378">
        <v>2</v>
      </c>
      <c r="AE378">
        <v>80</v>
      </c>
      <c r="AF378">
        <v>1</v>
      </c>
      <c r="AG378">
        <v>9</v>
      </c>
      <c r="AH378">
        <v>3</v>
      </c>
      <c r="AI378">
        <v>3</v>
      </c>
      <c r="AJ378">
        <v>4</v>
      </c>
      <c r="AK378">
        <v>2</v>
      </c>
      <c r="AL378">
        <v>1</v>
      </c>
    </row>
    <row r="379" spans="1:38" x14ac:dyDescent="0.3">
      <c r="A379" t="s">
        <v>447</v>
      </c>
      <c r="B379">
        <v>30</v>
      </c>
      <c r="C379" t="s">
        <v>189</v>
      </c>
      <c r="D379" t="s">
        <v>48</v>
      </c>
      <c r="E379">
        <f t="shared" si="5"/>
        <v>0</v>
      </c>
      <c r="F379" t="s">
        <v>40</v>
      </c>
      <c r="G379">
        <v>241</v>
      </c>
      <c r="H379" t="s">
        <v>41</v>
      </c>
      <c r="I379">
        <v>7</v>
      </c>
      <c r="J379">
        <v>3</v>
      </c>
      <c r="K379" t="s">
        <v>51</v>
      </c>
      <c r="L379">
        <v>1</v>
      </c>
      <c r="M379">
        <v>1609</v>
      </c>
      <c r="N379">
        <v>2</v>
      </c>
      <c r="O379" t="s">
        <v>43</v>
      </c>
      <c r="P379">
        <v>48</v>
      </c>
      <c r="Q379">
        <v>2</v>
      </c>
      <c r="R379">
        <v>1</v>
      </c>
      <c r="S379" t="s">
        <v>59</v>
      </c>
      <c r="T379">
        <v>2</v>
      </c>
      <c r="U379" t="s">
        <v>104</v>
      </c>
      <c r="V379">
        <v>2141</v>
      </c>
      <c r="W379" t="s">
        <v>46</v>
      </c>
      <c r="X379">
        <v>5348</v>
      </c>
      <c r="Y379">
        <v>1</v>
      </c>
      <c r="Z379" t="s">
        <v>47</v>
      </c>
      <c r="AA379" t="s">
        <v>48</v>
      </c>
      <c r="AB379">
        <v>12</v>
      </c>
      <c r="AC379">
        <v>3</v>
      </c>
      <c r="AD379">
        <v>2</v>
      </c>
      <c r="AE379">
        <v>80</v>
      </c>
      <c r="AF379">
        <v>1</v>
      </c>
      <c r="AG379">
        <v>6</v>
      </c>
      <c r="AH379">
        <v>3</v>
      </c>
      <c r="AI379">
        <v>2</v>
      </c>
      <c r="AJ379">
        <v>6</v>
      </c>
      <c r="AK379">
        <v>4</v>
      </c>
      <c r="AL379">
        <v>1</v>
      </c>
    </row>
    <row r="380" spans="1:38" x14ac:dyDescent="0.3">
      <c r="A380" t="s">
        <v>448</v>
      </c>
      <c r="B380">
        <v>30</v>
      </c>
      <c r="C380" t="s">
        <v>189</v>
      </c>
      <c r="D380" t="s">
        <v>48</v>
      </c>
      <c r="E380">
        <f t="shared" si="5"/>
        <v>0</v>
      </c>
      <c r="F380" t="s">
        <v>40</v>
      </c>
      <c r="G380">
        <v>793</v>
      </c>
      <c r="H380" t="s">
        <v>41</v>
      </c>
      <c r="I380">
        <v>16</v>
      </c>
      <c r="J380">
        <v>1</v>
      </c>
      <c r="K380" t="s">
        <v>42</v>
      </c>
      <c r="L380">
        <v>1</v>
      </c>
      <c r="M380">
        <v>1729</v>
      </c>
      <c r="N380">
        <v>2</v>
      </c>
      <c r="O380" t="s">
        <v>43</v>
      </c>
      <c r="P380">
        <v>33</v>
      </c>
      <c r="Q380">
        <v>3</v>
      </c>
      <c r="R380">
        <v>1</v>
      </c>
      <c r="S380" t="s">
        <v>59</v>
      </c>
      <c r="T380">
        <v>4</v>
      </c>
      <c r="U380" t="s">
        <v>104</v>
      </c>
      <c r="V380">
        <v>2862</v>
      </c>
      <c r="W380" t="s">
        <v>46</v>
      </c>
      <c r="X380">
        <v>3811</v>
      </c>
      <c r="Y380">
        <v>1</v>
      </c>
      <c r="Z380" t="s">
        <v>47</v>
      </c>
      <c r="AA380" t="s">
        <v>48</v>
      </c>
      <c r="AB380">
        <v>12</v>
      </c>
      <c r="AC380">
        <v>3</v>
      </c>
      <c r="AD380">
        <v>2</v>
      </c>
      <c r="AE380">
        <v>80</v>
      </c>
      <c r="AF380">
        <v>1</v>
      </c>
      <c r="AG380">
        <v>10</v>
      </c>
      <c r="AH380">
        <v>2</v>
      </c>
      <c r="AI380">
        <v>2</v>
      </c>
      <c r="AJ380">
        <v>10</v>
      </c>
      <c r="AK380">
        <v>0</v>
      </c>
      <c r="AL380">
        <v>0</v>
      </c>
    </row>
    <row r="381" spans="1:38" x14ac:dyDescent="0.3">
      <c r="A381" t="s">
        <v>449</v>
      </c>
      <c r="B381">
        <v>30</v>
      </c>
      <c r="C381" t="s">
        <v>189</v>
      </c>
      <c r="D381" t="s">
        <v>48</v>
      </c>
      <c r="E381">
        <f t="shared" si="5"/>
        <v>0</v>
      </c>
      <c r="F381" t="s">
        <v>55</v>
      </c>
      <c r="G381">
        <v>1312</v>
      </c>
      <c r="H381" t="s">
        <v>41</v>
      </c>
      <c r="I381">
        <v>2</v>
      </c>
      <c r="J381">
        <v>4</v>
      </c>
      <c r="K381" t="s">
        <v>67</v>
      </c>
      <c r="L381">
        <v>1</v>
      </c>
      <c r="M381">
        <v>1745</v>
      </c>
      <c r="N381">
        <v>4</v>
      </c>
      <c r="O381" t="s">
        <v>52</v>
      </c>
      <c r="P381">
        <v>78</v>
      </c>
      <c r="Q381">
        <v>2</v>
      </c>
      <c r="R381">
        <v>1</v>
      </c>
      <c r="S381" t="s">
        <v>59</v>
      </c>
      <c r="T381">
        <v>1</v>
      </c>
      <c r="U381" t="s">
        <v>45</v>
      </c>
      <c r="V381">
        <v>4968</v>
      </c>
      <c r="W381" t="s">
        <v>46</v>
      </c>
      <c r="X381">
        <v>26427</v>
      </c>
      <c r="Y381">
        <v>0</v>
      </c>
      <c r="Z381" t="s">
        <v>47</v>
      </c>
      <c r="AA381" t="s">
        <v>48</v>
      </c>
      <c r="AB381">
        <v>16</v>
      </c>
      <c r="AC381">
        <v>3</v>
      </c>
      <c r="AD381">
        <v>4</v>
      </c>
      <c r="AE381">
        <v>80</v>
      </c>
      <c r="AF381">
        <v>0</v>
      </c>
      <c r="AG381">
        <v>10</v>
      </c>
      <c r="AH381">
        <v>2</v>
      </c>
      <c r="AI381">
        <v>3</v>
      </c>
      <c r="AJ381">
        <v>9</v>
      </c>
      <c r="AK381">
        <v>7</v>
      </c>
      <c r="AL381">
        <v>0</v>
      </c>
    </row>
    <row r="382" spans="1:38" x14ac:dyDescent="0.3">
      <c r="A382" t="s">
        <v>450</v>
      </c>
      <c r="B382">
        <v>30</v>
      </c>
      <c r="C382" t="s">
        <v>189</v>
      </c>
      <c r="D382" t="s">
        <v>39</v>
      </c>
      <c r="E382">
        <f t="shared" si="5"/>
        <v>1</v>
      </c>
      <c r="F382" t="s">
        <v>55</v>
      </c>
      <c r="G382">
        <v>600</v>
      </c>
      <c r="H382" t="s">
        <v>70</v>
      </c>
      <c r="I382">
        <v>8</v>
      </c>
      <c r="J382">
        <v>3</v>
      </c>
      <c r="K382" t="s">
        <v>70</v>
      </c>
      <c r="L382">
        <v>1</v>
      </c>
      <c r="M382">
        <v>1747</v>
      </c>
      <c r="N382">
        <v>3</v>
      </c>
      <c r="O382" t="s">
        <v>52</v>
      </c>
      <c r="P382">
        <v>66</v>
      </c>
      <c r="Q382">
        <v>2</v>
      </c>
      <c r="R382">
        <v>1</v>
      </c>
      <c r="S382" t="s">
        <v>70</v>
      </c>
      <c r="T382">
        <v>4</v>
      </c>
      <c r="U382" t="s">
        <v>101</v>
      </c>
      <c r="V382">
        <v>2180</v>
      </c>
      <c r="W382" t="s">
        <v>46</v>
      </c>
      <c r="X382">
        <v>9732</v>
      </c>
      <c r="Y382">
        <v>6</v>
      </c>
      <c r="Z382" t="s">
        <v>47</v>
      </c>
      <c r="AA382" t="s">
        <v>48</v>
      </c>
      <c r="AB382">
        <v>11</v>
      </c>
      <c r="AC382">
        <v>3</v>
      </c>
      <c r="AD382">
        <v>3</v>
      </c>
      <c r="AE382">
        <v>80</v>
      </c>
      <c r="AF382">
        <v>1</v>
      </c>
      <c r="AG382">
        <v>6</v>
      </c>
      <c r="AH382">
        <v>0</v>
      </c>
      <c r="AI382">
        <v>2</v>
      </c>
      <c r="AJ382">
        <v>4</v>
      </c>
      <c r="AK382">
        <v>2</v>
      </c>
      <c r="AL382">
        <v>1</v>
      </c>
    </row>
    <row r="383" spans="1:38" x14ac:dyDescent="0.3">
      <c r="A383" t="s">
        <v>451</v>
      </c>
      <c r="B383">
        <v>30</v>
      </c>
      <c r="C383" t="s">
        <v>189</v>
      </c>
      <c r="D383" t="s">
        <v>48</v>
      </c>
      <c r="E383">
        <f t="shared" si="5"/>
        <v>0</v>
      </c>
      <c r="F383" t="s">
        <v>40</v>
      </c>
      <c r="G383">
        <v>979</v>
      </c>
      <c r="H383" t="s">
        <v>50</v>
      </c>
      <c r="I383">
        <v>15</v>
      </c>
      <c r="J383">
        <v>2</v>
      </c>
      <c r="K383" t="s">
        <v>56</v>
      </c>
      <c r="L383">
        <v>1</v>
      </c>
      <c r="M383">
        <v>1754</v>
      </c>
      <c r="N383">
        <v>3</v>
      </c>
      <c r="O383" t="s">
        <v>43</v>
      </c>
      <c r="P383">
        <v>94</v>
      </c>
      <c r="Q383">
        <v>2</v>
      </c>
      <c r="R383">
        <v>3</v>
      </c>
      <c r="S383" t="s">
        <v>136</v>
      </c>
      <c r="T383">
        <v>1</v>
      </c>
      <c r="U383" t="s">
        <v>101</v>
      </c>
      <c r="V383">
        <v>7140</v>
      </c>
      <c r="W383" t="s">
        <v>162</v>
      </c>
      <c r="X383">
        <v>3088</v>
      </c>
      <c r="Y383">
        <v>2</v>
      </c>
      <c r="Z383" t="s">
        <v>47</v>
      </c>
      <c r="AA383" t="s">
        <v>48</v>
      </c>
      <c r="AB383">
        <v>11</v>
      </c>
      <c r="AC383">
        <v>3</v>
      </c>
      <c r="AD383">
        <v>1</v>
      </c>
      <c r="AE383">
        <v>80</v>
      </c>
      <c r="AF383">
        <v>1</v>
      </c>
      <c r="AG383">
        <v>12</v>
      </c>
      <c r="AH383">
        <v>2</v>
      </c>
      <c r="AI383">
        <v>3</v>
      </c>
      <c r="AJ383">
        <v>7</v>
      </c>
      <c r="AK383">
        <v>7</v>
      </c>
      <c r="AL383">
        <v>1</v>
      </c>
    </row>
    <row r="384" spans="1:38" x14ac:dyDescent="0.3">
      <c r="A384" t="s">
        <v>452</v>
      </c>
      <c r="B384">
        <v>30</v>
      </c>
      <c r="C384" t="s">
        <v>189</v>
      </c>
      <c r="D384" t="s">
        <v>48</v>
      </c>
      <c r="E384">
        <f t="shared" si="5"/>
        <v>0</v>
      </c>
      <c r="F384" t="s">
        <v>40</v>
      </c>
      <c r="G384">
        <v>305</v>
      </c>
      <c r="H384" t="s">
        <v>41</v>
      </c>
      <c r="I384">
        <v>16</v>
      </c>
      <c r="J384">
        <v>3</v>
      </c>
      <c r="K384" t="s">
        <v>42</v>
      </c>
      <c r="L384">
        <v>1</v>
      </c>
      <c r="M384">
        <v>1763</v>
      </c>
      <c r="N384">
        <v>3</v>
      </c>
      <c r="O384" t="s">
        <v>43</v>
      </c>
      <c r="P384">
        <v>58</v>
      </c>
      <c r="Q384">
        <v>4</v>
      </c>
      <c r="R384">
        <v>2</v>
      </c>
      <c r="S384" t="s">
        <v>160</v>
      </c>
      <c r="T384">
        <v>3</v>
      </c>
      <c r="U384" t="s">
        <v>104</v>
      </c>
      <c r="V384">
        <v>5294</v>
      </c>
      <c r="W384" t="s">
        <v>162</v>
      </c>
      <c r="X384">
        <v>9128</v>
      </c>
      <c r="Y384">
        <v>3</v>
      </c>
      <c r="Z384" t="s">
        <v>47</v>
      </c>
      <c r="AA384" t="s">
        <v>48</v>
      </c>
      <c r="AB384">
        <v>16</v>
      </c>
      <c r="AC384">
        <v>3</v>
      </c>
      <c r="AD384">
        <v>3</v>
      </c>
      <c r="AE384">
        <v>80</v>
      </c>
      <c r="AF384">
        <v>1</v>
      </c>
      <c r="AG384">
        <v>10</v>
      </c>
      <c r="AH384">
        <v>3</v>
      </c>
      <c r="AI384">
        <v>3</v>
      </c>
      <c r="AJ384">
        <v>7</v>
      </c>
      <c r="AK384">
        <v>0</v>
      </c>
      <c r="AL384">
        <v>1</v>
      </c>
    </row>
    <row r="385" spans="1:38" x14ac:dyDescent="0.3">
      <c r="A385" t="s">
        <v>453</v>
      </c>
      <c r="B385">
        <v>30</v>
      </c>
      <c r="C385" t="s">
        <v>189</v>
      </c>
      <c r="D385" t="s">
        <v>48</v>
      </c>
      <c r="E385">
        <f t="shared" si="5"/>
        <v>0</v>
      </c>
      <c r="F385" t="s">
        <v>40</v>
      </c>
      <c r="G385">
        <v>1092</v>
      </c>
      <c r="H385" t="s">
        <v>41</v>
      </c>
      <c r="I385">
        <v>10</v>
      </c>
      <c r="J385">
        <v>3</v>
      </c>
      <c r="K385" t="s">
        <v>51</v>
      </c>
      <c r="L385">
        <v>1</v>
      </c>
      <c r="M385">
        <v>1816</v>
      </c>
      <c r="N385">
        <v>1</v>
      </c>
      <c r="O385" t="s">
        <v>52</v>
      </c>
      <c r="P385">
        <v>64</v>
      </c>
      <c r="Q385">
        <v>3</v>
      </c>
      <c r="R385">
        <v>3</v>
      </c>
      <c r="S385" t="s">
        <v>111</v>
      </c>
      <c r="T385">
        <v>3</v>
      </c>
      <c r="U385" t="s">
        <v>45</v>
      </c>
      <c r="V385">
        <v>9667</v>
      </c>
      <c r="W385" t="s">
        <v>162</v>
      </c>
      <c r="X385">
        <v>2739</v>
      </c>
      <c r="Y385">
        <v>9</v>
      </c>
      <c r="Z385" t="s">
        <v>47</v>
      </c>
      <c r="AA385" t="s">
        <v>48</v>
      </c>
      <c r="AB385">
        <v>14</v>
      </c>
      <c r="AC385">
        <v>3</v>
      </c>
      <c r="AD385">
        <v>2</v>
      </c>
      <c r="AE385">
        <v>80</v>
      </c>
      <c r="AF385">
        <v>0</v>
      </c>
      <c r="AG385">
        <v>9</v>
      </c>
      <c r="AH385">
        <v>3</v>
      </c>
      <c r="AI385">
        <v>3</v>
      </c>
      <c r="AJ385">
        <v>7</v>
      </c>
      <c r="AK385">
        <v>7</v>
      </c>
      <c r="AL385">
        <v>0</v>
      </c>
    </row>
    <row r="386" spans="1:38" x14ac:dyDescent="0.3">
      <c r="A386" t="s">
        <v>454</v>
      </c>
      <c r="B386">
        <v>30</v>
      </c>
      <c r="C386" t="s">
        <v>189</v>
      </c>
      <c r="D386" t="s">
        <v>39</v>
      </c>
      <c r="E386">
        <f t="shared" si="5"/>
        <v>1</v>
      </c>
      <c r="F386" t="s">
        <v>40</v>
      </c>
      <c r="G386">
        <v>945</v>
      </c>
      <c r="H386" t="s">
        <v>50</v>
      </c>
      <c r="I386">
        <v>9</v>
      </c>
      <c r="J386">
        <v>3</v>
      </c>
      <c r="K386" t="s">
        <v>51</v>
      </c>
      <c r="L386">
        <v>1</v>
      </c>
      <c r="M386">
        <v>1876</v>
      </c>
      <c r="N386">
        <v>2</v>
      </c>
      <c r="O386" t="s">
        <v>43</v>
      </c>
      <c r="P386">
        <v>89</v>
      </c>
      <c r="Q386">
        <v>3</v>
      </c>
      <c r="R386">
        <v>1</v>
      </c>
      <c r="S386" t="s">
        <v>53</v>
      </c>
      <c r="T386">
        <v>4</v>
      </c>
      <c r="U386" t="s">
        <v>45</v>
      </c>
      <c r="V386">
        <v>1081</v>
      </c>
      <c r="W386" t="s">
        <v>46</v>
      </c>
      <c r="X386">
        <v>16019</v>
      </c>
      <c r="Y386">
        <v>1</v>
      </c>
      <c r="Z386" t="s">
        <v>47</v>
      </c>
      <c r="AA386" t="s">
        <v>48</v>
      </c>
      <c r="AB386">
        <v>13</v>
      </c>
      <c r="AC386">
        <v>3</v>
      </c>
      <c r="AD386">
        <v>3</v>
      </c>
      <c r="AE386">
        <v>80</v>
      </c>
      <c r="AF386">
        <v>0</v>
      </c>
      <c r="AG386">
        <v>1</v>
      </c>
      <c r="AH386">
        <v>3</v>
      </c>
      <c r="AI386">
        <v>2</v>
      </c>
      <c r="AJ386">
        <v>1</v>
      </c>
      <c r="AK386">
        <v>0</v>
      </c>
      <c r="AL386">
        <v>0</v>
      </c>
    </row>
    <row r="387" spans="1:38" x14ac:dyDescent="0.3">
      <c r="A387" t="s">
        <v>455</v>
      </c>
      <c r="B387">
        <v>30</v>
      </c>
      <c r="C387" t="s">
        <v>189</v>
      </c>
      <c r="D387" t="s">
        <v>48</v>
      </c>
      <c r="E387">
        <f t="shared" ref="E387:E450" si="6">IF(D387="Yes",1,0)</f>
        <v>0</v>
      </c>
      <c r="F387" t="s">
        <v>40</v>
      </c>
      <c r="G387">
        <v>911</v>
      </c>
      <c r="H387" t="s">
        <v>41</v>
      </c>
      <c r="I387">
        <v>1</v>
      </c>
      <c r="J387">
        <v>2</v>
      </c>
      <c r="K387" t="s">
        <v>51</v>
      </c>
      <c r="L387">
        <v>1</v>
      </c>
      <c r="M387">
        <v>1989</v>
      </c>
      <c r="N387">
        <v>4</v>
      </c>
      <c r="O387" t="s">
        <v>43</v>
      </c>
      <c r="P387">
        <v>76</v>
      </c>
      <c r="Q387">
        <v>3</v>
      </c>
      <c r="R387">
        <v>1</v>
      </c>
      <c r="S387" t="s">
        <v>44</v>
      </c>
      <c r="T387">
        <v>2</v>
      </c>
      <c r="U387" t="s">
        <v>104</v>
      </c>
      <c r="V387">
        <v>3748</v>
      </c>
      <c r="W387" t="s">
        <v>46</v>
      </c>
      <c r="X387">
        <v>4077</v>
      </c>
      <c r="Y387">
        <v>1</v>
      </c>
      <c r="Z387" t="s">
        <v>47</v>
      </c>
      <c r="AA387" t="s">
        <v>48</v>
      </c>
      <c r="AB387">
        <v>13</v>
      </c>
      <c r="AC387">
        <v>3</v>
      </c>
      <c r="AD387">
        <v>3</v>
      </c>
      <c r="AE387">
        <v>80</v>
      </c>
      <c r="AF387">
        <v>0</v>
      </c>
      <c r="AG387">
        <v>12</v>
      </c>
      <c r="AH387">
        <v>6</v>
      </c>
      <c r="AI387">
        <v>2</v>
      </c>
      <c r="AJ387">
        <v>12</v>
      </c>
      <c r="AK387">
        <v>8</v>
      </c>
      <c r="AL387">
        <v>1</v>
      </c>
    </row>
    <row r="388" spans="1:38" x14ac:dyDescent="0.3">
      <c r="A388" t="s">
        <v>456</v>
      </c>
      <c r="B388">
        <v>31</v>
      </c>
      <c r="C388" t="s">
        <v>189</v>
      </c>
      <c r="D388" t="s">
        <v>48</v>
      </c>
      <c r="E388">
        <f t="shared" si="6"/>
        <v>0</v>
      </c>
      <c r="F388" t="s">
        <v>40</v>
      </c>
      <c r="G388">
        <v>670</v>
      </c>
      <c r="H388" t="s">
        <v>41</v>
      </c>
      <c r="I388">
        <v>26</v>
      </c>
      <c r="J388">
        <v>1</v>
      </c>
      <c r="K388" t="s">
        <v>42</v>
      </c>
      <c r="L388">
        <v>1</v>
      </c>
      <c r="M388">
        <v>16</v>
      </c>
      <c r="N388">
        <v>1</v>
      </c>
      <c r="O388" t="s">
        <v>43</v>
      </c>
      <c r="P388">
        <v>31</v>
      </c>
      <c r="Q388">
        <v>3</v>
      </c>
      <c r="R388">
        <v>1</v>
      </c>
      <c r="S388" t="s">
        <v>59</v>
      </c>
      <c r="T388">
        <v>3</v>
      </c>
      <c r="U388" t="s">
        <v>101</v>
      </c>
      <c r="V388">
        <v>2911</v>
      </c>
      <c r="W388" t="s">
        <v>46</v>
      </c>
      <c r="X388">
        <v>15170</v>
      </c>
      <c r="Y388">
        <v>1</v>
      </c>
      <c r="Z388" t="s">
        <v>47</v>
      </c>
      <c r="AA388" t="s">
        <v>48</v>
      </c>
      <c r="AB388">
        <v>17</v>
      </c>
      <c r="AC388">
        <v>3</v>
      </c>
      <c r="AD388">
        <v>4</v>
      </c>
      <c r="AE388">
        <v>80</v>
      </c>
      <c r="AF388">
        <v>1</v>
      </c>
      <c r="AG388">
        <v>5</v>
      </c>
      <c r="AH388">
        <v>1</v>
      </c>
      <c r="AI388">
        <v>2</v>
      </c>
      <c r="AJ388">
        <v>5</v>
      </c>
      <c r="AK388">
        <v>2</v>
      </c>
      <c r="AL388">
        <v>4</v>
      </c>
    </row>
    <row r="389" spans="1:38" x14ac:dyDescent="0.3">
      <c r="A389" t="s">
        <v>457</v>
      </c>
      <c r="B389">
        <v>31</v>
      </c>
      <c r="C389" t="s">
        <v>189</v>
      </c>
      <c r="D389" t="s">
        <v>48</v>
      </c>
      <c r="E389">
        <f t="shared" si="6"/>
        <v>0</v>
      </c>
      <c r="F389" t="s">
        <v>40</v>
      </c>
      <c r="G389">
        <v>655</v>
      </c>
      <c r="H389" t="s">
        <v>41</v>
      </c>
      <c r="I389">
        <v>7</v>
      </c>
      <c r="J389">
        <v>4</v>
      </c>
      <c r="K389" t="s">
        <v>42</v>
      </c>
      <c r="L389">
        <v>1</v>
      </c>
      <c r="M389">
        <v>76</v>
      </c>
      <c r="N389">
        <v>4</v>
      </c>
      <c r="O389" t="s">
        <v>43</v>
      </c>
      <c r="P389">
        <v>48</v>
      </c>
      <c r="Q389">
        <v>3</v>
      </c>
      <c r="R389">
        <v>2</v>
      </c>
      <c r="S389" t="s">
        <v>44</v>
      </c>
      <c r="T389">
        <v>4</v>
      </c>
      <c r="U389" t="s">
        <v>101</v>
      </c>
      <c r="V389">
        <v>5915</v>
      </c>
      <c r="W389" t="s">
        <v>162</v>
      </c>
      <c r="X389">
        <v>9528</v>
      </c>
      <c r="Y389">
        <v>3</v>
      </c>
      <c r="Z389" t="s">
        <v>47</v>
      </c>
      <c r="AA389" t="s">
        <v>48</v>
      </c>
      <c r="AB389">
        <v>22</v>
      </c>
      <c r="AC389">
        <v>4</v>
      </c>
      <c r="AD389">
        <v>4</v>
      </c>
      <c r="AE389">
        <v>80</v>
      </c>
      <c r="AF389">
        <v>1</v>
      </c>
      <c r="AG389">
        <v>10</v>
      </c>
      <c r="AH389">
        <v>3</v>
      </c>
      <c r="AI389">
        <v>2</v>
      </c>
      <c r="AJ389">
        <v>7</v>
      </c>
      <c r="AK389">
        <v>7</v>
      </c>
      <c r="AL389">
        <v>1</v>
      </c>
    </row>
    <row r="390" spans="1:38" x14ac:dyDescent="0.3">
      <c r="A390" t="s">
        <v>458</v>
      </c>
      <c r="B390">
        <v>31</v>
      </c>
      <c r="C390" t="s">
        <v>189</v>
      </c>
      <c r="D390" t="s">
        <v>48</v>
      </c>
      <c r="E390">
        <f t="shared" si="6"/>
        <v>0</v>
      </c>
      <c r="F390" t="s">
        <v>40</v>
      </c>
      <c r="G390">
        <v>1082</v>
      </c>
      <c r="H390" t="s">
        <v>41</v>
      </c>
      <c r="I390">
        <v>1</v>
      </c>
      <c r="J390">
        <v>4</v>
      </c>
      <c r="K390" t="s">
        <v>51</v>
      </c>
      <c r="L390">
        <v>1</v>
      </c>
      <c r="M390">
        <v>95</v>
      </c>
      <c r="N390">
        <v>3</v>
      </c>
      <c r="O390" t="s">
        <v>43</v>
      </c>
      <c r="P390">
        <v>87</v>
      </c>
      <c r="Q390">
        <v>3</v>
      </c>
      <c r="R390">
        <v>1</v>
      </c>
      <c r="S390" t="s">
        <v>59</v>
      </c>
      <c r="T390">
        <v>2</v>
      </c>
      <c r="U390" t="s">
        <v>45</v>
      </c>
      <c r="V390">
        <v>2501</v>
      </c>
      <c r="W390" t="s">
        <v>46</v>
      </c>
      <c r="X390">
        <v>18775</v>
      </c>
      <c r="Y390">
        <v>1</v>
      </c>
      <c r="Z390" t="s">
        <v>47</v>
      </c>
      <c r="AA390" t="s">
        <v>48</v>
      </c>
      <c r="AB390">
        <v>17</v>
      </c>
      <c r="AC390">
        <v>3</v>
      </c>
      <c r="AD390">
        <v>2</v>
      </c>
      <c r="AE390">
        <v>80</v>
      </c>
      <c r="AF390">
        <v>0</v>
      </c>
      <c r="AG390">
        <v>1</v>
      </c>
      <c r="AH390">
        <v>4</v>
      </c>
      <c r="AI390">
        <v>3</v>
      </c>
      <c r="AJ390">
        <v>1</v>
      </c>
      <c r="AK390">
        <v>1</v>
      </c>
      <c r="AL390">
        <v>1</v>
      </c>
    </row>
    <row r="391" spans="1:38" x14ac:dyDescent="0.3">
      <c r="A391" t="s">
        <v>459</v>
      </c>
      <c r="B391">
        <v>31</v>
      </c>
      <c r="C391" t="s">
        <v>189</v>
      </c>
      <c r="D391" t="s">
        <v>48</v>
      </c>
      <c r="E391">
        <f t="shared" si="6"/>
        <v>0</v>
      </c>
      <c r="F391" t="s">
        <v>40</v>
      </c>
      <c r="G391">
        <v>746</v>
      </c>
      <c r="H391" t="s">
        <v>41</v>
      </c>
      <c r="I391">
        <v>8</v>
      </c>
      <c r="J391">
        <v>4</v>
      </c>
      <c r="K391" t="s">
        <v>42</v>
      </c>
      <c r="L391">
        <v>1</v>
      </c>
      <c r="M391">
        <v>98</v>
      </c>
      <c r="N391">
        <v>3</v>
      </c>
      <c r="O391" t="s">
        <v>52</v>
      </c>
      <c r="P391">
        <v>61</v>
      </c>
      <c r="Q391">
        <v>3</v>
      </c>
      <c r="R391">
        <v>2</v>
      </c>
      <c r="S391" t="s">
        <v>111</v>
      </c>
      <c r="T391">
        <v>4</v>
      </c>
      <c r="U391" t="s">
        <v>45</v>
      </c>
      <c r="V391">
        <v>4424</v>
      </c>
      <c r="W391" t="s">
        <v>46</v>
      </c>
      <c r="X391">
        <v>20682</v>
      </c>
      <c r="Y391">
        <v>1</v>
      </c>
      <c r="Z391" t="s">
        <v>47</v>
      </c>
      <c r="AA391" t="s">
        <v>48</v>
      </c>
      <c r="AB391">
        <v>23</v>
      </c>
      <c r="AC391">
        <v>4</v>
      </c>
      <c r="AD391">
        <v>4</v>
      </c>
      <c r="AE391">
        <v>80</v>
      </c>
      <c r="AF391">
        <v>0</v>
      </c>
      <c r="AG391">
        <v>11</v>
      </c>
      <c r="AH391">
        <v>2</v>
      </c>
      <c r="AI391">
        <v>3</v>
      </c>
      <c r="AJ391">
        <v>11</v>
      </c>
      <c r="AK391">
        <v>7</v>
      </c>
      <c r="AL391">
        <v>1</v>
      </c>
    </row>
    <row r="392" spans="1:38" x14ac:dyDescent="0.3">
      <c r="A392" t="s">
        <v>460</v>
      </c>
      <c r="B392">
        <v>31</v>
      </c>
      <c r="C392" t="s">
        <v>189</v>
      </c>
      <c r="D392" t="s">
        <v>39</v>
      </c>
      <c r="E392">
        <f t="shared" si="6"/>
        <v>1</v>
      </c>
      <c r="F392" t="s">
        <v>40</v>
      </c>
      <c r="G392">
        <v>249</v>
      </c>
      <c r="H392" t="s">
        <v>50</v>
      </c>
      <c r="I392">
        <v>6</v>
      </c>
      <c r="J392">
        <v>4</v>
      </c>
      <c r="K392" t="s">
        <v>42</v>
      </c>
      <c r="L392">
        <v>1</v>
      </c>
      <c r="M392">
        <v>163</v>
      </c>
      <c r="N392">
        <v>2</v>
      </c>
      <c r="O392" t="s">
        <v>43</v>
      </c>
      <c r="P392">
        <v>76</v>
      </c>
      <c r="Q392">
        <v>1</v>
      </c>
      <c r="R392">
        <v>2</v>
      </c>
      <c r="S392" t="s">
        <v>136</v>
      </c>
      <c r="T392">
        <v>3</v>
      </c>
      <c r="U392" t="s">
        <v>104</v>
      </c>
      <c r="V392">
        <v>6172</v>
      </c>
      <c r="W392" t="s">
        <v>162</v>
      </c>
      <c r="X392">
        <v>20739</v>
      </c>
      <c r="Y392">
        <v>4</v>
      </c>
      <c r="Z392" t="s">
        <v>47</v>
      </c>
      <c r="AA392" t="s">
        <v>39</v>
      </c>
      <c r="AB392">
        <v>18</v>
      </c>
      <c r="AC392">
        <v>3</v>
      </c>
      <c r="AD392">
        <v>2</v>
      </c>
      <c r="AE392">
        <v>80</v>
      </c>
      <c r="AF392">
        <v>0</v>
      </c>
      <c r="AG392">
        <v>12</v>
      </c>
      <c r="AH392">
        <v>3</v>
      </c>
      <c r="AI392">
        <v>2</v>
      </c>
      <c r="AJ392">
        <v>7</v>
      </c>
      <c r="AK392">
        <v>7</v>
      </c>
      <c r="AL392">
        <v>7</v>
      </c>
    </row>
    <row r="393" spans="1:38" x14ac:dyDescent="0.3">
      <c r="A393" t="s">
        <v>461</v>
      </c>
      <c r="B393">
        <v>31</v>
      </c>
      <c r="C393" t="s">
        <v>189</v>
      </c>
      <c r="D393" t="s">
        <v>39</v>
      </c>
      <c r="E393">
        <f t="shared" si="6"/>
        <v>1</v>
      </c>
      <c r="F393" t="s">
        <v>40</v>
      </c>
      <c r="G393">
        <v>542</v>
      </c>
      <c r="H393" t="s">
        <v>50</v>
      </c>
      <c r="I393">
        <v>20</v>
      </c>
      <c r="J393">
        <v>3</v>
      </c>
      <c r="K393" t="s">
        <v>42</v>
      </c>
      <c r="L393">
        <v>1</v>
      </c>
      <c r="M393">
        <v>175</v>
      </c>
      <c r="N393">
        <v>2</v>
      </c>
      <c r="O393" t="s">
        <v>52</v>
      </c>
      <c r="P393">
        <v>71</v>
      </c>
      <c r="Q393">
        <v>1</v>
      </c>
      <c r="R393">
        <v>2</v>
      </c>
      <c r="S393" t="s">
        <v>136</v>
      </c>
      <c r="T393">
        <v>3</v>
      </c>
      <c r="U393" t="s">
        <v>104</v>
      </c>
      <c r="V393">
        <v>4559</v>
      </c>
      <c r="W393" t="s">
        <v>46</v>
      </c>
      <c r="X393">
        <v>24788</v>
      </c>
      <c r="Y393">
        <v>3</v>
      </c>
      <c r="Z393" t="s">
        <v>47</v>
      </c>
      <c r="AA393" t="s">
        <v>39</v>
      </c>
      <c r="AB393">
        <v>11</v>
      </c>
      <c r="AC393">
        <v>3</v>
      </c>
      <c r="AD393">
        <v>3</v>
      </c>
      <c r="AE393">
        <v>80</v>
      </c>
      <c r="AF393">
        <v>1</v>
      </c>
      <c r="AG393">
        <v>4</v>
      </c>
      <c r="AH393">
        <v>2</v>
      </c>
      <c r="AI393">
        <v>3</v>
      </c>
      <c r="AJ393">
        <v>2</v>
      </c>
      <c r="AK393">
        <v>2</v>
      </c>
      <c r="AL393">
        <v>2</v>
      </c>
    </row>
    <row r="394" spans="1:38" x14ac:dyDescent="0.3">
      <c r="A394" t="s">
        <v>462</v>
      </c>
      <c r="B394">
        <v>31</v>
      </c>
      <c r="C394" t="s">
        <v>189</v>
      </c>
      <c r="D394" t="s">
        <v>48</v>
      </c>
      <c r="E394">
        <f t="shared" si="6"/>
        <v>0</v>
      </c>
      <c r="F394" t="s">
        <v>40</v>
      </c>
      <c r="G394">
        <v>140</v>
      </c>
      <c r="H394" t="s">
        <v>41</v>
      </c>
      <c r="I394">
        <v>12</v>
      </c>
      <c r="J394">
        <v>1</v>
      </c>
      <c r="K394" t="s">
        <v>51</v>
      </c>
      <c r="L394">
        <v>1</v>
      </c>
      <c r="M394">
        <v>246</v>
      </c>
      <c r="N394">
        <v>3</v>
      </c>
      <c r="O394" t="s">
        <v>52</v>
      </c>
      <c r="P394">
        <v>95</v>
      </c>
      <c r="Q394">
        <v>3</v>
      </c>
      <c r="R394">
        <v>1</v>
      </c>
      <c r="S394" t="s">
        <v>59</v>
      </c>
      <c r="T394">
        <v>4</v>
      </c>
      <c r="U394" t="s">
        <v>104</v>
      </c>
      <c r="V394">
        <v>3929</v>
      </c>
      <c r="W394" t="s">
        <v>46</v>
      </c>
      <c r="X394">
        <v>6984</v>
      </c>
      <c r="Y394">
        <v>8</v>
      </c>
      <c r="Z394" t="s">
        <v>47</v>
      </c>
      <c r="AA394" t="s">
        <v>39</v>
      </c>
      <c r="AB394">
        <v>23</v>
      </c>
      <c r="AC394">
        <v>4</v>
      </c>
      <c r="AD394">
        <v>3</v>
      </c>
      <c r="AE394">
        <v>80</v>
      </c>
      <c r="AF394">
        <v>1</v>
      </c>
      <c r="AG394">
        <v>7</v>
      </c>
      <c r="AH394">
        <v>0</v>
      </c>
      <c r="AI394">
        <v>3</v>
      </c>
      <c r="AJ394">
        <v>4</v>
      </c>
      <c r="AK394">
        <v>2</v>
      </c>
      <c r="AL394">
        <v>0</v>
      </c>
    </row>
    <row r="395" spans="1:38" x14ac:dyDescent="0.3">
      <c r="A395" t="s">
        <v>463</v>
      </c>
      <c r="B395">
        <v>31</v>
      </c>
      <c r="C395" t="s">
        <v>189</v>
      </c>
      <c r="D395" t="s">
        <v>48</v>
      </c>
      <c r="E395">
        <f t="shared" si="6"/>
        <v>0</v>
      </c>
      <c r="F395" t="s">
        <v>58</v>
      </c>
      <c r="G395">
        <v>979</v>
      </c>
      <c r="H395" t="s">
        <v>41</v>
      </c>
      <c r="I395">
        <v>1</v>
      </c>
      <c r="J395">
        <v>4</v>
      </c>
      <c r="K395" t="s">
        <v>51</v>
      </c>
      <c r="L395">
        <v>1</v>
      </c>
      <c r="M395">
        <v>308</v>
      </c>
      <c r="N395">
        <v>3</v>
      </c>
      <c r="O395" t="s">
        <v>43</v>
      </c>
      <c r="P395">
        <v>90</v>
      </c>
      <c r="Q395">
        <v>1</v>
      </c>
      <c r="R395">
        <v>2</v>
      </c>
      <c r="S395" t="s">
        <v>111</v>
      </c>
      <c r="T395">
        <v>3</v>
      </c>
      <c r="U395" t="s">
        <v>104</v>
      </c>
      <c r="V395">
        <v>4345</v>
      </c>
      <c r="W395" t="s">
        <v>46</v>
      </c>
      <c r="X395">
        <v>4381</v>
      </c>
      <c r="Y395">
        <v>0</v>
      </c>
      <c r="Z395" t="s">
        <v>47</v>
      </c>
      <c r="AA395" t="s">
        <v>48</v>
      </c>
      <c r="AB395">
        <v>12</v>
      </c>
      <c r="AC395">
        <v>3</v>
      </c>
      <c r="AD395">
        <v>4</v>
      </c>
      <c r="AE395">
        <v>80</v>
      </c>
      <c r="AF395">
        <v>1</v>
      </c>
      <c r="AG395">
        <v>6</v>
      </c>
      <c r="AH395">
        <v>2</v>
      </c>
      <c r="AI395">
        <v>3</v>
      </c>
      <c r="AJ395">
        <v>5</v>
      </c>
      <c r="AK395">
        <v>4</v>
      </c>
      <c r="AL395">
        <v>1</v>
      </c>
    </row>
    <row r="396" spans="1:38" x14ac:dyDescent="0.3">
      <c r="A396" t="s">
        <v>464</v>
      </c>
      <c r="B396">
        <v>31</v>
      </c>
      <c r="C396" t="s">
        <v>189</v>
      </c>
      <c r="D396" t="s">
        <v>48</v>
      </c>
      <c r="E396">
        <f t="shared" si="6"/>
        <v>0</v>
      </c>
      <c r="F396" t="s">
        <v>55</v>
      </c>
      <c r="G396">
        <v>1327</v>
      </c>
      <c r="H396" t="s">
        <v>41</v>
      </c>
      <c r="I396">
        <v>3</v>
      </c>
      <c r="J396">
        <v>4</v>
      </c>
      <c r="K396" t="s">
        <v>51</v>
      </c>
      <c r="L396">
        <v>1</v>
      </c>
      <c r="M396">
        <v>337</v>
      </c>
      <c r="N396">
        <v>2</v>
      </c>
      <c r="O396" t="s">
        <v>43</v>
      </c>
      <c r="P396">
        <v>73</v>
      </c>
      <c r="Q396">
        <v>3</v>
      </c>
      <c r="R396">
        <v>3</v>
      </c>
      <c r="S396" t="s">
        <v>251</v>
      </c>
      <c r="T396">
        <v>3</v>
      </c>
      <c r="U396" t="s">
        <v>101</v>
      </c>
      <c r="V396">
        <v>13675</v>
      </c>
      <c r="W396" t="s">
        <v>252</v>
      </c>
      <c r="X396">
        <v>13523</v>
      </c>
      <c r="Y396">
        <v>9</v>
      </c>
      <c r="Z396" t="s">
        <v>47</v>
      </c>
      <c r="AA396" t="s">
        <v>48</v>
      </c>
      <c r="AB396">
        <v>12</v>
      </c>
      <c r="AC396">
        <v>3</v>
      </c>
      <c r="AD396">
        <v>1</v>
      </c>
      <c r="AE396">
        <v>80</v>
      </c>
      <c r="AF396">
        <v>1</v>
      </c>
      <c r="AG396">
        <v>9</v>
      </c>
      <c r="AH396">
        <v>3</v>
      </c>
      <c r="AI396">
        <v>3</v>
      </c>
      <c r="AJ396">
        <v>2</v>
      </c>
      <c r="AK396">
        <v>2</v>
      </c>
      <c r="AL396">
        <v>2</v>
      </c>
    </row>
    <row r="397" spans="1:38" x14ac:dyDescent="0.3">
      <c r="A397" t="s">
        <v>465</v>
      </c>
      <c r="B397">
        <v>31</v>
      </c>
      <c r="C397" t="s">
        <v>189</v>
      </c>
      <c r="D397" t="s">
        <v>39</v>
      </c>
      <c r="E397">
        <f t="shared" si="6"/>
        <v>1</v>
      </c>
      <c r="F397" t="s">
        <v>55</v>
      </c>
      <c r="G397">
        <v>307</v>
      </c>
      <c r="H397" t="s">
        <v>41</v>
      </c>
      <c r="I397">
        <v>29</v>
      </c>
      <c r="J397">
        <v>2</v>
      </c>
      <c r="K397" t="s">
        <v>51</v>
      </c>
      <c r="L397">
        <v>1</v>
      </c>
      <c r="M397">
        <v>355</v>
      </c>
      <c r="N397">
        <v>3</v>
      </c>
      <c r="O397" t="s">
        <v>43</v>
      </c>
      <c r="P397">
        <v>71</v>
      </c>
      <c r="Q397">
        <v>2</v>
      </c>
      <c r="R397">
        <v>1</v>
      </c>
      <c r="S397" t="s">
        <v>44</v>
      </c>
      <c r="T397">
        <v>2</v>
      </c>
      <c r="U397" t="s">
        <v>45</v>
      </c>
      <c r="V397">
        <v>3479</v>
      </c>
      <c r="W397" t="s">
        <v>46</v>
      </c>
      <c r="X397">
        <v>11652</v>
      </c>
      <c r="Y397">
        <v>0</v>
      </c>
      <c r="Z397" t="s">
        <v>47</v>
      </c>
      <c r="AA397" t="s">
        <v>48</v>
      </c>
      <c r="AB397">
        <v>11</v>
      </c>
      <c r="AC397">
        <v>3</v>
      </c>
      <c r="AD397">
        <v>2</v>
      </c>
      <c r="AE397">
        <v>80</v>
      </c>
      <c r="AF397">
        <v>0</v>
      </c>
      <c r="AG397">
        <v>6</v>
      </c>
      <c r="AH397">
        <v>2</v>
      </c>
      <c r="AI397">
        <v>4</v>
      </c>
      <c r="AJ397">
        <v>5</v>
      </c>
      <c r="AK397">
        <v>4</v>
      </c>
      <c r="AL397">
        <v>1</v>
      </c>
    </row>
    <row r="398" spans="1:38" x14ac:dyDescent="0.3">
      <c r="A398" t="s">
        <v>466</v>
      </c>
      <c r="B398">
        <v>31</v>
      </c>
      <c r="C398" t="s">
        <v>189</v>
      </c>
      <c r="D398" t="s">
        <v>48</v>
      </c>
      <c r="E398">
        <f t="shared" si="6"/>
        <v>0</v>
      </c>
      <c r="F398" t="s">
        <v>40</v>
      </c>
      <c r="G398">
        <v>1463</v>
      </c>
      <c r="H398" t="s">
        <v>41</v>
      </c>
      <c r="I398">
        <v>23</v>
      </c>
      <c r="J398">
        <v>3</v>
      </c>
      <c r="K398" t="s">
        <v>51</v>
      </c>
      <c r="L398">
        <v>1</v>
      </c>
      <c r="M398">
        <v>367</v>
      </c>
      <c r="N398">
        <v>2</v>
      </c>
      <c r="O398" t="s">
        <v>43</v>
      </c>
      <c r="P398">
        <v>64</v>
      </c>
      <c r="Q398">
        <v>2</v>
      </c>
      <c r="R398">
        <v>2</v>
      </c>
      <c r="S398" t="s">
        <v>160</v>
      </c>
      <c r="T398">
        <v>4</v>
      </c>
      <c r="U398" t="s">
        <v>104</v>
      </c>
      <c r="V398">
        <v>5582</v>
      </c>
      <c r="W398" t="s">
        <v>162</v>
      </c>
      <c r="X398">
        <v>14408</v>
      </c>
      <c r="Y398">
        <v>0</v>
      </c>
      <c r="Z398" t="s">
        <v>47</v>
      </c>
      <c r="AA398" t="s">
        <v>48</v>
      </c>
      <c r="AB398">
        <v>21</v>
      </c>
      <c r="AC398">
        <v>4</v>
      </c>
      <c r="AD398">
        <v>2</v>
      </c>
      <c r="AE398">
        <v>80</v>
      </c>
      <c r="AF398">
        <v>1</v>
      </c>
      <c r="AG398">
        <v>10</v>
      </c>
      <c r="AH398">
        <v>2</v>
      </c>
      <c r="AI398">
        <v>3</v>
      </c>
      <c r="AJ398">
        <v>9</v>
      </c>
      <c r="AK398">
        <v>0</v>
      </c>
      <c r="AL398">
        <v>7</v>
      </c>
    </row>
    <row r="399" spans="1:38" x14ac:dyDescent="0.3">
      <c r="A399" t="s">
        <v>467</v>
      </c>
      <c r="B399">
        <v>31</v>
      </c>
      <c r="C399" t="s">
        <v>189</v>
      </c>
      <c r="D399" t="s">
        <v>48</v>
      </c>
      <c r="E399">
        <f t="shared" si="6"/>
        <v>0</v>
      </c>
      <c r="F399" t="s">
        <v>55</v>
      </c>
      <c r="G399">
        <v>444</v>
      </c>
      <c r="H399" t="s">
        <v>50</v>
      </c>
      <c r="I399">
        <v>5</v>
      </c>
      <c r="J399">
        <v>3</v>
      </c>
      <c r="K399" t="s">
        <v>56</v>
      </c>
      <c r="L399">
        <v>1</v>
      </c>
      <c r="M399">
        <v>399</v>
      </c>
      <c r="N399">
        <v>4</v>
      </c>
      <c r="O399" t="s">
        <v>52</v>
      </c>
      <c r="P399">
        <v>84</v>
      </c>
      <c r="Q399">
        <v>3</v>
      </c>
      <c r="R399">
        <v>1</v>
      </c>
      <c r="S399" t="s">
        <v>53</v>
      </c>
      <c r="T399">
        <v>2</v>
      </c>
      <c r="U399" t="s">
        <v>101</v>
      </c>
      <c r="V399">
        <v>2789</v>
      </c>
      <c r="W399" t="s">
        <v>46</v>
      </c>
      <c r="X399">
        <v>3909</v>
      </c>
      <c r="Y399">
        <v>1</v>
      </c>
      <c r="Z399" t="s">
        <v>47</v>
      </c>
      <c r="AA399" t="s">
        <v>48</v>
      </c>
      <c r="AB399">
        <v>11</v>
      </c>
      <c r="AC399">
        <v>3</v>
      </c>
      <c r="AD399">
        <v>3</v>
      </c>
      <c r="AE399">
        <v>80</v>
      </c>
      <c r="AF399">
        <v>1</v>
      </c>
      <c r="AG399">
        <v>2</v>
      </c>
      <c r="AH399">
        <v>5</v>
      </c>
      <c r="AI399">
        <v>2</v>
      </c>
      <c r="AJ399">
        <v>2</v>
      </c>
      <c r="AK399">
        <v>2</v>
      </c>
      <c r="AL399">
        <v>2</v>
      </c>
    </row>
    <row r="400" spans="1:38" x14ac:dyDescent="0.3">
      <c r="A400" t="s">
        <v>468</v>
      </c>
      <c r="B400">
        <v>31</v>
      </c>
      <c r="C400" t="s">
        <v>189</v>
      </c>
      <c r="D400" t="s">
        <v>48</v>
      </c>
      <c r="E400">
        <f t="shared" si="6"/>
        <v>0</v>
      </c>
      <c r="F400" t="s">
        <v>40</v>
      </c>
      <c r="G400">
        <v>218</v>
      </c>
      <c r="H400" t="s">
        <v>50</v>
      </c>
      <c r="I400">
        <v>7</v>
      </c>
      <c r="J400">
        <v>3</v>
      </c>
      <c r="K400" t="s">
        <v>67</v>
      </c>
      <c r="L400">
        <v>1</v>
      </c>
      <c r="M400">
        <v>416</v>
      </c>
      <c r="N400">
        <v>2</v>
      </c>
      <c r="O400" t="s">
        <v>43</v>
      </c>
      <c r="P400">
        <v>100</v>
      </c>
      <c r="Q400">
        <v>4</v>
      </c>
      <c r="R400">
        <v>2</v>
      </c>
      <c r="S400" t="s">
        <v>136</v>
      </c>
      <c r="T400">
        <v>4</v>
      </c>
      <c r="U400" t="s">
        <v>104</v>
      </c>
      <c r="V400">
        <v>6929</v>
      </c>
      <c r="W400" t="s">
        <v>162</v>
      </c>
      <c r="X400">
        <v>12241</v>
      </c>
      <c r="Y400">
        <v>4</v>
      </c>
      <c r="Z400" t="s">
        <v>47</v>
      </c>
      <c r="AA400" t="s">
        <v>48</v>
      </c>
      <c r="AB400">
        <v>11</v>
      </c>
      <c r="AC400">
        <v>3</v>
      </c>
      <c r="AD400">
        <v>2</v>
      </c>
      <c r="AE400">
        <v>80</v>
      </c>
      <c r="AF400">
        <v>1</v>
      </c>
      <c r="AG400">
        <v>10</v>
      </c>
      <c r="AH400">
        <v>3</v>
      </c>
      <c r="AI400">
        <v>2</v>
      </c>
      <c r="AJ400">
        <v>8</v>
      </c>
      <c r="AK400">
        <v>7</v>
      </c>
      <c r="AL400">
        <v>7</v>
      </c>
    </row>
    <row r="401" spans="1:38" x14ac:dyDescent="0.3">
      <c r="A401" t="s">
        <v>469</v>
      </c>
      <c r="B401">
        <v>31</v>
      </c>
      <c r="C401" t="s">
        <v>189</v>
      </c>
      <c r="D401" t="s">
        <v>48</v>
      </c>
      <c r="E401">
        <f t="shared" si="6"/>
        <v>0</v>
      </c>
      <c r="F401" t="s">
        <v>40</v>
      </c>
      <c r="G401">
        <v>691</v>
      </c>
      <c r="H401" t="s">
        <v>41</v>
      </c>
      <c r="I401">
        <v>5</v>
      </c>
      <c r="J401">
        <v>4</v>
      </c>
      <c r="K401" t="s">
        <v>67</v>
      </c>
      <c r="L401">
        <v>1</v>
      </c>
      <c r="M401">
        <v>423</v>
      </c>
      <c r="N401">
        <v>3</v>
      </c>
      <c r="O401" t="s">
        <v>43</v>
      </c>
      <c r="P401">
        <v>86</v>
      </c>
      <c r="Q401">
        <v>3</v>
      </c>
      <c r="R401">
        <v>1</v>
      </c>
      <c r="S401" t="s">
        <v>59</v>
      </c>
      <c r="T401">
        <v>4</v>
      </c>
      <c r="U401" t="s">
        <v>104</v>
      </c>
      <c r="V401">
        <v>4821</v>
      </c>
      <c r="W401" t="s">
        <v>46</v>
      </c>
      <c r="X401">
        <v>10077</v>
      </c>
      <c r="Y401">
        <v>0</v>
      </c>
      <c r="Z401" t="s">
        <v>47</v>
      </c>
      <c r="AA401" t="s">
        <v>39</v>
      </c>
      <c r="AB401">
        <v>12</v>
      </c>
      <c r="AC401">
        <v>3</v>
      </c>
      <c r="AD401">
        <v>3</v>
      </c>
      <c r="AE401">
        <v>80</v>
      </c>
      <c r="AF401">
        <v>1</v>
      </c>
      <c r="AG401">
        <v>6</v>
      </c>
      <c r="AH401">
        <v>4</v>
      </c>
      <c r="AI401">
        <v>3</v>
      </c>
      <c r="AJ401">
        <v>5</v>
      </c>
      <c r="AK401">
        <v>2</v>
      </c>
      <c r="AL401">
        <v>0</v>
      </c>
    </row>
    <row r="402" spans="1:38" x14ac:dyDescent="0.3">
      <c r="A402" t="s">
        <v>470</v>
      </c>
      <c r="B402">
        <v>31</v>
      </c>
      <c r="C402" t="s">
        <v>189</v>
      </c>
      <c r="D402" t="s">
        <v>48</v>
      </c>
      <c r="E402">
        <f t="shared" si="6"/>
        <v>0</v>
      </c>
      <c r="F402" t="s">
        <v>40</v>
      </c>
      <c r="G402">
        <v>106</v>
      </c>
      <c r="H402" t="s">
        <v>70</v>
      </c>
      <c r="I402">
        <v>2</v>
      </c>
      <c r="J402">
        <v>3</v>
      </c>
      <c r="K402" t="s">
        <v>70</v>
      </c>
      <c r="L402">
        <v>1</v>
      </c>
      <c r="M402">
        <v>424</v>
      </c>
      <c r="N402">
        <v>1</v>
      </c>
      <c r="O402" t="s">
        <v>43</v>
      </c>
      <c r="P402">
        <v>62</v>
      </c>
      <c r="Q402">
        <v>2</v>
      </c>
      <c r="R402">
        <v>2</v>
      </c>
      <c r="S402" t="s">
        <v>70</v>
      </c>
      <c r="T402">
        <v>1</v>
      </c>
      <c r="U402" t="s">
        <v>104</v>
      </c>
      <c r="V402">
        <v>6410</v>
      </c>
      <c r="W402" t="s">
        <v>162</v>
      </c>
      <c r="X402">
        <v>17822</v>
      </c>
      <c r="Y402">
        <v>3</v>
      </c>
      <c r="Z402" t="s">
        <v>47</v>
      </c>
      <c r="AA402" t="s">
        <v>48</v>
      </c>
      <c r="AB402">
        <v>12</v>
      </c>
      <c r="AC402">
        <v>3</v>
      </c>
      <c r="AD402">
        <v>4</v>
      </c>
      <c r="AE402">
        <v>80</v>
      </c>
      <c r="AF402">
        <v>0</v>
      </c>
      <c r="AG402">
        <v>9</v>
      </c>
      <c r="AH402">
        <v>1</v>
      </c>
      <c r="AI402">
        <v>3</v>
      </c>
      <c r="AJ402">
        <v>2</v>
      </c>
      <c r="AK402">
        <v>2</v>
      </c>
      <c r="AL402">
        <v>1</v>
      </c>
    </row>
    <row r="403" spans="1:38" x14ac:dyDescent="0.3">
      <c r="A403" t="s">
        <v>471</v>
      </c>
      <c r="B403">
        <v>31</v>
      </c>
      <c r="C403" t="s">
        <v>189</v>
      </c>
      <c r="D403" t="s">
        <v>48</v>
      </c>
      <c r="E403">
        <f t="shared" si="6"/>
        <v>0</v>
      </c>
      <c r="F403" t="s">
        <v>40</v>
      </c>
      <c r="G403">
        <v>192</v>
      </c>
      <c r="H403" t="s">
        <v>41</v>
      </c>
      <c r="I403">
        <v>2</v>
      </c>
      <c r="J403">
        <v>4</v>
      </c>
      <c r="K403" t="s">
        <v>42</v>
      </c>
      <c r="L403">
        <v>1</v>
      </c>
      <c r="M403">
        <v>426</v>
      </c>
      <c r="N403">
        <v>3</v>
      </c>
      <c r="O403" t="s">
        <v>43</v>
      </c>
      <c r="P403">
        <v>32</v>
      </c>
      <c r="Q403">
        <v>3</v>
      </c>
      <c r="R403">
        <v>1</v>
      </c>
      <c r="S403" t="s">
        <v>59</v>
      </c>
      <c r="T403">
        <v>4</v>
      </c>
      <c r="U403" t="s">
        <v>101</v>
      </c>
      <c r="V403">
        <v>2695</v>
      </c>
      <c r="W403" t="s">
        <v>46</v>
      </c>
      <c r="X403">
        <v>7747</v>
      </c>
      <c r="Y403">
        <v>0</v>
      </c>
      <c r="Z403" t="s">
        <v>47</v>
      </c>
      <c r="AA403" t="s">
        <v>39</v>
      </c>
      <c r="AB403">
        <v>18</v>
      </c>
      <c r="AC403">
        <v>3</v>
      </c>
      <c r="AD403">
        <v>2</v>
      </c>
      <c r="AE403">
        <v>80</v>
      </c>
      <c r="AF403">
        <v>1</v>
      </c>
      <c r="AG403">
        <v>3</v>
      </c>
      <c r="AH403">
        <v>2</v>
      </c>
      <c r="AI403">
        <v>1</v>
      </c>
      <c r="AJ403">
        <v>2</v>
      </c>
      <c r="AK403">
        <v>2</v>
      </c>
      <c r="AL403">
        <v>2</v>
      </c>
    </row>
    <row r="404" spans="1:38" x14ac:dyDescent="0.3">
      <c r="A404" t="s">
        <v>472</v>
      </c>
      <c r="B404">
        <v>31</v>
      </c>
      <c r="C404" t="s">
        <v>189</v>
      </c>
      <c r="D404" t="s">
        <v>48</v>
      </c>
      <c r="E404">
        <f t="shared" si="6"/>
        <v>0</v>
      </c>
      <c r="F404" t="s">
        <v>40</v>
      </c>
      <c r="G404">
        <v>691</v>
      </c>
      <c r="H404" t="s">
        <v>50</v>
      </c>
      <c r="I404">
        <v>7</v>
      </c>
      <c r="J404">
        <v>3</v>
      </c>
      <c r="K404" t="s">
        <v>56</v>
      </c>
      <c r="L404">
        <v>1</v>
      </c>
      <c r="M404">
        <v>438</v>
      </c>
      <c r="N404">
        <v>4</v>
      </c>
      <c r="O404" t="s">
        <v>43</v>
      </c>
      <c r="P404">
        <v>73</v>
      </c>
      <c r="Q404">
        <v>3</v>
      </c>
      <c r="R404">
        <v>2</v>
      </c>
      <c r="S404" t="s">
        <v>136</v>
      </c>
      <c r="T404">
        <v>4</v>
      </c>
      <c r="U404" t="s">
        <v>101</v>
      </c>
      <c r="V404">
        <v>7547</v>
      </c>
      <c r="W404" t="s">
        <v>162</v>
      </c>
      <c r="X404">
        <v>7143</v>
      </c>
      <c r="Y404">
        <v>4</v>
      </c>
      <c r="Z404" t="s">
        <v>47</v>
      </c>
      <c r="AA404" t="s">
        <v>48</v>
      </c>
      <c r="AB404">
        <v>12</v>
      </c>
      <c r="AC404">
        <v>3</v>
      </c>
      <c r="AD404">
        <v>4</v>
      </c>
      <c r="AE404">
        <v>80</v>
      </c>
      <c r="AF404">
        <v>3</v>
      </c>
      <c r="AG404">
        <v>13</v>
      </c>
      <c r="AH404">
        <v>3</v>
      </c>
      <c r="AI404">
        <v>3</v>
      </c>
      <c r="AJ404">
        <v>7</v>
      </c>
      <c r="AK404">
        <v>7</v>
      </c>
      <c r="AL404">
        <v>1</v>
      </c>
    </row>
    <row r="405" spans="1:38" x14ac:dyDescent="0.3">
      <c r="A405" t="s">
        <v>473</v>
      </c>
      <c r="B405">
        <v>31</v>
      </c>
      <c r="C405" t="s">
        <v>189</v>
      </c>
      <c r="D405" t="s">
        <v>48</v>
      </c>
      <c r="E405">
        <f t="shared" si="6"/>
        <v>0</v>
      </c>
      <c r="F405" t="s">
        <v>55</v>
      </c>
      <c r="G405">
        <v>798</v>
      </c>
      <c r="H405" t="s">
        <v>41</v>
      </c>
      <c r="I405">
        <v>7</v>
      </c>
      <c r="J405">
        <v>2</v>
      </c>
      <c r="K405" t="s">
        <v>42</v>
      </c>
      <c r="L405">
        <v>1</v>
      </c>
      <c r="M405">
        <v>442</v>
      </c>
      <c r="N405">
        <v>3</v>
      </c>
      <c r="O405" t="s">
        <v>52</v>
      </c>
      <c r="P405">
        <v>48</v>
      </c>
      <c r="Q405">
        <v>2</v>
      </c>
      <c r="R405">
        <v>3</v>
      </c>
      <c r="S405" t="s">
        <v>111</v>
      </c>
      <c r="T405">
        <v>3</v>
      </c>
      <c r="U405" t="s">
        <v>104</v>
      </c>
      <c r="V405">
        <v>8943</v>
      </c>
      <c r="W405" t="s">
        <v>162</v>
      </c>
      <c r="X405">
        <v>14034</v>
      </c>
      <c r="Y405">
        <v>1</v>
      </c>
      <c r="Z405" t="s">
        <v>47</v>
      </c>
      <c r="AA405" t="s">
        <v>48</v>
      </c>
      <c r="AB405">
        <v>24</v>
      </c>
      <c r="AC405">
        <v>4</v>
      </c>
      <c r="AD405">
        <v>1</v>
      </c>
      <c r="AE405">
        <v>80</v>
      </c>
      <c r="AF405">
        <v>1</v>
      </c>
      <c r="AG405">
        <v>10</v>
      </c>
      <c r="AH405">
        <v>2</v>
      </c>
      <c r="AI405">
        <v>3</v>
      </c>
      <c r="AJ405">
        <v>10</v>
      </c>
      <c r="AK405">
        <v>9</v>
      </c>
      <c r="AL405">
        <v>8</v>
      </c>
    </row>
    <row r="406" spans="1:38" x14ac:dyDescent="0.3">
      <c r="A406" t="s">
        <v>474</v>
      </c>
      <c r="B406">
        <v>31</v>
      </c>
      <c r="C406" t="s">
        <v>189</v>
      </c>
      <c r="D406" t="s">
        <v>48</v>
      </c>
      <c r="E406">
        <f t="shared" si="6"/>
        <v>0</v>
      </c>
      <c r="F406" t="s">
        <v>40</v>
      </c>
      <c r="G406">
        <v>1232</v>
      </c>
      <c r="H406" t="s">
        <v>41</v>
      </c>
      <c r="I406">
        <v>7</v>
      </c>
      <c r="J406">
        <v>4</v>
      </c>
      <c r="K406" t="s">
        <v>51</v>
      </c>
      <c r="L406">
        <v>1</v>
      </c>
      <c r="M406">
        <v>462</v>
      </c>
      <c r="N406">
        <v>3</v>
      </c>
      <c r="O406" t="s">
        <v>52</v>
      </c>
      <c r="P406">
        <v>39</v>
      </c>
      <c r="Q406">
        <v>3</v>
      </c>
      <c r="R406">
        <v>3</v>
      </c>
      <c r="S406" t="s">
        <v>111</v>
      </c>
      <c r="T406">
        <v>4</v>
      </c>
      <c r="U406" t="s">
        <v>45</v>
      </c>
      <c r="V406">
        <v>7143</v>
      </c>
      <c r="W406" t="s">
        <v>162</v>
      </c>
      <c r="X406">
        <v>25713</v>
      </c>
      <c r="Y406">
        <v>1</v>
      </c>
      <c r="Z406" t="s">
        <v>47</v>
      </c>
      <c r="AA406" t="s">
        <v>39</v>
      </c>
      <c r="AB406">
        <v>14</v>
      </c>
      <c r="AC406">
        <v>3</v>
      </c>
      <c r="AD406">
        <v>3</v>
      </c>
      <c r="AE406">
        <v>80</v>
      </c>
      <c r="AF406">
        <v>0</v>
      </c>
      <c r="AG406">
        <v>11</v>
      </c>
      <c r="AH406">
        <v>2</v>
      </c>
      <c r="AI406">
        <v>2</v>
      </c>
      <c r="AJ406">
        <v>11</v>
      </c>
      <c r="AK406">
        <v>9</v>
      </c>
      <c r="AL406">
        <v>4</v>
      </c>
    </row>
    <row r="407" spans="1:38" x14ac:dyDescent="0.3">
      <c r="A407" t="s">
        <v>475</v>
      </c>
      <c r="B407">
        <v>31</v>
      </c>
      <c r="C407" t="s">
        <v>189</v>
      </c>
      <c r="D407" t="s">
        <v>48</v>
      </c>
      <c r="E407">
        <f t="shared" si="6"/>
        <v>0</v>
      </c>
      <c r="F407" t="s">
        <v>40</v>
      </c>
      <c r="G407">
        <v>408</v>
      </c>
      <c r="H407" t="s">
        <v>41</v>
      </c>
      <c r="I407">
        <v>9</v>
      </c>
      <c r="J407">
        <v>4</v>
      </c>
      <c r="K407" t="s">
        <v>42</v>
      </c>
      <c r="L407">
        <v>1</v>
      </c>
      <c r="M407">
        <v>493</v>
      </c>
      <c r="N407">
        <v>3</v>
      </c>
      <c r="O407" t="s">
        <v>43</v>
      </c>
      <c r="P407">
        <v>42</v>
      </c>
      <c r="Q407">
        <v>2</v>
      </c>
      <c r="R407">
        <v>1</v>
      </c>
      <c r="S407" t="s">
        <v>59</v>
      </c>
      <c r="T407">
        <v>2</v>
      </c>
      <c r="U407" t="s">
        <v>45</v>
      </c>
      <c r="V407">
        <v>2657</v>
      </c>
      <c r="W407" t="s">
        <v>46</v>
      </c>
      <c r="X407">
        <v>7551</v>
      </c>
      <c r="Y407">
        <v>0</v>
      </c>
      <c r="Z407" t="s">
        <v>47</v>
      </c>
      <c r="AA407" t="s">
        <v>39</v>
      </c>
      <c r="AB407">
        <v>16</v>
      </c>
      <c r="AC407">
        <v>3</v>
      </c>
      <c r="AD407">
        <v>4</v>
      </c>
      <c r="AE407">
        <v>80</v>
      </c>
      <c r="AF407">
        <v>0</v>
      </c>
      <c r="AG407">
        <v>3</v>
      </c>
      <c r="AH407">
        <v>5</v>
      </c>
      <c r="AI407">
        <v>3</v>
      </c>
      <c r="AJ407">
        <v>2</v>
      </c>
      <c r="AK407">
        <v>2</v>
      </c>
      <c r="AL407">
        <v>2</v>
      </c>
    </row>
    <row r="408" spans="1:38" x14ac:dyDescent="0.3">
      <c r="A408" t="s">
        <v>476</v>
      </c>
      <c r="B408">
        <v>31</v>
      </c>
      <c r="C408" t="s">
        <v>189</v>
      </c>
      <c r="D408" t="s">
        <v>48</v>
      </c>
      <c r="E408">
        <f t="shared" si="6"/>
        <v>0</v>
      </c>
      <c r="F408" t="s">
        <v>40</v>
      </c>
      <c r="G408">
        <v>480</v>
      </c>
      <c r="H408" t="s">
        <v>41</v>
      </c>
      <c r="I408">
        <v>7</v>
      </c>
      <c r="J408">
        <v>2</v>
      </c>
      <c r="K408" t="s">
        <v>51</v>
      </c>
      <c r="L408">
        <v>1</v>
      </c>
      <c r="M408">
        <v>524</v>
      </c>
      <c r="N408">
        <v>2</v>
      </c>
      <c r="O408" t="s">
        <v>52</v>
      </c>
      <c r="P408">
        <v>31</v>
      </c>
      <c r="Q408">
        <v>3</v>
      </c>
      <c r="R408">
        <v>2</v>
      </c>
      <c r="S408" t="s">
        <v>111</v>
      </c>
      <c r="T408">
        <v>1</v>
      </c>
      <c r="U408" t="s">
        <v>104</v>
      </c>
      <c r="V408">
        <v>4306</v>
      </c>
      <c r="W408" t="s">
        <v>46</v>
      </c>
      <c r="X408">
        <v>4156</v>
      </c>
      <c r="Y408">
        <v>1</v>
      </c>
      <c r="Z408" t="s">
        <v>47</v>
      </c>
      <c r="AA408" t="s">
        <v>48</v>
      </c>
      <c r="AB408">
        <v>12</v>
      </c>
      <c r="AC408">
        <v>3</v>
      </c>
      <c r="AD408">
        <v>2</v>
      </c>
      <c r="AE408">
        <v>80</v>
      </c>
      <c r="AF408">
        <v>1</v>
      </c>
      <c r="AG408">
        <v>13</v>
      </c>
      <c r="AH408">
        <v>5</v>
      </c>
      <c r="AI408">
        <v>1</v>
      </c>
      <c r="AJ408">
        <v>13</v>
      </c>
      <c r="AK408">
        <v>10</v>
      </c>
      <c r="AL408">
        <v>3</v>
      </c>
    </row>
    <row r="409" spans="1:38" x14ac:dyDescent="0.3">
      <c r="A409" t="s">
        <v>477</v>
      </c>
      <c r="B409">
        <v>31</v>
      </c>
      <c r="C409" t="s">
        <v>189</v>
      </c>
      <c r="D409" t="s">
        <v>48</v>
      </c>
      <c r="E409">
        <f t="shared" si="6"/>
        <v>0</v>
      </c>
      <c r="F409" t="s">
        <v>40</v>
      </c>
      <c r="G409">
        <v>329</v>
      </c>
      <c r="H409" t="s">
        <v>41</v>
      </c>
      <c r="I409">
        <v>1</v>
      </c>
      <c r="J409">
        <v>2</v>
      </c>
      <c r="K409" t="s">
        <v>42</v>
      </c>
      <c r="L409">
        <v>1</v>
      </c>
      <c r="M409">
        <v>530</v>
      </c>
      <c r="N409">
        <v>4</v>
      </c>
      <c r="O409" t="s">
        <v>43</v>
      </c>
      <c r="P409">
        <v>98</v>
      </c>
      <c r="Q409">
        <v>2</v>
      </c>
      <c r="R409">
        <v>1</v>
      </c>
      <c r="S409" t="s">
        <v>44</v>
      </c>
      <c r="T409">
        <v>1</v>
      </c>
      <c r="U409" t="s">
        <v>104</v>
      </c>
      <c r="V409">
        <v>2218</v>
      </c>
      <c r="W409" t="s">
        <v>46</v>
      </c>
      <c r="X409">
        <v>16193</v>
      </c>
      <c r="Y409">
        <v>1</v>
      </c>
      <c r="Z409" t="s">
        <v>47</v>
      </c>
      <c r="AA409" t="s">
        <v>48</v>
      </c>
      <c r="AB409">
        <v>12</v>
      </c>
      <c r="AC409">
        <v>3</v>
      </c>
      <c r="AD409">
        <v>3</v>
      </c>
      <c r="AE409">
        <v>80</v>
      </c>
      <c r="AF409">
        <v>1</v>
      </c>
      <c r="AG409">
        <v>4</v>
      </c>
      <c r="AH409">
        <v>3</v>
      </c>
      <c r="AI409">
        <v>3</v>
      </c>
      <c r="AJ409">
        <v>4</v>
      </c>
      <c r="AK409">
        <v>2</v>
      </c>
      <c r="AL409">
        <v>3</v>
      </c>
    </row>
    <row r="410" spans="1:38" x14ac:dyDescent="0.3">
      <c r="A410" t="s">
        <v>478</v>
      </c>
      <c r="B410">
        <v>31</v>
      </c>
      <c r="C410" t="s">
        <v>189</v>
      </c>
      <c r="D410" t="s">
        <v>48</v>
      </c>
      <c r="E410">
        <f t="shared" si="6"/>
        <v>0</v>
      </c>
      <c r="F410" t="s">
        <v>40</v>
      </c>
      <c r="G410">
        <v>1274</v>
      </c>
      <c r="H410" t="s">
        <v>41</v>
      </c>
      <c r="I410">
        <v>9</v>
      </c>
      <c r="J410">
        <v>1</v>
      </c>
      <c r="K410" t="s">
        <v>42</v>
      </c>
      <c r="L410">
        <v>1</v>
      </c>
      <c r="M410">
        <v>581</v>
      </c>
      <c r="N410">
        <v>3</v>
      </c>
      <c r="O410" t="s">
        <v>43</v>
      </c>
      <c r="P410">
        <v>33</v>
      </c>
      <c r="Q410">
        <v>3</v>
      </c>
      <c r="R410">
        <v>3</v>
      </c>
      <c r="S410" t="s">
        <v>111</v>
      </c>
      <c r="T410">
        <v>2</v>
      </c>
      <c r="U410" t="s">
        <v>101</v>
      </c>
      <c r="V410">
        <v>10648</v>
      </c>
      <c r="W410" t="s">
        <v>252</v>
      </c>
      <c r="X410">
        <v>14394</v>
      </c>
      <c r="Y410">
        <v>1</v>
      </c>
      <c r="Z410" t="s">
        <v>47</v>
      </c>
      <c r="AA410" t="s">
        <v>48</v>
      </c>
      <c r="AB410">
        <v>25</v>
      </c>
      <c r="AC410">
        <v>4</v>
      </c>
      <c r="AD410">
        <v>4</v>
      </c>
      <c r="AE410">
        <v>80</v>
      </c>
      <c r="AF410">
        <v>1</v>
      </c>
      <c r="AG410">
        <v>13</v>
      </c>
      <c r="AH410">
        <v>6</v>
      </c>
      <c r="AI410">
        <v>4</v>
      </c>
      <c r="AJ410">
        <v>13</v>
      </c>
      <c r="AK410">
        <v>8</v>
      </c>
      <c r="AL410">
        <v>0</v>
      </c>
    </row>
    <row r="411" spans="1:38" x14ac:dyDescent="0.3">
      <c r="A411" t="s">
        <v>479</v>
      </c>
      <c r="B411">
        <v>31</v>
      </c>
      <c r="C411" t="s">
        <v>189</v>
      </c>
      <c r="D411" t="s">
        <v>39</v>
      </c>
      <c r="E411">
        <f t="shared" si="6"/>
        <v>1</v>
      </c>
      <c r="F411" t="s">
        <v>55</v>
      </c>
      <c r="G411">
        <v>534</v>
      </c>
      <c r="H411" t="s">
        <v>41</v>
      </c>
      <c r="I411">
        <v>20</v>
      </c>
      <c r="J411">
        <v>3</v>
      </c>
      <c r="K411" t="s">
        <v>42</v>
      </c>
      <c r="L411">
        <v>1</v>
      </c>
      <c r="M411">
        <v>587</v>
      </c>
      <c r="N411">
        <v>1</v>
      </c>
      <c r="O411" t="s">
        <v>43</v>
      </c>
      <c r="P411">
        <v>66</v>
      </c>
      <c r="Q411">
        <v>3</v>
      </c>
      <c r="R411">
        <v>3</v>
      </c>
      <c r="S411" t="s">
        <v>160</v>
      </c>
      <c r="T411">
        <v>3</v>
      </c>
      <c r="U411" t="s">
        <v>104</v>
      </c>
      <c r="V411">
        <v>9824</v>
      </c>
      <c r="W411" t="s">
        <v>162</v>
      </c>
      <c r="X411">
        <v>22908</v>
      </c>
      <c r="Y411">
        <v>3</v>
      </c>
      <c r="Z411" t="s">
        <v>47</v>
      </c>
      <c r="AA411" t="s">
        <v>48</v>
      </c>
      <c r="AB411">
        <v>12</v>
      </c>
      <c r="AC411">
        <v>3</v>
      </c>
      <c r="AD411">
        <v>1</v>
      </c>
      <c r="AE411">
        <v>80</v>
      </c>
      <c r="AF411">
        <v>0</v>
      </c>
      <c r="AG411">
        <v>12</v>
      </c>
      <c r="AH411">
        <v>2</v>
      </c>
      <c r="AI411">
        <v>3</v>
      </c>
      <c r="AJ411">
        <v>1</v>
      </c>
      <c r="AK411">
        <v>0</v>
      </c>
      <c r="AL411">
        <v>0</v>
      </c>
    </row>
    <row r="412" spans="1:38" x14ac:dyDescent="0.3">
      <c r="A412" t="s">
        <v>480</v>
      </c>
      <c r="B412">
        <v>31</v>
      </c>
      <c r="C412" t="s">
        <v>189</v>
      </c>
      <c r="D412" t="s">
        <v>48</v>
      </c>
      <c r="E412">
        <f t="shared" si="6"/>
        <v>0</v>
      </c>
      <c r="F412" t="s">
        <v>40</v>
      </c>
      <c r="G412">
        <v>828</v>
      </c>
      <c r="H412" t="s">
        <v>50</v>
      </c>
      <c r="I412">
        <v>2</v>
      </c>
      <c r="J412">
        <v>1</v>
      </c>
      <c r="K412" t="s">
        <v>42</v>
      </c>
      <c r="L412">
        <v>1</v>
      </c>
      <c r="M412">
        <v>604</v>
      </c>
      <c r="N412">
        <v>2</v>
      </c>
      <c r="O412" t="s">
        <v>43</v>
      </c>
      <c r="P412">
        <v>77</v>
      </c>
      <c r="Q412">
        <v>3</v>
      </c>
      <c r="R412">
        <v>2</v>
      </c>
      <c r="S412" t="s">
        <v>136</v>
      </c>
      <c r="T412">
        <v>4</v>
      </c>
      <c r="U412" t="s">
        <v>45</v>
      </c>
      <c r="V412">
        <v>6582</v>
      </c>
      <c r="W412" t="s">
        <v>162</v>
      </c>
      <c r="X412">
        <v>8346</v>
      </c>
      <c r="Y412">
        <v>4</v>
      </c>
      <c r="Z412" t="s">
        <v>47</v>
      </c>
      <c r="AA412" t="s">
        <v>39</v>
      </c>
      <c r="AB412">
        <v>13</v>
      </c>
      <c r="AC412">
        <v>3</v>
      </c>
      <c r="AD412">
        <v>3</v>
      </c>
      <c r="AE412">
        <v>80</v>
      </c>
      <c r="AF412">
        <v>0</v>
      </c>
      <c r="AG412">
        <v>10</v>
      </c>
      <c r="AH412">
        <v>2</v>
      </c>
      <c r="AI412">
        <v>4</v>
      </c>
      <c r="AJ412">
        <v>6</v>
      </c>
      <c r="AK412">
        <v>5</v>
      </c>
      <c r="AL412">
        <v>0</v>
      </c>
    </row>
    <row r="413" spans="1:38" x14ac:dyDescent="0.3">
      <c r="A413" t="s">
        <v>481</v>
      </c>
      <c r="B413">
        <v>31</v>
      </c>
      <c r="C413" t="s">
        <v>189</v>
      </c>
      <c r="D413" t="s">
        <v>48</v>
      </c>
      <c r="E413">
        <f t="shared" si="6"/>
        <v>0</v>
      </c>
      <c r="F413" t="s">
        <v>40</v>
      </c>
      <c r="G413">
        <v>688</v>
      </c>
      <c r="H413" t="s">
        <v>50</v>
      </c>
      <c r="I413">
        <v>7</v>
      </c>
      <c r="J413">
        <v>3</v>
      </c>
      <c r="K413" t="s">
        <v>42</v>
      </c>
      <c r="L413">
        <v>1</v>
      </c>
      <c r="M413">
        <v>613</v>
      </c>
      <c r="N413">
        <v>3</v>
      </c>
      <c r="O413" t="s">
        <v>43</v>
      </c>
      <c r="P413">
        <v>44</v>
      </c>
      <c r="Q413">
        <v>2</v>
      </c>
      <c r="R413">
        <v>3</v>
      </c>
      <c r="S413" t="s">
        <v>440</v>
      </c>
      <c r="T413">
        <v>4</v>
      </c>
      <c r="U413" t="s">
        <v>101</v>
      </c>
      <c r="V413">
        <v>11557</v>
      </c>
      <c r="W413" t="s">
        <v>252</v>
      </c>
      <c r="X413">
        <v>25291</v>
      </c>
      <c r="Y413">
        <v>9</v>
      </c>
      <c r="Z413" t="s">
        <v>47</v>
      </c>
      <c r="AA413" t="s">
        <v>48</v>
      </c>
      <c r="AB413">
        <v>21</v>
      </c>
      <c r="AC413">
        <v>4</v>
      </c>
      <c r="AD413">
        <v>3</v>
      </c>
      <c r="AE413">
        <v>80</v>
      </c>
      <c r="AF413">
        <v>1</v>
      </c>
      <c r="AG413">
        <v>10</v>
      </c>
      <c r="AH413">
        <v>3</v>
      </c>
      <c r="AI413">
        <v>2</v>
      </c>
      <c r="AJ413">
        <v>5</v>
      </c>
      <c r="AK413">
        <v>4</v>
      </c>
      <c r="AL413">
        <v>0</v>
      </c>
    </row>
    <row r="414" spans="1:38" x14ac:dyDescent="0.3">
      <c r="A414" t="s">
        <v>482</v>
      </c>
      <c r="B414">
        <v>31</v>
      </c>
      <c r="C414" t="s">
        <v>189</v>
      </c>
      <c r="D414" t="s">
        <v>39</v>
      </c>
      <c r="E414">
        <f t="shared" si="6"/>
        <v>1</v>
      </c>
      <c r="F414" t="s">
        <v>40</v>
      </c>
      <c r="G414">
        <v>1365</v>
      </c>
      <c r="H414" t="s">
        <v>50</v>
      </c>
      <c r="I414">
        <v>13</v>
      </c>
      <c r="J414">
        <v>4</v>
      </c>
      <c r="K414" t="s">
        <v>51</v>
      </c>
      <c r="L414">
        <v>1</v>
      </c>
      <c r="M414">
        <v>650</v>
      </c>
      <c r="N414">
        <v>2</v>
      </c>
      <c r="O414" t="s">
        <v>43</v>
      </c>
      <c r="P414">
        <v>46</v>
      </c>
      <c r="Q414">
        <v>3</v>
      </c>
      <c r="R414">
        <v>2</v>
      </c>
      <c r="S414" t="s">
        <v>136</v>
      </c>
      <c r="T414">
        <v>1</v>
      </c>
      <c r="U414" t="s">
        <v>101</v>
      </c>
      <c r="V414">
        <v>4233</v>
      </c>
      <c r="W414" t="s">
        <v>46</v>
      </c>
      <c r="X414">
        <v>11512</v>
      </c>
      <c r="Y414">
        <v>2</v>
      </c>
      <c r="Z414" t="s">
        <v>47</v>
      </c>
      <c r="AA414" t="s">
        <v>48</v>
      </c>
      <c r="AB414">
        <v>17</v>
      </c>
      <c r="AC414">
        <v>3</v>
      </c>
      <c r="AD414">
        <v>3</v>
      </c>
      <c r="AE414">
        <v>80</v>
      </c>
      <c r="AF414">
        <v>0</v>
      </c>
      <c r="AG414">
        <v>9</v>
      </c>
      <c r="AH414">
        <v>2</v>
      </c>
      <c r="AI414">
        <v>1</v>
      </c>
      <c r="AJ414">
        <v>3</v>
      </c>
      <c r="AK414">
        <v>1</v>
      </c>
      <c r="AL414">
        <v>1</v>
      </c>
    </row>
    <row r="415" spans="1:38" x14ac:dyDescent="0.3">
      <c r="A415" t="s">
        <v>483</v>
      </c>
      <c r="B415">
        <v>31</v>
      </c>
      <c r="C415" t="s">
        <v>189</v>
      </c>
      <c r="D415" t="s">
        <v>48</v>
      </c>
      <c r="E415">
        <f t="shared" si="6"/>
        <v>0</v>
      </c>
      <c r="F415" t="s">
        <v>40</v>
      </c>
      <c r="G415">
        <v>525</v>
      </c>
      <c r="H415" t="s">
        <v>50</v>
      </c>
      <c r="I415">
        <v>6</v>
      </c>
      <c r="J415">
        <v>4</v>
      </c>
      <c r="K415" t="s">
        <v>51</v>
      </c>
      <c r="L415">
        <v>1</v>
      </c>
      <c r="M415">
        <v>653</v>
      </c>
      <c r="N415">
        <v>1</v>
      </c>
      <c r="O415" t="s">
        <v>43</v>
      </c>
      <c r="P415">
        <v>66</v>
      </c>
      <c r="Q415">
        <v>4</v>
      </c>
      <c r="R415">
        <v>2</v>
      </c>
      <c r="S415" t="s">
        <v>136</v>
      </c>
      <c r="T415">
        <v>4</v>
      </c>
      <c r="U415" t="s">
        <v>101</v>
      </c>
      <c r="V415">
        <v>5460</v>
      </c>
      <c r="W415" t="s">
        <v>162</v>
      </c>
      <c r="X415">
        <v>6219</v>
      </c>
      <c r="Y415">
        <v>4</v>
      </c>
      <c r="Z415" t="s">
        <v>47</v>
      </c>
      <c r="AA415" t="s">
        <v>48</v>
      </c>
      <c r="AB415">
        <v>22</v>
      </c>
      <c r="AC415">
        <v>4</v>
      </c>
      <c r="AD415">
        <v>4</v>
      </c>
      <c r="AE415">
        <v>80</v>
      </c>
      <c r="AF415">
        <v>2</v>
      </c>
      <c r="AG415">
        <v>13</v>
      </c>
      <c r="AH415">
        <v>4</v>
      </c>
      <c r="AI415">
        <v>4</v>
      </c>
      <c r="AJ415">
        <v>7</v>
      </c>
      <c r="AK415">
        <v>7</v>
      </c>
      <c r="AL415">
        <v>5</v>
      </c>
    </row>
    <row r="416" spans="1:38" x14ac:dyDescent="0.3">
      <c r="A416" t="s">
        <v>484</v>
      </c>
      <c r="B416">
        <v>31</v>
      </c>
      <c r="C416" t="s">
        <v>189</v>
      </c>
      <c r="D416" t="s">
        <v>48</v>
      </c>
      <c r="E416">
        <f t="shared" si="6"/>
        <v>0</v>
      </c>
      <c r="F416" t="s">
        <v>40</v>
      </c>
      <c r="G416">
        <v>1222</v>
      </c>
      <c r="H416" t="s">
        <v>41</v>
      </c>
      <c r="I416">
        <v>11</v>
      </c>
      <c r="J416">
        <v>4</v>
      </c>
      <c r="K416" t="s">
        <v>42</v>
      </c>
      <c r="L416">
        <v>1</v>
      </c>
      <c r="M416">
        <v>895</v>
      </c>
      <c r="N416">
        <v>4</v>
      </c>
      <c r="O416" t="s">
        <v>43</v>
      </c>
      <c r="P416">
        <v>48</v>
      </c>
      <c r="Q416">
        <v>3</v>
      </c>
      <c r="R416">
        <v>1</v>
      </c>
      <c r="S416" t="s">
        <v>59</v>
      </c>
      <c r="T416">
        <v>4</v>
      </c>
      <c r="U416" t="s">
        <v>104</v>
      </c>
      <c r="V416">
        <v>2356</v>
      </c>
      <c r="W416" t="s">
        <v>46</v>
      </c>
      <c r="X416">
        <v>14871</v>
      </c>
      <c r="Y416">
        <v>3</v>
      </c>
      <c r="Z416" t="s">
        <v>47</v>
      </c>
      <c r="AA416" t="s">
        <v>39</v>
      </c>
      <c r="AB416">
        <v>19</v>
      </c>
      <c r="AC416">
        <v>3</v>
      </c>
      <c r="AD416">
        <v>2</v>
      </c>
      <c r="AE416">
        <v>80</v>
      </c>
      <c r="AF416">
        <v>1</v>
      </c>
      <c r="AG416">
        <v>8</v>
      </c>
      <c r="AH416">
        <v>2</v>
      </c>
      <c r="AI416">
        <v>3</v>
      </c>
      <c r="AJ416">
        <v>6</v>
      </c>
      <c r="AK416">
        <v>4</v>
      </c>
      <c r="AL416">
        <v>0</v>
      </c>
    </row>
    <row r="417" spans="1:38" x14ac:dyDescent="0.3">
      <c r="A417" t="s">
        <v>485</v>
      </c>
      <c r="B417">
        <v>31</v>
      </c>
      <c r="C417" t="s">
        <v>189</v>
      </c>
      <c r="D417" t="s">
        <v>48</v>
      </c>
      <c r="E417">
        <f t="shared" si="6"/>
        <v>0</v>
      </c>
      <c r="F417" t="s">
        <v>40</v>
      </c>
      <c r="G417">
        <v>154</v>
      </c>
      <c r="H417" t="s">
        <v>50</v>
      </c>
      <c r="I417">
        <v>7</v>
      </c>
      <c r="J417">
        <v>4</v>
      </c>
      <c r="K417" t="s">
        <v>42</v>
      </c>
      <c r="L417">
        <v>1</v>
      </c>
      <c r="M417">
        <v>941</v>
      </c>
      <c r="N417">
        <v>2</v>
      </c>
      <c r="O417" t="s">
        <v>43</v>
      </c>
      <c r="P417">
        <v>41</v>
      </c>
      <c r="Q417">
        <v>2</v>
      </c>
      <c r="R417">
        <v>1</v>
      </c>
      <c r="S417" t="s">
        <v>53</v>
      </c>
      <c r="T417">
        <v>3</v>
      </c>
      <c r="U417" t="s">
        <v>104</v>
      </c>
      <c r="V417">
        <v>2329</v>
      </c>
      <c r="W417" t="s">
        <v>46</v>
      </c>
      <c r="X417">
        <v>11737</v>
      </c>
      <c r="Y417">
        <v>3</v>
      </c>
      <c r="Z417" t="s">
        <v>47</v>
      </c>
      <c r="AA417" t="s">
        <v>48</v>
      </c>
      <c r="AB417">
        <v>15</v>
      </c>
      <c r="AC417">
        <v>3</v>
      </c>
      <c r="AD417">
        <v>2</v>
      </c>
      <c r="AE417">
        <v>80</v>
      </c>
      <c r="AF417">
        <v>0</v>
      </c>
      <c r="AG417">
        <v>13</v>
      </c>
      <c r="AH417">
        <v>2</v>
      </c>
      <c r="AI417">
        <v>4</v>
      </c>
      <c r="AJ417">
        <v>7</v>
      </c>
      <c r="AK417">
        <v>7</v>
      </c>
      <c r="AL417">
        <v>5</v>
      </c>
    </row>
    <row r="418" spans="1:38" x14ac:dyDescent="0.3">
      <c r="A418" t="s">
        <v>486</v>
      </c>
      <c r="B418">
        <v>31</v>
      </c>
      <c r="C418" t="s">
        <v>189</v>
      </c>
      <c r="D418" t="s">
        <v>48</v>
      </c>
      <c r="E418">
        <f t="shared" si="6"/>
        <v>0</v>
      </c>
      <c r="F418" t="s">
        <v>58</v>
      </c>
      <c r="G418">
        <v>1188</v>
      </c>
      <c r="H418" t="s">
        <v>50</v>
      </c>
      <c r="I418">
        <v>20</v>
      </c>
      <c r="J418">
        <v>2</v>
      </c>
      <c r="K418" t="s">
        <v>56</v>
      </c>
      <c r="L418">
        <v>1</v>
      </c>
      <c r="M418">
        <v>947</v>
      </c>
      <c r="N418">
        <v>4</v>
      </c>
      <c r="O418" t="s">
        <v>52</v>
      </c>
      <c r="P418">
        <v>45</v>
      </c>
      <c r="Q418">
        <v>3</v>
      </c>
      <c r="R418">
        <v>2</v>
      </c>
      <c r="S418" t="s">
        <v>136</v>
      </c>
      <c r="T418">
        <v>3</v>
      </c>
      <c r="U418" t="s">
        <v>104</v>
      </c>
      <c r="V418">
        <v>6932</v>
      </c>
      <c r="W418" t="s">
        <v>162</v>
      </c>
      <c r="X418">
        <v>24406</v>
      </c>
      <c r="Y418">
        <v>1</v>
      </c>
      <c r="Z418" t="s">
        <v>47</v>
      </c>
      <c r="AA418" t="s">
        <v>48</v>
      </c>
      <c r="AB418">
        <v>13</v>
      </c>
      <c r="AC418">
        <v>3</v>
      </c>
      <c r="AD418">
        <v>4</v>
      </c>
      <c r="AE418">
        <v>80</v>
      </c>
      <c r="AF418">
        <v>1</v>
      </c>
      <c r="AG418">
        <v>9</v>
      </c>
      <c r="AH418">
        <v>2</v>
      </c>
      <c r="AI418">
        <v>2</v>
      </c>
      <c r="AJ418">
        <v>9</v>
      </c>
      <c r="AK418">
        <v>8</v>
      </c>
      <c r="AL418">
        <v>0</v>
      </c>
    </row>
    <row r="419" spans="1:38" x14ac:dyDescent="0.3">
      <c r="A419" t="s">
        <v>487</v>
      </c>
      <c r="B419">
        <v>31</v>
      </c>
      <c r="C419" t="s">
        <v>189</v>
      </c>
      <c r="D419" t="s">
        <v>48</v>
      </c>
      <c r="E419">
        <f t="shared" si="6"/>
        <v>0</v>
      </c>
      <c r="F419" t="s">
        <v>40</v>
      </c>
      <c r="G419">
        <v>616</v>
      </c>
      <c r="H419" t="s">
        <v>41</v>
      </c>
      <c r="I419">
        <v>12</v>
      </c>
      <c r="J419">
        <v>3</v>
      </c>
      <c r="K419" t="s">
        <v>51</v>
      </c>
      <c r="L419">
        <v>1</v>
      </c>
      <c r="M419">
        <v>961</v>
      </c>
      <c r="N419">
        <v>4</v>
      </c>
      <c r="O419" t="s">
        <v>52</v>
      </c>
      <c r="P419">
        <v>41</v>
      </c>
      <c r="Q419">
        <v>3</v>
      </c>
      <c r="R419">
        <v>2</v>
      </c>
      <c r="S419" t="s">
        <v>160</v>
      </c>
      <c r="T419">
        <v>4</v>
      </c>
      <c r="U419" t="s">
        <v>104</v>
      </c>
      <c r="V419">
        <v>5855</v>
      </c>
      <c r="W419" t="s">
        <v>162</v>
      </c>
      <c r="X419">
        <v>17369</v>
      </c>
      <c r="Y419">
        <v>0</v>
      </c>
      <c r="Z419" t="s">
        <v>47</v>
      </c>
      <c r="AA419" t="s">
        <v>39</v>
      </c>
      <c r="AB419">
        <v>11</v>
      </c>
      <c r="AC419">
        <v>3</v>
      </c>
      <c r="AD419">
        <v>3</v>
      </c>
      <c r="AE419">
        <v>80</v>
      </c>
      <c r="AF419">
        <v>2</v>
      </c>
      <c r="AG419">
        <v>10</v>
      </c>
      <c r="AH419">
        <v>2</v>
      </c>
      <c r="AI419">
        <v>1</v>
      </c>
      <c r="AJ419">
        <v>9</v>
      </c>
      <c r="AK419">
        <v>7</v>
      </c>
      <c r="AL419">
        <v>8</v>
      </c>
    </row>
    <row r="420" spans="1:38" x14ac:dyDescent="0.3">
      <c r="A420" t="s">
        <v>488</v>
      </c>
      <c r="B420">
        <v>31</v>
      </c>
      <c r="C420" t="s">
        <v>189</v>
      </c>
      <c r="D420" t="s">
        <v>39</v>
      </c>
      <c r="E420">
        <f t="shared" si="6"/>
        <v>1</v>
      </c>
      <c r="F420" t="s">
        <v>58</v>
      </c>
      <c r="G420">
        <v>335</v>
      </c>
      <c r="H420" t="s">
        <v>41</v>
      </c>
      <c r="I420">
        <v>9</v>
      </c>
      <c r="J420">
        <v>2</v>
      </c>
      <c r="K420" t="s">
        <v>51</v>
      </c>
      <c r="L420">
        <v>1</v>
      </c>
      <c r="M420">
        <v>991</v>
      </c>
      <c r="N420">
        <v>3</v>
      </c>
      <c r="O420" t="s">
        <v>43</v>
      </c>
      <c r="P420">
        <v>46</v>
      </c>
      <c r="Q420">
        <v>2</v>
      </c>
      <c r="R420">
        <v>1</v>
      </c>
      <c r="S420" t="s">
        <v>59</v>
      </c>
      <c r="T420">
        <v>1</v>
      </c>
      <c r="U420" t="s">
        <v>45</v>
      </c>
      <c r="V420">
        <v>2321</v>
      </c>
      <c r="W420" t="s">
        <v>46</v>
      </c>
      <c r="X420">
        <v>10322</v>
      </c>
      <c r="Y420">
        <v>0</v>
      </c>
      <c r="Z420" t="s">
        <v>47</v>
      </c>
      <c r="AA420" t="s">
        <v>39</v>
      </c>
      <c r="AB420">
        <v>22</v>
      </c>
      <c r="AC420">
        <v>4</v>
      </c>
      <c r="AD420">
        <v>1</v>
      </c>
      <c r="AE420">
        <v>80</v>
      </c>
      <c r="AF420">
        <v>0</v>
      </c>
      <c r="AG420">
        <v>4</v>
      </c>
      <c r="AH420">
        <v>0</v>
      </c>
      <c r="AI420">
        <v>3</v>
      </c>
      <c r="AJ420">
        <v>3</v>
      </c>
      <c r="AK420">
        <v>2</v>
      </c>
      <c r="AL420">
        <v>1</v>
      </c>
    </row>
    <row r="421" spans="1:38" x14ac:dyDescent="0.3">
      <c r="A421" t="s">
        <v>489</v>
      </c>
      <c r="B421">
        <v>31</v>
      </c>
      <c r="C421" t="s">
        <v>189</v>
      </c>
      <c r="D421" t="s">
        <v>48</v>
      </c>
      <c r="E421">
        <f t="shared" si="6"/>
        <v>0</v>
      </c>
      <c r="F421" t="s">
        <v>55</v>
      </c>
      <c r="G421">
        <v>853</v>
      </c>
      <c r="H421" t="s">
        <v>41</v>
      </c>
      <c r="I421">
        <v>1</v>
      </c>
      <c r="J421">
        <v>1</v>
      </c>
      <c r="K421" t="s">
        <v>42</v>
      </c>
      <c r="L421">
        <v>1</v>
      </c>
      <c r="M421">
        <v>1011</v>
      </c>
      <c r="N421">
        <v>3</v>
      </c>
      <c r="O421" t="s">
        <v>52</v>
      </c>
      <c r="P421">
        <v>96</v>
      </c>
      <c r="Q421">
        <v>3</v>
      </c>
      <c r="R421">
        <v>2</v>
      </c>
      <c r="S421" t="s">
        <v>111</v>
      </c>
      <c r="T421">
        <v>1</v>
      </c>
      <c r="U421" t="s">
        <v>104</v>
      </c>
      <c r="V421">
        <v>4148</v>
      </c>
      <c r="W421" t="s">
        <v>46</v>
      </c>
      <c r="X421">
        <v>11275</v>
      </c>
      <c r="Y421">
        <v>1</v>
      </c>
      <c r="Z421" t="s">
        <v>47</v>
      </c>
      <c r="AA421" t="s">
        <v>48</v>
      </c>
      <c r="AB421">
        <v>12</v>
      </c>
      <c r="AC421">
        <v>3</v>
      </c>
      <c r="AD421">
        <v>3</v>
      </c>
      <c r="AE421">
        <v>80</v>
      </c>
      <c r="AF421">
        <v>1</v>
      </c>
      <c r="AG421">
        <v>4</v>
      </c>
      <c r="AH421">
        <v>1</v>
      </c>
      <c r="AI421">
        <v>3</v>
      </c>
      <c r="AJ421">
        <v>4</v>
      </c>
      <c r="AK421">
        <v>3</v>
      </c>
      <c r="AL421">
        <v>0</v>
      </c>
    </row>
    <row r="422" spans="1:38" x14ac:dyDescent="0.3">
      <c r="A422" t="s">
        <v>490</v>
      </c>
      <c r="B422">
        <v>31</v>
      </c>
      <c r="C422" t="s">
        <v>189</v>
      </c>
      <c r="D422" t="s">
        <v>48</v>
      </c>
      <c r="E422">
        <f t="shared" si="6"/>
        <v>0</v>
      </c>
      <c r="F422" t="s">
        <v>55</v>
      </c>
      <c r="G422">
        <v>793</v>
      </c>
      <c r="H422" t="s">
        <v>50</v>
      </c>
      <c r="I422">
        <v>20</v>
      </c>
      <c r="J422">
        <v>3</v>
      </c>
      <c r="K422" t="s">
        <v>42</v>
      </c>
      <c r="L422">
        <v>1</v>
      </c>
      <c r="M422">
        <v>1135</v>
      </c>
      <c r="N422">
        <v>3</v>
      </c>
      <c r="O422" t="s">
        <v>43</v>
      </c>
      <c r="P422">
        <v>67</v>
      </c>
      <c r="Q422">
        <v>4</v>
      </c>
      <c r="R422">
        <v>1</v>
      </c>
      <c r="S422" t="s">
        <v>53</v>
      </c>
      <c r="T422">
        <v>4</v>
      </c>
      <c r="U422" t="s">
        <v>104</v>
      </c>
      <c r="V422">
        <v>2791</v>
      </c>
      <c r="W422" t="s">
        <v>46</v>
      </c>
      <c r="X422">
        <v>21981</v>
      </c>
      <c r="Y422">
        <v>0</v>
      </c>
      <c r="Z422" t="s">
        <v>47</v>
      </c>
      <c r="AA422" t="s">
        <v>48</v>
      </c>
      <c r="AB422">
        <v>12</v>
      </c>
      <c r="AC422">
        <v>3</v>
      </c>
      <c r="AD422">
        <v>1</v>
      </c>
      <c r="AE422">
        <v>80</v>
      </c>
      <c r="AF422">
        <v>1</v>
      </c>
      <c r="AG422">
        <v>3</v>
      </c>
      <c r="AH422">
        <v>4</v>
      </c>
      <c r="AI422">
        <v>3</v>
      </c>
      <c r="AJ422">
        <v>2</v>
      </c>
      <c r="AK422">
        <v>2</v>
      </c>
      <c r="AL422">
        <v>2</v>
      </c>
    </row>
    <row r="423" spans="1:38" x14ac:dyDescent="0.3">
      <c r="A423" t="s">
        <v>491</v>
      </c>
      <c r="B423">
        <v>31</v>
      </c>
      <c r="C423" t="s">
        <v>189</v>
      </c>
      <c r="D423" t="s">
        <v>39</v>
      </c>
      <c r="E423">
        <f t="shared" si="6"/>
        <v>1</v>
      </c>
      <c r="F423" t="s">
        <v>55</v>
      </c>
      <c r="G423">
        <v>874</v>
      </c>
      <c r="H423" t="s">
        <v>41</v>
      </c>
      <c r="I423">
        <v>15</v>
      </c>
      <c r="J423">
        <v>3</v>
      </c>
      <c r="K423" t="s">
        <v>51</v>
      </c>
      <c r="L423">
        <v>1</v>
      </c>
      <c r="M423">
        <v>1160</v>
      </c>
      <c r="N423">
        <v>3</v>
      </c>
      <c r="O423" t="s">
        <v>43</v>
      </c>
      <c r="P423">
        <v>72</v>
      </c>
      <c r="Q423">
        <v>3</v>
      </c>
      <c r="R423">
        <v>1</v>
      </c>
      <c r="S423" t="s">
        <v>44</v>
      </c>
      <c r="T423">
        <v>3</v>
      </c>
      <c r="U423" t="s">
        <v>104</v>
      </c>
      <c r="V423">
        <v>2610</v>
      </c>
      <c r="W423" t="s">
        <v>46</v>
      </c>
      <c r="X423">
        <v>6233</v>
      </c>
      <c r="Y423">
        <v>1</v>
      </c>
      <c r="Z423" t="s">
        <v>47</v>
      </c>
      <c r="AA423" t="s">
        <v>48</v>
      </c>
      <c r="AB423">
        <v>12</v>
      </c>
      <c r="AC423">
        <v>3</v>
      </c>
      <c r="AD423">
        <v>3</v>
      </c>
      <c r="AE423">
        <v>80</v>
      </c>
      <c r="AF423">
        <v>1</v>
      </c>
      <c r="AG423">
        <v>2</v>
      </c>
      <c r="AH423">
        <v>5</v>
      </c>
      <c r="AI423">
        <v>2</v>
      </c>
      <c r="AJ423">
        <v>2</v>
      </c>
      <c r="AK423">
        <v>2</v>
      </c>
      <c r="AL423">
        <v>2</v>
      </c>
    </row>
    <row r="424" spans="1:38" x14ac:dyDescent="0.3">
      <c r="A424" t="s">
        <v>492</v>
      </c>
      <c r="B424">
        <v>31</v>
      </c>
      <c r="C424" t="s">
        <v>189</v>
      </c>
      <c r="D424" t="s">
        <v>48</v>
      </c>
      <c r="E424">
        <f t="shared" si="6"/>
        <v>0</v>
      </c>
      <c r="F424" t="s">
        <v>40</v>
      </c>
      <c r="G424">
        <v>1332</v>
      </c>
      <c r="H424" t="s">
        <v>41</v>
      </c>
      <c r="I424">
        <v>11</v>
      </c>
      <c r="J424">
        <v>2</v>
      </c>
      <c r="K424" t="s">
        <v>51</v>
      </c>
      <c r="L424">
        <v>1</v>
      </c>
      <c r="M424">
        <v>1251</v>
      </c>
      <c r="N424">
        <v>3</v>
      </c>
      <c r="O424" t="s">
        <v>43</v>
      </c>
      <c r="P424">
        <v>80</v>
      </c>
      <c r="Q424">
        <v>3</v>
      </c>
      <c r="R424">
        <v>2</v>
      </c>
      <c r="S424" t="s">
        <v>160</v>
      </c>
      <c r="T424">
        <v>1</v>
      </c>
      <c r="U424" t="s">
        <v>104</v>
      </c>
      <c r="V424">
        <v>6833</v>
      </c>
      <c r="W424" t="s">
        <v>162</v>
      </c>
      <c r="X424">
        <v>17089</v>
      </c>
      <c r="Y424">
        <v>1</v>
      </c>
      <c r="Z424" t="s">
        <v>47</v>
      </c>
      <c r="AA424" t="s">
        <v>39</v>
      </c>
      <c r="AB424">
        <v>12</v>
      </c>
      <c r="AC424">
        <v>3</v>
      </c>
      <c r="AD424">
        <v>4</v>
      </c>
      <c r="AE424">
        <v>80</v>
      </c>
      <c r="AF424">
        <v>0</v>
      </c>
      <c r="AG424">
        <v>6</v>
      </c>
      <c r="AH424">
        <v>2</v>
      </c>
      <c r="AI424">
        <v>2</v>
      </c>
      <c r="AJ424">
        <v>6</v>
      </c>
      <c r="AK424">
        <v>5</v>
      </c>
      <c r="AL424">
        <v>0</v>
      </c>
    </row>
    <row r="425" spans="1:38" x14ac:dyDescent="0.3">
      <c r="A425" t="s">
        <v>493</v>
      </c>
      <c r="B425">
        <v>31</v>
      </c>
      <c r="C425" t="s">
        <v>189</v>
      </c>
      <c r="D425" t="s">
        <v>48</v>
      </c>
      <c r="E425">
        <f t="shared" si="6"/>
        <v>0</v>
      </c>
      <c r="F425" t="s">
        <v>40</v>
      </c>
      <c r="G425">
        <v>1062</v>
      </c>
      <c r="H425" t="s">
        <v>41</v>
      </c>
      <c r="I425">
        <v>24</v>
      </c>
      <c r="J425">
        <v>3</v>
      </c>
      <c r="K425" t="s">
        <v>51</v>
      </c>
      <c r="L425">
        <v>1</v>
      </c>
      <c r="M425">
        <v>1252</v>
      </c>
      <c r="N425">
        <v>3</v>
      </c>
      <c r="O425" t="s">
        <v>52</v>
      </c>
      <c r="P425">
        <v>96</v>
      </c>
      <c r="Q425">
        <v>2</v>
      </c>
      <c r="R425">
        <v>2</v>
      </c>
      <c r="S425" t="s">
        <v>160</v>
      </c>
      <c r="T425">
        <v>1</v>
      </c>
      <c r="U425" t="s">
        <v>45</v>
      </c>
      <c r="V425">
        <v>6812</v>
      </c>
      <c r="W425" t="s">
        <v>162</v>
      </c>
      <c r="X425">
        <v>17198</v>
      </c>
      <c r="Y425">
        <v>1</v>
      </c>
      <c r="Z425" t="s">
        <v>47</v>
      </c>
      <c r="AA425" t="s">
        <v>48</v>
      </c>
      <c r="AB425">
        <v>19</v>
      </c>
      <c r="AC425">
        <v>3</v>
      </c>
      <c r="AD425">
        <v>2</v>
      </c>
      <c r="AE425">
        <v>80</v>
      </c>
      <c r="AF425">
        <v>0</v>
      </c>
      <c r="AG425">
        <v>10</v>
      </c>
      <c r="AH425">
        <v>2</v>
      </c>
      <c r="AI425">
        <v>3</v>
      </c>
      <c r="AJ425">
        <v>10</v>
      </c>
      <c r="AK425">
        <v>9</v>
      </c>
      <c r="AL425">
        <v>1</v>
      </c>
    </row>
    <row r="426" spans="1:38" x14ac:dyDescent="0.3">
      <c r="A426" t="s">
        <v>494</v>
      </c>
      <c r="B426">
        <v>31</v>
      </c>
      <c r="C426" t="s">
        <v>189</v>
      </c>
      <c r="D426" t="s">
        <v>48</v>
      </c>
      <c r="E426">
        <f t="shared" si="6"/>
        <v>0</v>
      </c>
      <c r="F426" t="s">
        <v>58</v>
      </c>
      <c r="G426">
        <v>587</v>
      </c>
      <c r="H426" t="s">
        <v>50</v>
      </c>
      <c r="I426">
        <v>2</v>
      </c>
      <c r="J426">
        <v>4</v>
      </c>
      <c r="K426" t="s">
        <v>42</v>
      </c>
      <c r="L426">
        <v>1</v>
      </c>
      <c r="M426">
        <v>1324</v>
      </c>
      <c r="N426">
        <v>4</v>
      </c>
      <c r="O426" t="s">
        <v>52</v>
      </c>
      <c r="P426">
        <v>57</v>
      </c>
      <c r="Q426">
        <v>3</v>
      </c>
      <c r="R426">
        <v>3</v>
      </c>
      <c r="S426" t="s">
        <v>136</v>
      </c>
      <c r="T426">
        <v>3</v>
      </c>
      <c r="U426" t="s">
        <v>101</v>
      </c>
      <c r="V426">
        <v>9852</v>
      </c>
      <c r="W426" t="s">
        <v>162</v>
      </c>
      <c r="X426">
        <v>8935</v>
      </c>
      <c r="Y426">
        <v>1</v>
      </c>
      <c r="Z426" t="s">
        <v>47</v>
      </c>
      <c r="AA426" t="s">
        <v>39</v>
      </c>
      <c r="AB426">
        <v>19</v>
      </c>
      <c r="AC426">
        <v>3</v>
      </c>
      <c r="AD426">
        <v>1</v>
      </c>
      <c r="AE426">
        <v>80</v>
      </c>
      <c r="AF426">
        <v>1</v>
      </c>
      <c r="AG426">
        <v>10</v>
      </c>
      <c r="AH426">
        <v>5</v>
      </c>
      <c r="AI426">
        <v>2</v>
      </c>
      <c r="AJ426">
        <v>10</v>
      </c>
      <c r="AK426">
        <v>8</v>
      </c>
      <c r="AL426">
        <v>9</v>
      </c>
    </row>
    <row r="427" spans="1:38" x14ac:dyDescent="0.3">
      <c r="A427" t="s">
        <v>495</v>
      </c>
      <c r="B427">
        <v>31</v>
      </c>
      <c r="C427" t="s">
        <v>189</v>
      </c>
      <c r="D427" t="s">
        <v>39</v>
      </c>
      <c r="E427">
        <f t="shared" si="6"/>
        <v>1</v>
      </c>
      <c r="F427" t="s">
        <v>55</v>
      </c>
      <c r="G427">
        <v>1060</v>
      </c>
      <c r="H427" t="s">
        <v>50</v>
      </c>
      <c r="I427">
        <v>1</v>
      </c>
      <c r="J427">
        <v>3</v>
      </c>
      <c r="K427" t="s">
        <v>42</v>
      </c>
      <c r="L427">
        <v>1</v>
      </c>
      <c r="M427">
        <v>1331</v>
      </c>
      <c r="N427">
        <v>4</v>
      </c>
      <c r="O427" t="s">
        <v>52</v>
      </c>
      <c r="P427">
        <v>54</v>
      </c>
      <c r="Q427">
        <v>3</v>
      </c>
      <c r="R427">
        <v>1</v>
      </c>
      <c r="S427" t="s">
        <v>53</v>
      </c>
      <c r="T427">
        <v>2</v>
      </c>
      <c r="U427" t="s">
        <v>45</v>
      </c>
      <c r="V427">
        <v>2302</v>
      </c>
      <c r="W427" t="s">
        <v>46</v>
      </c>
      <c r="X427">
        <v>8319</v>
      </c>
      <c r="Y427">
        <v>1</v>
      </c>
      <c r="Z427" t="s">
        <v>47</v>
      </c>
      <c r="AA427" t="s">
        <v>39</v>
      </c>
      <c r="AB427">
        <v>11</v>
      </c>
      <c r="AC427">
        <v>3</v>
      </c>
      <c r="AD427">
        <v>1</v>
      </c>
      <c r="AE427">
        <v>80</v>
      </c>
      <c r="AF427">
        <v>0</v>
      </c>
      <c r="AG427">
        <v>3</v>
      </c>
      <c r="AH427">
        <v>2</v>
      </c>
      <c r="AI427">
        <v>4</v>
      </c>
      <c r="AJ427">
        <v>3</v>
      </c>
      <c r="AK427">
        <v>2</v>
      </c>
      <c r="AL427">
        <v>2</v>
      </c>
    </row>
    <row r="428" spans="1:38" x14ac:dyDescent="0.3">
      <c r="A428" t="s">
        <v>496</v>
      </c>
      <c r="B428">
        <v>31</v>
      </c>
      <c r="C428" t="s">
        <v>189</v>
      </c>
      <c r="D428" t="s">
        <v>39</v>
      </c>
      <c r="E428">
        <f t="shared" si="6"/>
        <v>1</v>
      </c>
      <c r="F428" t="s">
        <v>55</v>
      </c>
      <c r="G428">
        <v>703</v>
      </c>
      <c r="H428" t="s">
        <v>50</v>
      </c>
      <c r="I428">
        <v>2</v>
      </c>
      <c r="J428">
        <v>3</v>
      </c>
      <c r="K428" t="s">
        <v>42</v>
      </c>
      <c r="L428">
        <v>1</v>
      </c>
      <c r="M428">
        <v>1379</v>
      </c>
      <c r="N428">
        <v>3</v>
      </c>
      <c r="O428" t="s">
        <v>52</v>
      </c>
      <c r="P428">
        <v>90</v>
      </c>
      <c r="Q428">
        <v>2</v>
      </c>
      <c r="R428">
        <v>1</v>
      </c>
      <c r="S428" t="s">
        <v>53</v>
      </c>
      <c r="T428">
        <v>4</v>
      </c>
      <c r="U428" t="s">
        <v>45</v>
      </c>
      <c r="V428">
        <v>2785</v>
      </c>
      <c r="W428" t="s">
        <v>46</v>
      </c>
      <c r="X428">
        <v>11882</v>
      </c>
      <c r="Y428">
        <v>7</v>
      </c>
      <c r="Z428" t="s">
        <v>47</v>
      </c>
      <c r="AA428" t="s">
        <v>48</v>
      </c>
      <c r="AB428">
        <v>14</v>
      </c>
      <c r="AC428">
        <v>3</v>
      </c>
      <c r="AD428">
        <v>3</v>
      </c>
      <c r="AE428">
        <v>80</v>
      </c>
      <c r="AF428">
        <v>0</v>
      </c>
      <c r="AG428">
        <v>3</v>
      </c>
      <c r="AH428">
        <v>3</v>
      </c>
      <c r="AI428">
        <v>4</v>
      </c>
      <c r="AJ428">
        <v>1</v>
      </c>
      <c r="AK428">
        <v>0</v>
      </c>
      <c r="AL428">
        <v>0</v>
      </c>
    </row>
    <row r="429" spans="1:38" x14ac:dyDescent="0.3">
      <c r="A429" t="s">
        <v>497</v>
      </c>
      <c r="B429">
        <v>31</v>
      </c>
      <c r="C429" t="s">
        <v>189</v>
      </c>
      <c r="D429" t="s">
        <v>39</v>
      </c>
      <c r="E429">
        <f t="shared" si="6"/>
        <v>1</v>
      </c>
      <c r="F429" t="s">
        <v>40</v>
      </c>
      <c r="G429">
        <v>330</v>
      </c>
      <c r="H429" t="s">
        <v>41</v>
      </c>
      <c r="I429">
        <v>22</v>
      </c>
      <c r="J429">
        <v>4</v>
      </c>
      <c r="K429" t="s">
        <v>51</v>
      </c>
      <c r="L429">
        <v>1</v>
      </c>
      <c r="M429">
        <v>1389</v>
      </c>
      <c r="N429">
        <v>4</v>
      </c>
      <c r="O429" t="s">
        <v>43</v>
      </c>
      <c r="P429">
        <v>98</v>
      </c>
      <c r="Q429">
        <v>3</v>
      </c>
      <c r="R429">
        <v>2</v>
      </c>
      <c r="S429" t="s">
        <v>111</v>
      </c>
      <c r="T429">
        <v>3</v>
      </c>
      <c r="U429" t="s">
        <v>104</v>
      </c>
      <c r="V429">
        <v>6179</v>
      </c>
      <c r="W429" t="s">
        <v>162</v>
      </c>
      <c r="X429">
        <v>21057</v>
      </c>
      <c r="Y429">
        <v>1</v>
      </c>
      <c r="Z429" t="s">
        <v>47</v>
      </c>
      <c r="AA429" t="s">
        <v>39</v>
      </c>
      <c r="AB429">
        <v>15</v>
      </c>
      <c r="AC429">
        <v>3</v>
      </c>
      <c r="AD429">
        <v>4</v>
      </c>
      <c r="AE429">
        <v>80</v>
      </c>
      <c r="AF429">
        <v>2</v>
      </c>
      <c r="AG429">
        <v>10</v>
      </c>
      <c r="AH429">
        <v>3</v>
      </c>
      <c r="AI429">
        <v>2</v>
      </c>
      <c r="AJ429">
        <v>10</v>
      </c>
      <c r="AK429">
        <v>2</v>
      </c>
      <c r="AL429">
        <v>6</v>
      </c>
    </row>
    <row r="430" spans="1:38" x14ac:dyDescent="0.3">
      <c r="A430" t="s">
        <v>498</v>
      </c>
      <c r="B430">
        <v>31</v>
      </c>
      <c r="C430" t="s">
        <v>189</v>
      </c>
      <c r="D430" t="s">
        <v>39</v>
      </c>
      <c r="E430">
        <f t="shared" si="6"/>
        <v>1</v>
      </c>
      <c r="F430" t="s">
        <v>55</v>
      </c>
      <c r="G430">
        <v>667</v>
      </c>
      <c r="H430" t="s">
        <v>50</v>
      </c>
      <c r="I430">
        <v>1</v>
      </c>
      <c r="J430">
        <v>4</v>
      </c>
      <c r="K430" t="s">
        <v>42</v>
      </c>
      <c r="L430">
        <v>1</v>
      </c>
      <c r="M430">
        <v>1427</v>
      </c>
      <c r="N430">
        <v>2</v>
      </c>
      <c r="O430" t="s">
        <v>52</v>
      </c>
      <c r="P430">
        <v>50</v>
      </c>
      <c r="Q430">
        <v>1</v>
      </c>
      <c r="R430">
        <v>1</v>
      </c>
      <c r="S430" t="s">
        <v>53</v>
      </c>
      <c r="T430">
        <v>3</v>
      </c>
      <c r="U430" t="s">
        <v>45</v>
      </c>
      <c r="V430">
        <v>1359</v>
      </c>
      <c r="W430" t="s">
        <v>46</v>
      </c>
      <c r="X430">
        <v>16154</v>
      </c>
      <c r="Y430">
        <v>1</v>
      </c>
      <c r="Z430" t="s">
        <v>47</v>
      </c>
      <c r="AA430" t="s">
        <v>48</v>
      </c>
      <c r="AB430">
        <v>12</v>
      </c>
      <c r="AC430">
        <v>3</v>
      </c>
      <c r="AD430">
        <v>2</v>
      </c>
      <c r="AE430">
        <v>80</v>
      </c>
      <c r="AF430">
        <v>0</v>
      </c>
      <c r="AG430">
        <v>1</v>
      </c>
      <c r="AH430">
        <v>3</v>
      </c>
      <c r="AI430">
        <v>3</v>
      </c>
      <c r="AJ430">
        <v>1</v>
      </c>
      <c r="AK430">
        <v>0</v>
      </c>
      <c r="AL430">
        <v>0</v>
      </c>
    </row>
    <row r="431" spans="1:38" x14ac:dyDescent="0.3">
      <c r="A431" t="s">
        <v>499</v>
      </c>
      <c r="B431">
        <v>31</v>
      </c>
      <c r="C431" t="s">
        <v>189</v>
      </c>
      <c r="D431" t="s">
        <v>48</v>
      </c>
      <c r="E431">
        <f t="shared" si="6"/>
        <v>0</v>
      </c>
      <c r="F431" t="s">
        <v>40</v>
      </c>
      <c r="G431">
        <v>182</v>
      </c>
      <c r="H431" t="s">
        <v>41</v>
      </c>
      <c r="I431">
        <v>8</v>
      </c>
      <c r="J431">
        <v>5</v>
      </c>
      <c r="K431" t="s">
        <v>42</v>
      </c>
      <c r="L431">
        <v>1</v>
      </c>
      <c r="M431">
        <v>1430</v>
      </c>
      <c r="N431">
        <v>1</v>
      </c>
      <c r="O431" t="s">
        <v>52</v>
      </c>
      <c r="P431">
        <v>93</v>
      </c>
      <c r="Q431">
        <v>3</v>
      </c>
      <c r="R431">
        <v>4</v>
      </c>
      <c r="S431" t="s">
        <v>251</v>
      </c>
      <c r="T431">
        <v>2</v>
      </c>
      <c r="U431" t="s">
        <v>45</v>
      </c>
      <c r="V431">
        <v>16422</v>
      </c>
      <c r="W431" t="s">
        <v>366</v>
      </c>
      <c r="X431">
        <v>8847</v>
      </c>
      <c r="Y431">
        <v>3</v>
      </c>
      <c r="Z431" t="s">
        <v>47</v>
      </c>
      <c r="AA431" t="s">
        <v>48</v>
      </c>
      <c r="AB431">
        <v>11</v>
      </c>
      <c r="AC431">
        <v>3</v>
      </c>
      <c r="AD431">
        <v>3</v>
      </c>
      <c r="AE431">
        <v>80</v>
      </c>
      <c r="AF431">
        <v>0</v>
      </c>
      <c r="AG431">
        <v>9</v>
      </c>
      <c r="AH431">
        <v>3</v>
      </c>
      <c r="AI431">
        <v>4</v>
      </c>
      <c r="AJ431">
        <v>3</v>
      </c>
      <c r="AK431">
        <v>2</v>
      </c>
      <c r="AL431">
        <v>1</v>
      </c>
    </row>
    <row r="432" spans="1:38" x14ac:dyDescent="0.3">
      <c r="A432" t="s">
        <v>500</v>
      </c>
      <c r="B432">
        <v>31</v>
      </c>
      <c r="C432" t="s">
        <v>189</v>
      </c>
      <c r="D432" t="s">
        <v>39</v>
      </c>
      <c r="E432">
        <f t="shared" si="6"/>
        <v>1</v>
      </c>
      <c r="F432" t="s">
        <v>40</v>
      </c>
      <c r="G432">
        <v>202</v>
      </c>
      <c r="H432" t="s">
        <v>41</v>
      </c>
      <c r="I432">
        <v>8</v>
      </c>
      <c r="J432">
        <v>3</v>
      </c>
      <c r="K432" t="s">
        <v>42</v>
      </c>
      <c r="L432">
        <v>1</v>
      </c>
      <c r="M432">
        <v>1433</v>
      </c>
      <c r="N432">
        <v>1</v>
      </c>
      <c r="O432" t="s">
        <v>52</v>
      </c>
      <c r="P432">
        <v>34</v>
      </c>
      <c r="Q432">
        <v>2</v>
      </c>
      <c r="R432">
        <v>1</v>
      </c>
      <c r="S432" t="s">
        <v>59</v>
      </c>
      <c r="T432">
        <v>2</v>
      </c>
      <c r="U432" t="s">
        <v>45</v>
      </c>
      <c r="V432">
        <v>1261</v>
      </c>
      <c r="W432" t="s">
        <v>46</v>
      </c>
      <c r="X432">
        <v>22262</v>
      </c>
      <c r="Y432">
        <v>1</v>
      </c>
      <c r="Z432" t="s">
        <v>47</v>
      </c>
      <c r="AA432" t="s">
        <v>48</v>
      </c>
      <c r="AB432">
        <v>12</v>
      </c>
      <c r="AC432">
        <v>3</v>
      </c>
      <c r="AD432">
        <v>3</v>
      </c>
      <c r="AE432">
        <v>80</v>
      </c>
      <c r="AF432">
        <v>0</v>
      </c>
      <c r="AG432">
        <v>1</v>
      </c>
      <c r="AH432">
        <v>3</v>
      </c>
      <c r="AI432">
        <v>4</v>
      </c>
      <c r="AJ432">
        <v>1</v>
      </c>
      <c r="AK432">
        <v>0</v>
      </c>
      <c r="AL432">
        <v>0</v>
      </c>
    </row>
    <row r="433" spans="1:38" x14ac:dyDescent="0.3">
      <c r="A433" t="s">
        <v>501</v>
      </c>
      <c r="B433">
        <v>31</v>
      </c>
      <c r="C433" t="s">
        <v>189</v>
      </c>
      <c r="D433" t="s">
        <v>48</v>
      </c>
      <c r="E433">
        <f t="shared" si="6"/>
        <v>0</v>
      </c>
      <c r="F433" t="s">
        <v>40</v>
      </c>
      <c r="G433">
        <v>326</v>
      </c>
      <c r="H433" t="s">
        <v>50</v>
      </c>
      <c r="I433">
        <v>8</v>
      </c>
      <c r="J433">
        <v>2</v>
      </c>
      <c r="K433" t="s">
        <v>42</v>
      </c>
      <c r="L433">
        <v>1</v>
      </c>
      <c r="M433">
        <v>1453</v>
      </c>
      <c r="N433">
        <v>1</v>
      </c>
      <c r="O433" t="s">
        <v>43</v>
      </c>
      <c r="P433">
        <v>31</v>
      </c>
      <c r="Q433">
        <v>3</v>
      </c>
      <c r="R433">
        <v>3</v>
      </c>
      <c r="S433" t="s">
        <v>136</v>
      </c>
      <c r="T433">
        <v>4</v>
      </c>
      <c r="U433" t="s">
        <v>101</v>
      </c>
      <c r="V433">
        <v>10793</v>
      </c>
      <c r="W433" t="s">
        <v>252</v>
      </c>
      <c r="X433">
        <v>8386</v>
      </c>
      <c r="Y433">
        <v>1</v>
      </c>
      <c r="Z433" t="s">
        <v>47</v>
      </c>
      <c r="AA433" t="s">
        <v>48</v>
      </c>
      <c r="AB433">
        <v>18</v>
      </c>
      <c r="AC433">
        <v>3</v>
      </c>
      <c r="AD433">
        <v>1</v>
      </c>
      <c r="AE433">
        <v>80</v>
      </c>
      <c r="AF433">
        <v>1</v>
      </c>
      <c r="AG433">
        <v>13</v>
      </c>
      <c r="AH433">
        <v>5</v>
      </c>
      <c r="AI433">
        <v>3</v>
      </c>
      <c r="AJ433">
        <v>13</v>
      </c>
      <c r="AK433">
        <v>7</v>
      </c>
      <c r="AL433">
        <v>9</v>
      </c>
    </row>
    <row r="434" spans="1:38" x14ac:dyDescent="0.3">
      <c r="A434" t="s">
        <v>502</v>
      </c>
      <c r="B434">
        <v>31</v>
      </c>
      <c r="C434" t="s">
        <v>189</v>
      </c>
      <c r="D434" t="s">
        <v>39</v>
      </c>
      <c r="E434">
        <f t="shared" si="6"/>
        <v>1</v>
      </c>
      <c r="F434" t="s">
        <v>55</v>
      </c>
      <c r="G434">
        <v>1445</v>
      </c>
      <c r="H434" t="s">
        <v>41</v>
      </c>
      <c r="I434">
        <v>1</v>
      </c>
      <c r="J434">
        <v>5</v>
      </c>
      <c r="K434" t="s">
        <v>42</v>
      </c>
      <c r="L434">
        <v>1</v>
      </c>
      <c r="M434">
        <v>1459</v>
      </c>
      <c r="N434">
        <v>3</v>
      </c>
      <c r="O434" t="s">
        <v>52</v>
      </c>
      <c r="P434">
        <v>100</v>
      </c>
      <c r="Q434">
        <v>4</v>
      </c>
      <c r="R434">
        <v>3</v>
      </c>
      <c r="S434" t="s">
        <v>111</v>
      </c>
      <c r="T434">
        <v>2</v>
      </c>
      <c r="U434" t="s">
        <v>45</v>
      </c>
      <c r="V434">
        <v>7446</v>
      </c>
      <c r="W434" t="s">
        <v>162</v>
      </c>
      <c r="X434">
        <v>8931</v>
      </c>
      <c r="Y434">
        <v>1</v>
      </c>
      <c r="Z434" t="s">
        <v>47</v>
      </c>
      <c r="AA434" t="s">
        <v>48</v>
      </c>
      <c r="AB434">
        <v>11</v>
      </c>
      <c r="AC434">
        <v>3</v>
      </c>
      <c r="AD434">
        <v>1</v>
      </c>
      <c r="AE434">
        <v>80</v>
      </c>
      <c r="AF434">
        <v>0</v>
      </c>
      <c r="AG434">
        <v>10</v>
      </c>
      <c r="AH434">
        <v>2</v>
      </c>
      <c r="AI434">
        <v>3</v>
      </c>
      <c r="AJ434">
        <v>10</v>
      </c>
      <c r="AK434">
        <v>8</v>
      </c>
      <c r="AL434">
        <v>4</v>
      </c>
    </row>
    <row r="435" spans="1:38" x14ac:dyDescent="0.3">
      <c r="A435" t="s">
        <v>503</v>
      </c>
      <c r="B435">
        <v>31</v>
      </c>
      <c r="C435" t="s">
        <v>189</v>
      </c>
      <c r="D435" t="s">
        <v>48</v>
      </c>
      <c r="E435">
        <f t="shared" si="6"/>
        <v>0</v>
      </c>
      <c r="F435" t="s">
        <v>40</v>
      </c>
      <c r="G435">
        <v>1398</v>
      </c>
      <c r="H435" t="s">
        <v>70</v>
      </c>
      <c r="I435">
        <v>8</v>
      </c>
      <c r="J435">
        <v>2</v>
      </c>
      <c r="K435" t="s">
        <v>51</v>
      </c>
      <c r="L435">
        <v>1</v>
      </c>
      <c r="M435">
        <v>1461</v>
      </c>
      <c r="N435">
        <v>4</v>
      </c>
      <c r="O435" t="s">
        <v>52</v>
      </c>
      <c r="P435">
        <v>96</v>
      </c>
      <c r="Q435">
        <v>4</v>
      </c>
      <c r="R435">
        <v>1</v>
      </c>
      <c r="S435" t="s">
        <v>70</v>
      </c>
      <c r="T435">
        <v>2</v>
      </c>
      <c r="U435" t="s">
        <v>45</v>
      </c>
      <c r="V435">
        <v>2109</v>
      </c>
      <c r="W435" t="s">
        <v>46</v>
      </c>
      <c r="X435">
        <v>24609</v>
      </c>
      <c r="Y435">
        <v>9</v>
      </c>
      <c r="Z435" t="s">
        <v>47</v>
      </c>
      <c r="AA435" t="s">
        <v>48</v>
      </c>
      <c r="AB435">
        <v>18</v>
      </c>
      <c r="AC435">
        <v>3</v>
      </c>
      <c r="AD435">
        <v>4</v>
      </c>
      <c r="AE435">
        <v>80</v>
      </c>
      <c r="AF435">
        <v>0</v>
      </c>
      <c r="AG435">
        <v>8</v>
      </c>
      <c r="AH435">
        <v>3</v>
      </c>
      <c r="AI435">
        <v>3</v>
      </c>
      <c r="AJ435">
        <v>3</v>
      </c>
      <c r="AK435">
        <v>2</v>
      </c>
      <c r="AL435">
        <v>0</v>
      </c>
    </row>
    <row r="436" spans="1:38" x14ac:dyDescent="0.3">
      <c r="A436" t="s">
        <v>504</v>
      </c>
      <c r="B436">
        <v>31</v>
      </c>
      <c r="C436" t="s">
        <v>189</v>
      </c>
      <c r="D436" t="s">
        <v>39</v>
      </c>
      <c r="E436">
        <f t="shared" si="6"/>
        <v>1</v>
      </c>
      <c r="F436" t="s">
        <v>55</v>
      </c>
      <c r="G436">
        <v>523</v>
      </c>
      <c r="H436" t="s">
        <v>41</v>
      </c>
      <c r="I436">
        <v>2</v>
      </c>
      <c r="J436">
        <v>3</v>
      </c>
      <c r="K436" t="s">
        <v>42</v>
      </c>
      <c r="L436">
        <v>1</v>
      </c>
      <c r="M436">
        <v>1464</v>
      </c>
      <c r="N436">
        <v>2</v>
      </c>
      <c r="O436" t="s">
        <v>43</v>
      </c>
      <c r="P436">
        <v>94</v>
      </c>
      <c r="Q436">
        <v>3</v>
      </c>
      <c r="R436">
        <v>1</v>
      </c>
      <c r="S436" t="s">
        <v>44</v>
      </c>
      <c r="T436">
        <v>4</v>
      </c>
      <c r="U436" t="s">
        <v>104</v>
      </c>
      <c r="V436">
        <v>3722</v>
      </c>
      <c r="W436" t="s">
        <v>46</v>
      </c>
      <c r="X436">
        <v>21081</v>
      </c>
      <c r="Y436">
        <v>6</v>
      </c>
      <c r="Z436" t="s">
        <v>47</v>
      </c>
      <c r="AA436" t="s">
        <v>39</v>
      </c>
      <c r="AB436">
        <v>13</v>
      </c>
      <c r="AC436">
        <v>3</v>
      </c>
      <c r="AD436">
        <v>3</v>
      </c>
      <c r="AE436">
        <v>80</v>
      </c>
      <c r="AF436">
        <v>1</v>
      </c>
      <c r="AG436">
        <v>7</v>
      </c>
      <c r="AH436">
        <v>2</v>
      </c>
      <c r="AI436">
        <v>1</v>
      </c>
      <c r="AJ436">
        <v>2</v>
      </c>
      <c r="AK436">
        <v>2</v>
      </c>
      <c r="AL436">
        <v>2</v>
      </c>
    </row>
    <row r="437" spans="1:38" x14ac:dyDescent="0.3">
      <c r="A437" t="s">
        <v>505</v>
      </c>
      <c r="B437">
        <v>31</v>
      </c>
      <c r="C437" t="s">
        <v>189</v>
      </c>
      <c r="D437" t="s">
        <v>39</v>
      </c>
      <c r="E437">
        <f t="shared" si="6"/>
        <v>1</v>
      </c>
      <c r="F437" t="s">
        <v>55</v>
      </c>
      <c r="G437">
        <v>561</v>
      </c>
      <c r="H437" t="s">
        <v>41</v>
      </c>
      <c r="I437">
        <v>3</v>
      </c>
      <c r="J437">
        <v>3</v>
      </c>
      <c r="K437" t="s">
        <v>42</v>
      </c>
      <c r="L437">
        <v>1</v>
      </c>
      <c r="M437">
        <v>1537</v>
      </c>
      <c r="N437">
        <v>4</v>
      </c>
      <c r="O437" t="s">
        <v>52</v>
      </c>
      <c r="P437">
        <v>33</v>
      </c>
      <c r="Q437">
        <v>3</v>
      </c>
      <c r="R437">
        <v>1</v>
      </c>
      <c r="S437" t="s">
        <v>59</v>
      </c>
      <c r="T437">
        <v>3</v>
      </c>
      <c r="U437" t="s">
        <v>45</v>
      </c>
      <c r="V437">
        <v>4084</v>
      </c>
      <c r="W437" t="s">
        <v>46</v>
      </c>
      <c r="X437">
        <v>4156</v>
      </c>
      <c r="Y437">
        <v>1</v>
      </c>
      <c r="Z437" t="s">
        <v>47</v>
      </c>
      <c r="AA437" t="s">
        <v>48</v>
      </c>
      <c r="AB437">
        <v>12</v>
      </c>
      <c r="AC437">
        <v>3</v>
      </c>
      <c r="AD437">
        <v>1</v>
      </c>
      <c r="AE437">
        <v>80</v>
      </c>
      <c r="AF437">
        <v>0</v>
      </c>
      <c r="AG437">
        <v>7</v>
      </c>
      <c r="AH437">
        <v>2</v>
      </c>
      <c r="AI437">
        <v>1</v>
      </c>
      <c r="AJ437">
        <v>7</v>
      </c>
      <c r="AK437">
        <v>2</v>
      </c>
      <c r="AL437">
        <v>7</v>
      </c>
    </row>
    <row r="438" spans="1:38" x14ac:dyDescent="0.3">
      <c r="A438" t="s">
        <v>506</v>
      </c>
      <c r="B438">
        <v>31</v>
      </c>
      <c r="C438" t="s">
        <v>189</v>
      </c>
      <c r="D438" t="s">
        <v>48</v>
      </c>
      <c r="E438">
        <f t="shared" si="6"/>
        <v>0</v>
      </c>
      <c r="F438" t="s">
        <v>55</v>
      </c>
      <c r="G438">
        <v>715</v>
      </c>
      <c r="H438" t="s">
        <v>50</v>
      </c>
      <c r="I438">
        <v>2</v>
      </c>
      <c r="J438">
        <v>4</v>
      </c>
      <c r="K438" t="s">
        <v>72</v>
      </c>
      <c r="L438">
        <v>1</v>
      </c>
      <c r="M438">
        <v>1613</v>
      </c>
      <c r="N438">
        <v>4</v>
      </c>
      <c r="O438" t="s">
        <v>43</v>
      </c>
      <c r="P438">
        <v>54</v>
      </c>
      <c r="Q438">
        <v>3</v>
      </c>
      <c r="R438">
        <v>2</v>
      </c>
      <c r="S438" t="s">
        <v>136</v>
      </c>
      <c r="T438">
        <v>1</v>
      </c>
      <c r="U438" t="s">
        <v>45</v>
      </c>
      <c r="V438">
        <v>5332</v>
      </c>
      <c r="W438" t="s">
        <v>162</v>
      </c>
      <c r="X438">
        <v>21602</v>
      </c>
      <c r="Y438">
        <v>7</v>
      </c>
      <c r="Z438" t="s">
        <v>47</v>
      </c>
      <c r="AA438" t="s">
        <v>48</v>
      </c>
      <c r="AB438">
        <v>13</v>
      </c>
      <c r="AC438">
        <v>3</v>
      </c>
      <c r="AD438">
        <v>4</v>
      </c>
      <c r="AE438">
        <v>80</v>
      </c>
      <c r="AF438">
        <v>0</v>
      </c>
      <c r="AG438">
        <v>10</v>
      </c>
      <c r="AH438">
        <v>3</v>
      </c>
      <c r="AI438">
        <v>3</v>
      </c>
      <c r="AJ438">
        <v>5</v>
      </c>
      <c r="AK438">
        <v>2</v>
      </c>
      <c r="AL438">
        <v>0</v>
      </c>
    </row>
    <row r="439" spans="1:38" x14ac:dyDescent="0.3">
      <c r="A439" t="s">
        <v>507</v>
      </c>
      <c r="B439">
        <v>31</v>
      </c>
      <c r="C439" t="s">
        <v>189</v>
      </c>
      <c r="D439" t="s">
        <v>48</v>
      </c>
      <c r="E439">
        <f t="shared" si="6"/>
        <v>0</v>
      </c>
      <c r="F439" t="s">
        <v>40</v>
      </c>
      <c r="G439">
        <v>1112</v>
      </c>
      <c r="H439" t="s">
        <v>50</v>
      </c>
      <c r="I439">
        <v>5</v>
      </c>
      <c r="J439">
        <v>4</v>
      </c>
      <c r="K439" t="s">
        <v>42</v>
      </c>
      <c r="L439">
        <v>1</v>
      </c>
      <c r="M439">
        <v>1673</v>
      </c>
      <c r="N439">
        <v>1</v>
      </c>
      <c r="O439" t="s">
        <v>52</v>
      </c>
      <c r="P439">
        <v>67</v>
      </c>
      <c r="Q439">
        <v>3</v>
      </c>
      <c r="R439">
        <v>2</v>
      </c>
      <c r="S439" t="s">
        <v>136</v>
      </c>
      <c r="T439">
        <v>4</v>
      </c>
      <c r="U439" t="s">
        <v>104</v>
      </c>
      <c r="V439">
        <v>5476</v>
      </c>
      <c r="W439" t="s">
        <v>162</v>
      </c>
      <c r="X439">
        <v>22589</v>
      </c>
      <c r="Y439">
        <v>1</v>
      </c>
      <c r="Z439" t="s">
        <v>47</v>
      </c>
      <c r="AA439" t="s">
        <v>48</v>
      </c>
      <c r="AB439">
        <v>11</v>
      </c>
      <c r="AC439">
        <v>3</v>
      </c>
      <c r="AD439">
        <v>1</v>
      </c>
      <c r="AE439">
        <v>80</v>
      </c>
      <c r="AF439">
        <v>2</v>
      </c>
      <c r="AG439">
        <v>10</v>
      </c>
      <c r="AH439">
        <v>2</v>
      </c>
      <c r="AI439">
        <v>3</v>
      </c>
      <c r="AJ439">
        <v>10</v>
      </c>
      <c r="AK439">
        <v>0</v>
      </c>
      <c r="AL439">
        <v>0</v>
      </c>
    </row>
    <row r="440" spans="1:38" x14ac:dyDescent="0.3">
      <c r="A440" t="s">
        <v>508</v>
      </c>
      <c r="B440">
        <v>31</v>
      </c>
      <c r="C440" t="s">
        <v>189</v>
      </c>
      <c r="D440" t="s">
        <v>48</v>
      </c>
      <c r="E440">
        <f t="shared" si="6"/>
        <v>0</v>
      </c>
      <c r="F440" t="s">
        <v>40</v>
      </c>
      <c r="G440">
        <v>741</v>
      </c>
      <c r="H440" t="s">
        <v>41</v>
      </c>
      <c r="I440">
        <v>2</v>
      </c>
      <c r="J440">
        <v>4</v>
      </c>
      <c r="K440" t="s">
        <v>42</v>
      </c>
      <c r="L440">
        <v>1</v>
      </c>
      <c r="M440">
        <v>1721</v>
      </c>
      <c r="N440">
        <v>2</v>
      </c>
      <c r="O440" t="s">
        <v>43</v>
      </c>
      <c r="P440">
        <v>69</v>
      </c>
      <c r="Q440">
        <v>3</v>
      </c>
      <c r="R440">
        <v>1</v>
      </c>
      <c r="S440" t="s">
        <v>44</v>
      </c>
      <c r="T440">
        <v>3</v>
      </c>
      <c r="U440" t="s">
        <v>104</v>
      </c>
      <c r="V440">
        <v>3477</v>
      </c>
      <c r="W440" t="s">
        <v>46</v>
      </c>
      <c r="X440">
        <v>18103</v>
      </c>
      <c r="Y440">
        <v>1</v>
      </c>
      <c r="Z440" t="s">
        <v>47</v>
      </c>
      <c r="AA440" t="s">
        <v>48</v>
      </c>
      <c r="AB440">
        <v>14</v>
      </c>
      <c r="AC440">
        <v>3</v>
      </c>
      <c r="AD440">
        <v>4</v>
      </c>
      <c r="AE440">
        <v>80</v>
      </c>
      <c r="AF440">
        <v>1</v>
      </c>
      <c r="AG440">
        <v>6</v>
      </c>
      <c r="AH440">
        <v>2</v>
      </c>
      <c r="AI440">
        <v>4</v>
      </c>
      <c r="AJ440">
        <v>5</v>
      </c>
      <c r="AK440">
        <v>2</v>
      </c>
      <c r="AL440">
        <v>0</v>
      </c>
    </row>
    <row r="441" spans="1:38" x14ac:dyDescent="0.3">
      <c r="A441" t="s">
        <v>509</v>
      </c>
      <c r="B441">
        <v>31</v>
      </c>
      <c r="C441" t="s">
        <v>189</v>
      </c>
      <c r="D441" t="s">
        <v>48</v>
      </c>
      <c r="E441">
        <f t="shared" si="6"/>
        <v>0</v>
      </c>
      <c r="F441" t="s">
        <v>55</v>
      </c>
      <c r="G441">
        <v>163</v>
      </c>
      <c r="H441" t="s">
        <v>41</v>
      </c>
      <c r="I441">
        <v>24</v>
      </c>
      <c r="J441">
        <v>1</v>
      </c>
      <c r="K441" t="s">
        <v>67</v>
      </c>
      <c r="L441">
        <v>1</v>
      </c>
      <c r="M441">
        <v>1736</v>
      </c>
      <c r="N441">
        <v>4</v>
      </c>
      <c r="O441" t="s">
        <v>52</v>
      </c>
      <c r="P441">
        <v>30</v>
      </c>
      <c r="Q441">
        <v>3</v>
      </c>
      <c r="R441">
        <v>2</v>
      </c>
      <c r="S441" t="s">
        <v>111</v>
      </c>
      <c r="T441">
        <v>4</v>
      </c>
      <c r="U441" t="s">
        <v>45</v>
      </c>
      <c r="V441">
        <v>5238</v>
      </c>
      <c r="W441" t="s">
        <v>162</v>
      </c>
      <c r="X441">
        <v>6670</v>
      </c>
      <c r="Y441">
        <v>2</v>
      </c>
      <c r="Z441" t="s">
        <v>47</v>
      </c>
      <c r="AA441" t="s">
        <v>48</v>
      </c>
      <c r="AB441">
        <v>20</v>
      </c>
      <c r="AC441">
        <v>4</v>
      </c>
      <c r="AD441">
        <v>4</v>
      </c>
      <c r="AE441">
        <v>80</v>
      </c>
      <c r="AF441">
        <v>0</v>
      </c>
      <c r="AG441">
        <v>9</v>
      </c>
      <c r="AH441">
        <v>3</v>
      </c>
      <c r="AI441">
        <v>2</v>
      </c>
      <c r="AJ441">
        <v>5</v>
      </c>
      <c r="AK441">
        <v>4</v>
      </c>
      <c r="AL441">
        <v>1</v>
      </c>
    </row>
    <row r="442" spans="1:38" x14ac:dyDescent="0.3">
      <c r="A442" t="s">
        <v>510</v>
      </c>
      <c r="B442">
        <v>31</v>
      </c>
      <c r="C442" t="s">
        <v>189</v>
      </c>
      <c r="D442" t="s">
        <v>48</v>
      </c>
      <c r="E442">
        <f t="shared" si="6"/>
        <v>0</v>
      </c>
      <c r="F442" t="s">
        <v>40</v>
      </c>
      <c r="G442">
        <v>1003</v>
      </c>
      <c r="H442" t="s">
        <v>50</v>
      </c>
      <c r="I442">
        <v>5</v>
      </c>
      <c r="J442">
        <v>3</v>
      </c>
      <c r="K442" t="s">
        <v>67</v>
      </c>
      <c r="L442">
        <v>1</v>
      </c>
      <c r="M442">
        <v>1749</v>
      </c>
      <c r="N442">
        <v>1</v>
      </c>
      <c r="O442" t="s">
        <v>43</v>
      </c>
      <c r="P442">
        <v>51</v>
      </c>
      <c r="Q442">
        <v>3</v>
      </c>
      <c r="R442">
        <v>2</v>
      </c>
      <c r="S442" t="s">
        <v>136</v>
      </c>
      <c r="T442">
        <v>3</v>
      </c>
      <c r="U442" t="s">
        <v>104</v>
      </c>
      <c r="V442">
        <v>8346</v>
      </c>
      <c r="W442" t="s">
        <v>162</v>
      </c>
      <c r="X442">
        <v>20943</v>
      </c>
      <c r="Y442">
        <v>1</v>
      </c>
      <c r="Z442" t="s">
        <v>47</v>
      </c>
      <c r="AA442" t="s">
        <v>48</v>
      </c>
      <c r="AB442">
        <v>19</v>
      </c>
      <c r="AC442">
        <v>3</v>
      </c>
      <c r="AD442">
        <v>3</v>
      </c>
      <c r="AE442">
        <v>80</v>
      </c>
      <c r="AF442">
        <v>1</v>
      </c>
      <c r="AG442">
        <v>6</v>
      </c>
      <c r="AH442">
        <v>3</v>
      </c>
      <c r="AI442">
        <v>3</v>
      </c>
      <c r="AJ442">
        <v>5</v>
      </c>
      <c r="AK442">
        <v>2</v>
      </c>
      <c r="AL442">
        <v>0</v>
      </c>
    </row>
    <row r="443" spans="1:38" x14ac:dyDescent="0.3">
      <c r="A443" t="s">
        <v>511</v>
      </c>
      <c r="B443">
        <v>31</v>
      </c>
      <c r="C443" t="s">
        <v>189</v>
      </c>
      <c r="D443" t="s">
        <v>39</v>
      </c>
      <c r="E443">
        <f t="shared" si="6"/>
        <v>1</v>
      </c>
      <c r="F443" t="s">
        <v>40</v>
      </c>
      <c r="G443">
        <v>1079</v>
      </c>
      <c r="H443" t="s">
        <v>50</v>
      </c>
      <c r="I443">
        <v>16</v>
      </c>
      <c r="J443">
        <v>4</v>
      </c>
      <c r="K443" t="s">
        <v>56</v>
      </c>
      <c r="L443">
        <v>1</v>
      </c>
      <c r="M443">
        <v>1761</v>
      </c>
      <c r="N443">
        <v>1</v>
      </c>
      <c r="O443" t="s">
        <v>43</v>
      </c>
      <c r="P443">
        <v>70</v>
      </c>
      <c r="Q443">
        <v>3</v>
      </c>
      <c r="R443">
        <v>3</v>
      </c>
      <c r="S443" t="s">
        <v>136</v>
      </c>
      <c r="T443">
        <v>3</v>
      </c>
      <c r="U443" t="s">
        <v>104</v>
      </c>
      <c r="V443">
        <v>8161</v>
      </c>
      <c r="W443" t="s">
        <v>162</v>
      </c>
      <c r="X443">
        <v>19002</v>
      </c>
      <c r="Y443">
        <v>2</v>
      </c>
      <c r="Z443" t="s">
        <v>47</v>
      </c>
      <c r="AA443" t="s">
        <v>48</v>
      </c>
      <c r="AB443">
        <v>13</v>
      </c>
      <c r="AC443">
        <v>3</v>
      </c>
      <c r="AD443">
        <v>1</v>
      </c>
      <c r="AE443">
        <v>80</v>
      </c>
      <c r="AF443">
        <v>3</v>
      </c>
      <c r="AG443">
        <v>10</v>
      </c>
      <c r="AH443">
        <v>2</v>
      </c>
      <c r="AI443">
        <v>3</v>
      </c>
      <c r="AJ443">
        <v>1</v>
      </c>
      <c r="AK443">
        <v>0</v>
      </c>
      <c r="AL443">
        <v>0</v>
      </c>
    </row>
    <row r="444" spans="1:38" x14ac:dyDescent="0.3">
      <c r="A444" t="s">
        <v>512</v>
      </c>
      <c r="B444">
        <v>31</v>
      </c>
      <c r="C444" t="s">
        <v>189</v>
      </c>
      <c r="D444" t="s">
        <v>48</v>
      </c>
      <c r="E444">
        <f t="shared" si="6"/>
        <v>0</v>
      </c>
      <c r="F444" t="s">
        <v>40</v>
      </c>
      <c r="G444">
        <v>196</v>
      </c>
      <c r="H444" t="s">
        <v>50</v>
      </c>
      <c r="I444">
        <v>29</v>
      </c>
      <c r="J444">
        <v>4</v>
      </c>
      <c r="K444" t="s">
        <v>56</v>
      </c>
      <c r="L444">
        <v>1</v>
      </c>
      <c r="M444">
        <v>1784</v>
      </c>
      <c r="N444">
        <v>1</v>
      </c>
      <c r="O444" t="s">
        <v>52</v>
      </c>
      <c r="P444">
        <v>91</v>
      </c>
      <c r="Q444">
        <v>2</v>
      </c>
      <c r="R444">
        <v>2</v>
      </c>
      <c r="S444" t="s">
        <v>136</v>
      </c>
      <c r="T444">
        <v>4</v>
      </c>
      <c r="U444" t="s">
        <v>104</v>
      </c>
      <c r="V444">
        <v>5468</v>
      </c>
      <c r="W444" t="s">
        <v>162</v>
      </c>
      <c r="X444">
        <v>13402</v>
      </c>
      <c r="Y444">
        <v>1</v>
      </c>
      <c r="Z444" t="s">
        <v>47</v>
      </c>
      <c r="AA444" t="s">
        <v>48</v>
      </c>
      <c r="AB444">
        <v>14</v>
      </c>
      <c r="AC444">
        <v>3</v>
      </c>
      <c r="AD444">
        <v>1</v>
      </c>
      <c r="AE444">
        <v>80</v>
      </c>
      <c r="AF444">
        <v>2</v>
      </c>
      <c r="AG444">
        <v>13</v>
      </c>
      <c r="AH444">
        <v>3</v>
      </c>
      <c r="AI444">
        <v>3</v>
      </c>
      <c r="AJ444">
        <v>12</v>
      </c>
      <c r="AK444">
        <v>7</v>
      </c>
      <c r="AL444">
        <v>5</v>
      </c>
    </row>
    <row r="445" spans="1:38" x14ac:dyDescent="0.3">
      <c r="A445" t="s">
        <v>513</v>
      </c>
      <c r="B445">
        <v>31</v>
      </c>
      <c r="C445" t="s">
        <v>189</v>
      </c>
      <c r="D445" t="s">
        <v>48</v>
      </c>
      <c r="E445">
        <f t="shared" si="6"/>
        <v>0</v>
      </c>
      <c r="F445" t="s">
        <v>55</v>
      </c>
      <c r="G445">
        <v>1125</v>
      </c>
      <c r="H445" t="s">
        <v>50</v>
      </c>
      <c r="I445">
        <v>7</v>
      </c>
      <c r="J445">
        <v>4</v>
      </c>
      <c r="K445" t="s">
        <v>56</v>
      </c>
      <c r="L445">
        <v>1</v>
      </c>
      <c r="M445">
        <v>1833</v>
      </c>
      <c r="N445">
        <v>1</v>
      </c>
      <c r="O445" t="s">
        <v>52</v>
      </c>
      <c r="P445">
        <v>68</v>
      </c>
      <c r="Q445">
        <v>3</v>
      </c>
      <c r="R445">
        <v>3</v>
      </c>
      <c r="S445" t="s">
        <v>136</v>
      </c>
      <c r="T445">
        <v>1</v>
      </c>
      <c r="U445" t="s">
        <v>104</v>
      </c>
      <c r="V445">
        <v>9637</v>
      </c>
      <c r="W445" t="s">
        <v>162</v>
      </c>
      <c r="X445">
        <v>8277</v>
      </c>
      <c r="Y445">
        <v>2</v>
      </c>
      <c r="Z445" t="s">
        <v>47</v>
      </c>
      <c r="AA445" t="s">
        <v>48</v>
      </c>
      <c r="AB445">
        <v>14</v>
      </c>
      <c r="AC445">
        <v>3</v>
      </c>
      <c r="AD445">
        <v>4</v>
      </c>
      <c r="AE445">
        <v>80</v>
      </c>
      <c r="AF445">
        <v>2</v>
      </c>
      <c r="AG445">
        <v>9</v>
      </c>
      <c r="AH445">
        <v>3</v>
      </c>
      <c r="AI445">
        <v>3</v>
      </c>
      <c r="AJ445">
        <v>3</v>
      </c>
      <c r="AK445">
        <v>2</v>
      </c>
      <c r="AL445">
        <v>2</v>
      </c>
    </row>
    <row r="446" spans="1:38" x14ac:dyDescent="0.3">
      <c r="A446" t="s">
        <v>514</v>
      </c>
      <c r="B446">
        <v>31</v>
      </c>
      <c r="C446" t="s">
        <v>189</v>
      </c>
      <c r="D446" t="s">
        <v>39</v>
      </c>
      <c r="E446">
        <f t="shared" si="6"/>
        <v>1</v>
      </c>
      <c r="F446" t="s">
        <v>40</v>
      </c>
      <c r="G446">
        <v>359</v>
      </c>
      <c r="H446" t="s">
        <v>70</v>
      </c>
      <c r="I446">
        <v>18</v>
      </c>
      <c r="J446">
        <v>5</v>
      </c>
      <c r="K446" t="s">
        <v>70</v>
      </c>
      <c r="L446">
        <v>1</v>
      </c>
      <c r="M446">
        <v>1842</v>
      </c>
      <c r="N446">
        <v>4</v>
      </c>
      <c r="O446" t="s">
        <v>43</v>
      </c>
      <c r="P446">
        <v>89</v>
      </c>
      <c r="Q446">
        <v>4</v>
      </c>
      <c r="R446">
        <v>1</v>
      </c>
      <c r="S446" t="s">
        <v>70</v>
      </c>
      <c r="T446">
        <v>1</v>
      </c>
      <c r="U446" t="s">
        <v>104</v>
      </c>
      <c r="V446">
        <v>2956</v>
      </c>
      <c r="W446" t="s">
        <v>46</v>
      </c>
      <c r="X446">
        <v>21495</v>
      </c>
      <c r="Y446">
        <v>0</v>
      </c>
      <c r="Z446" t="s">
        <v>47</v>
      </c>
      <c r="AA446" t="s">
        <v>48</v>
      </c>
      <c r="AB446">
        <v>17</v>
      </c>
      <c r="AC446">
        <v>3</v>
      </c>
      <c r="AD446">
        <v>3</v>
      </c>
      <c r="AE446">
        <v>80</v>
      </c>
      <c r="AF446">
        <v>0</v>
      </c>
      <c r="AG446">
        <v>2</v>
      </c>
      <c r="AH446">
        <v>4</v>
      </c>
      <c r="AI446">
        <v>3</v>
      </c>
      <c r="AJ446">
        <v>1</v>
      </c>
      <c r="AK446">
        <v>0</v>
      </c>
      <c r="AL446">
        <v>0</v>
      </c>
    </row>
    <row r="447" spans="1:38" x14ac:dyDescent="0.3">
      <c r="A447" t="s">
        <v>515</v>
      </c>
      <c r="B447">
        <v>31</v>
      </c>
      <c r="C447" t="s">
        <v>189</v>
      </c>
      <c r="D447" t="s">
        <v>48</v>
      </c>
      <c r="E447">
        <f t="shared" si="6"/>
        <v>0</v>
      </c>
      <c r="F447" t="s">
        <v>40</v>
      </c>
      <c r="G447">
        <v>311</v>
      </c>
      <c r="H447" t="s">
        <v>41</v>
      </c>
      <c r="I447">
        <v>20</v>
      </c>
      <c r="J447">
        <v>3</v>
      </c>
      <c r="K447" t="s">
        <v>42</v>
      </c>
      <c r="L447">
        <v>1</v>
      </c>
      <c r="M447">
        <v>1881</v>
      </c>
      <c r="N447">
        <v>2</v>
      </c>
      <c r="O447" t="s">
        <v>43</v>
      </c>
      <c r="P447">
        <v>89</v>
      </c>
      <c r="Q447">
        <v>3</v>
      </c>
      <c r="R447">
        <v>2</v>
      </c>
      <c r="S447" t="s">
        <v>44</v>
      </c>
      <c r="T447">
        <v>3</v>
      </c>
      <c r="U447" t="s">
        <v>101</v>
      </c>
      <c r="V447">
        <v>4197</v>
      </c>
      <c r="W447" t="s">
        <v>46</v>
      </c>
      <c r="X447">
        <v>18624</v>
      </c>
      <c r="Y447">
        <v>1</v>
      </c>
      <c r="Z447" t="s">
        <v>47</v>
      </c>
      <c r="AA447" t="s">
        <v>48</v>
      </c>
      <c r="AB447">
        <v>11</v>
      </c>
      <c r="AC447">
        <v>3</v>
      </c>
      <c r="AD447">
        <v>1</v>
      </c>
      <c r="AE447">
        <v>80</v>
      </c>
      <c r="AF447">
        <v>1</v>
      </c>
      <c r="AG447">
        <v>10</v>
      </c>
      <c r="AH447">
        <v>2</v>
      </c>
      <c r="AI447">
        <v>3</v>
      </c>
      <c r="AJ447">
        <v>10</v>
      </c>
      <c r="AK447">
        <v>8</v>
      </c>
      <c r="AL447">
        <v>0</v>
      </c>
    </row>
    <row r="448" spans="1:38" x14ac:dyDescent="0.3">
      <c r="A448" t="s">
        <v>516</v>
      </c>
      <c r="B448">
        <v>31</v>
      </c>
      <c r="C448" t="s">
        <v>189</v>
      </c>
      <c r="D448" t="s">
        <v>48</v>
      </c>
      <c r="E448">
        <f t="shared" si="6"/>
        <v>0</v>
      </c>
      <c r="F448" t="s">
        <v>40</v>
      </c>
      <c r="G448">
        <v>1079</v>
      </c>
      <c r="H448" t="s">
        <v>50</v>
      </c>
      <c r="I448">
        <v>10</v>
      </c>
      <c r="J448">
        <v>2</v>
      </c>
      <c r="K448" t="s">
        <v>51</v>
      </c>
      <c r="L448">
        <v>1</v>
      </c>
      <c r="M448">
        <v>1912</v>
      </c>
      <c r="N448">
        <v>3</v>
      </c>
      <c r="O448" t="s">
        <v>52</v>
      </c>
      <c r="P448">
        <v>86</v>
      </c>
      <c r="Q448">
        <v>3</v>
      </c>
      <c r="R448">
        <v>2</v>
      </c>
      <c r="S448" t="s">
        <v>136</v>
      </c>
      <c r="T448">
        <v>4</v>
      </c>
      <c r="U448" t="s">
        <v>101</v>
      </c>
      <c r="V448">
        <v>6583</v>
      </c>
      <c r="W448" t="s">
        <v>162</v>
      </c>
      <c r="X448">
        <v>20115</v>
      </c>
      <c r="Y448">
        <v>2</v>
      </c>
      <c r="Z448" t="s">
        <v>47</v>
      </c>
      <c r="AA448" t="s">
        <v>39</v>
      </c>
      <c r="AB448">
        <v>11</v>
      </c>
      <c r="AC448">
        <v>3</v>
      </c>
      <c r="AD448">
        <v>4</v>
      </c>
      <c r="AE448">
        <v>80</v>
      </c>
      <c r="AF448">
        <v>1</v>
      </c>
      <c r="AG448">
        <v>8</v>
      </c>
      <c r="AH448">
        <v>2</v>
      </c>
      <c r="AI448">
        <v>3</v>
      </c>
      <c r="AJ448">
        <v>5</v>
      </c>
      <c r="AK448">
        <v>2</v>
      </c>
      <c r="AL448">
        <v>1</v>
      </c>
    </row>
    <row r="449" spans="1:38" x14ac:dyDescent="0.3">
      <c r="A449" t="s">
        <v>517</v>
      </c>
      <c r="B449">
        <v>31</v>
      </c>
      <c r="C449" t="s">
        <v>189</v>
      </c>
      <c r="D449" t="s">
        <v>48</v>
      </c>
      <c r="E449">
        <f t="shared" si="6"/>
        <v>0</v>
      </c>
      <c r="F449" t="s">
        <v>40</v>
      </c>
      <c r="G449">
        <v>471</v>
      </c>
      <c r="H449" t="s">
        <v>41</v>
      </c>
      <c r="I449">
        <v>4</v>
      </c>
      <c r="J449">
        <v>3</v>
      </c>
      <c r="K449" t="s">
        <v>51</v>
      </c>
      <c r="L449">
        <v>1</v>
      </c>
      <c r="M449">
        <v>1916</v>
      </c>
      <c r="N449">
        <v>1</v>
      </c>
      <c r="O449" t="s">
        <v>52</v>
      </c>
      <c r="P449">
        <v>62</v>
      </c>
      <c r="Q449">
        <v>4</v>
      </c>
      <c r="R449">
        <v>1</v>
      </c>
      <c r="S449" t="s">
        <v>44</v>
      </c>
      <c r="T449">
        <v>3</v>
      </c>
      <c r="U449" t="s">
        <v>101</v>
      </c>
      <c r="V449">
        <v>3978</v>
      </c>
      <c r="W449" t="s">
        <v>46</v>
      </c>
      <c r="X449">
        <v>16031</v>
      </c>
      <c r="Y449">
        <v>8</v>
      </c>
      <c r="Z449" t="s">
        <v>47</v>
      </c>
      <c r="AA449" t="s">
        <v>48</v>
      </c>
      <c r="AB449">
        <v>12</v>
      </c>
      <c r="AC449">
        <v>3</v>
      </c>
      <c r="AD449">
        <v>2</v>
      </c>
      <c r="AE449">
        <v>80</v>
      </c>
      <c r="AF449">
        <v>1</v>
      </c>
      <c r="AG449">
        <v>4</v>
      </c>
      <c r="AH449">
        <v>0</v>
      </c>
      <c r="AI449">
        <v>2</v>
      </c>
      <c r="AJ449">
        <v>2</v>
      </c>
      <c r="AK449">
        <v>2</v>
      </c>
      <c r="AL449">
        <v>2</v>
      </c>
    </row>
    <row r="450" spans="1:38" x14ac:dyDescent="0.3">
      <c r="A450" t="s">
        <v>518</v>
      </c>
      <c r="B450">
        <v>31</v>
      </c>
      <c r="C450" t="s">
        <v>189</v>
      </c>
      <c r="D450" t="s">
        <v>48</v>
      </c>
      <c r="E450">
        <f t="shared" si="6"/>
        <v>0</v>
      </c>
      <c r="F450" t="s">
        <v>58</v>
      </c>
      <c r="G450">
        <v>976</v>
      </c>
      <c r="H450" t="s">
        <v>41</v>
      </c>
      <c r="I450">
        <v>3</v>
      </c>
      <c r="J450">
        <v>2</v>
      </c>
      <c r="K450" t="s">
        <v>51</v>
      </c>
      <c r="L450">
        <v>1</v>
      </c>
      <c r="M450">
        <v>1948</v>
      </c>
      <c r="N450">
        <v>3</v>
      </c>
      <c r="O450" t="s">
        <v>43</v>
      </c>
      <c r="P450">
        <v>48</v>
      </c>
      <c r="Q450">
        <v>3</v>
      </c>
      <c r="R450">
        <v>1</v>
      </c>
      <c r="S450" t="s">
        <v>59</v>
      </c>
      <c r="T450">
        <v>1</v>
      </c>
      <c r="U450" t="s">
        <v>101</v>
      </c>
      <c r="V450">
        <v>3065</v>
      </c>
      <c r="W450" t="s">
        <v>46</v>
      </c>
      <c r="X450">
        <v>3995</v>
      </c>
      <c r="Y450">
        <v>1</v>
      </c>
      <c r="Z450" t="s">
        <v>47</v>
      </c>
      <c r="AA450" t="s">
        <v>39</v>
      </c>
      <c r="AB450">
        <v>13</v>
      </c>
      <c r="AC450">
        <v>3</v>
      </c>
      <c r="AD450">
        <v>4</v>
      </c>
      <c r="AE450">
        <v>80</v>
      </c>
      <c r="AF450">
        <v>1</v>
      </c>
      <c r="AG450">
        <v>4</v>
      </c>
      <c r="AH450">
        <v>3</v>
      </c>
      <c r="AI450">
        <v>4</v>
      </c>
      <c r="AJ450">
        <v>4</v>
      </c>
      <c r="AK450">
        <v>2</v>
      </c>
      <c r="AL450">
        <v>2</v>
      </c>
    </row>
    <row r="451" spans="1:38" x14ac:dyDescent="0.3">
      <c r="A451" t="s">
        <v>519</v>
      </c>
      <c r="B451">
        <v>31</v>
      </c>
      <c r="C451" t="s">
        <v>189</v>
      </c>
      <c r="D451" t="s">
        <v>48</v>
      </c>
      <c r="E451">
        <f t="shared" ref="E451:E514" si="7">IF(D451="Yes",1,0)</f>
        <v>0</v>
      </c>
      <c r="F451" t="s">
        <v>55</v>
      </c>
      <c r="G451">
        <v>1125</v>
      </c>
      <c r="H451" t="s">
        <v>41</v>
      </c>
      <c r="I451">
        <v>1</v>
      </c>
      <c r="J451">
        <v>3</v>
      </c>
      <c r="K451" t="s">
        <v>42</v>
      </c>
      <c r="L451">
        <v>1</v>
      </c>
      <c r="M451">
        <v>1956</v>
      </c>
      <c r="N451">
        <v>4</v>
      </c>
      <c r="O451" t="s">
        <v>43</v>
      </c>
      <c r="P451">
        <v>48</v>
      </c>
      <c r="Q451">
        <v>1</v>
      </c>
      <c r="R451">
        <v>2</v>
      </c>
      <c r="S451" t="s">
        <v>59</v>
      </c>
      <c r="T451">
        <v>1</v>
      </c>
      <c r="U451" t="s">
        <v>104</v>
      </c>
      <c r="V451">
        <v>5003</v>
      </c>
      <c r="W451" t="s">
        <v>162</v>
      </c>
      <c r="X451">
        <v>5771</v>
      </c>
      <c r="Y451">
        <v>1</v>
      </c>
      <c r="Z451" t="s">
        <v>47</v>
      </c>
      <c r="AA451" t="s">
        <v>48</v>
      </c>
      <c r="AB451">
        <v>21</v>
      </c>
      <c r="AC451">
        <v>4</v>
      </c>
      <c r="AD451">
        <v>2</v>
      </c>
      <c r="AE451">
        <v>80</v>
      </c>
      <c r="AF451">
        <v>0</v>
      </c>
      <c r="AG451">
        <v>10</v>
      </c>
      <c r="AH451">
        <v>6</v>
      </c>
      <c r="AI451">
        <v>3</v>
      </c>
      <c r="AJ451">
        <v>10</v>
      </c>
      <c r="AK451">
        <v>8</v>
      </c>
      <c r="AL451">
        <v>8</v>
      </c>
    </row>
    <row r="452" spans="1:38" x14ac:dyDescent="0.3">
      <c r="A452" t="s">
        <v>520</v>
      </c>
      <c r="B452">
        <v>31</v>
      </c>
      <c r="C452" t="s">
        <v>189</v>
      </c>
      <c r="D452" t="s">
        <v>39</v>
      </c>
      <c r="E452">
        <f t="shared" si="7"/>
        <v>1</v>
      </c>
      <c r="F452" t="s">
        <v>55</v>
      </c>
      <c r="G452">
        <v>754</v>
      </c>
      <c r="H452" t="s">
        <v>50</v>
      </c>
      <c r="I452">
        <v>26</v>
      </c>
      <c r="J452">
        <v>4</v>
      </c>
      <c r="K452" t="s">
        <v>56</v>
      </c>
      <c r="L452">
        <v>1</v>
      </c>
      <c r="M452">
        <v>1967</v>
      </c>
      <c r="N452">
        <v>1</v>
      </c>
      <c r="O452" t="s">
        <v>43</v>
      </c>
      <c r="P452">
        <v>63</v>
      </c>
      <c r="Q452">
        <v>3</v>
      </c>
      <c r="R452">
        <v>2</v>
      </c>
      <c r="S452" t="s">
        <v>136</v>
      </c>
      <c r="T452">
        <v>4</v>
      </c>
      <c r="U452" t="s">
        <v>104</v>
      </c>
      <c r="V452">
        <v>5617</v>
      </c>
      <c r="W452" t="s">
        <v>162</v>
      </c>
      <c r="X452">
        <v>21075</v>
      </c>
      <c r="Y452">
        <v>1</v>
      </c>
      <c r="Z452" t="s">
        <v>47</v>
      </c>
      <c r="AA452" t="s">
        <v>39</v>
      </c>
      <c r="AB452">
        <v>11</v>
      </c>
      <c r="AC452">
        <v>3</v>
      </c>
      <c r="AD452">
        <v>3</v>
      </c>
      <c r="AE452">
        <v>80</v>
      </c>
      <c r="AF452">
        <v>0</v>
      </c>
      <c r="AG452">
        <v>10</v>
      </c>
      <c r="AH452">
        <v>4</v>
      </c>
      <c r="AI452">
        <v>3</v>
      </c>
      <c r="AJ452">
        <v>10</v>
      </c>
      <c r="AK452">
        <v>7</v>
      </c>
      <c r="AL452">
        <v>0</v>
      </c>
    </row>
    <row r="453" spans="1:38" x14ac:dyDescent="0.3">
      <c r="A453" t="s">
        <v>521</v>
      </c>
      <c r="B453">
        <v>31</v>
      </c>
      <c r="C453" t="s">
        <v>189</v>
      </c>
      <c r="D453" t="s">
        <v>48</v>
      </c>
      <c r="E453">
        <f t="shared" si="7"/>
        <v>0</v>
      </c>
      <c r="F453" t="s">
        <v>40</v>
      </c>
      <c r="G453">
        <v>1276</v>
      </c>
      <c r="H453" t="s">
        <v>41</v>
      </c>
      <c r="I453">
        <v>2</v>
      </c>
      <c r="J453">
        <v>1</v>
      </c>
      <c r="K453" t="s">
        <v>51</v>
      </c>
      <c r="L453">
        <v>1</v>
      </c>
      <c r="M453">
        <v>1974</v>
      </c>
      <c r="N453">
        <v>4</v>
      </c>
      <c r="O453" t="s">
        <v>52</v>
      </c>
      <c r="P453">
        <v>59</v>
      </c>
      <c r="Q453">
        <v>1</v>
      </c>
      <c r="R453">
        <v>1</v>
      </c>
      <c r="S453" t="s">
        <v>44</v>
      </c>
      <c r="T453">
        <v>4</v>
      </c>
      <c r="U453" t="s">
        <v>101</v>
      </c>
      <c r="V453">
        <v>1129</v>
      </c>
      <c r="W453" t="s">
        <v>46</v>
      </c>
      <c r="X453">
        <v>17536</v>
      </c>
      <c r="Y453">
        <v>1</v>
      </c>
      <c r="Z453" t="s">
        <v>47</v>
      </c>
      <c r="AA453" t="s">
        <v>39</v>
      </c>
      <c r="AB453">
        <v>11</v>
      </c>
      <c r="AC453">
        <v>3</v>
      </c>
      <c r="AD453">
        <v>3</v>
      </c>
      <c r="AE453">
        <v>80</v>
      </c>
      <c r="AF453">
        <v>3</v>
      </c>
      <c r="AG453">
        <v>1</v>
      </c>
      <c r="AH453">
        <v>4</v>
      </c>
      <c r="AI453">
        <v>3</v>
      </c>
      <c r="AJ453">
        <v>1</v>
      </c>
      <c r="AK453">
        <v>0</v>
      </c>
      <c r="AL453">
        <v>0</v>
      </c>
    </row>
    <row r="454" spans="1:38" x14ac:dyDescent="0.3">
      <c r="A454" t="s">
        <v>522</v>
      </c>
      <c r="B454">
        <v>31</v>
      </c>
      <c r="C454" t="s">
        <v>189</v>
      </c>
      <c r="D454" t="s">
        <v>48</v>
      </c>
      <c r="E454">
        <f t="shared" si="7"/>
        <v>0</v>
      </c>
      <c r="F454" t="s">
        <v>58</v>
      </c>
      <c r="G454">
        <v>697</v>
      </c>
      <c r="H454" t="s">
        <v>41</v>
      </c>
      <c r="I454">
        <v>10</v>
      </c>
      <c r="J454">
        <v>3</v>
      </c>
      <c r="K454" t="s">
        <v>51</v>
      </c>
      <c r="L454">
        <v>1</v>
      </c>
      <c r="M454">
        <v>1979</v>
      </c>
      <c r="N454">
        <v>3</v>
      </c>
      <c r="O454" t="s">
        <v>52</v>
      </c>
      <c r="P454">
        <v>40</v>
      </c>
      <c r="Q454">
        <v>3</v>
      </c>
      <c r="R454">
        <v>3</v>
      </c>
      <c r="S454" t="s">
        <v>251</v>
      </c>
      <c r="T454">
        <v>3</v>
      </c>
      <c r="U454" t="s">
        <v>104</v>
      </c>
      <c r="V454">
        <v>11031</v>
      </c>
      <c r="W454" t="s">
        <v>252</v>
      </c>
      <c r="X454">
        <v>26862</v>
      </c>
      <c r="Y454">
        <v>4</v>
      </c>
      <c r="Z454" t="s">
        <v>47</v>
      </c>
      <c r="AA454" t="s">
        <v>48</v>
      </c>
      <c r="AB454">
        <v>20</v>
      </c>
      <c r="AC454">
        <v>4</v>
      </c>
      <c r="AD454">
        <v>3</v>
      </c>
      <c r="AE454">
        <v>80</v>
      </c>
      <c r="AF454">
        <v>1</v>
      </c>
      <c r="AG454">
        <v>13</v>
      </c>
      <c r="AH454">
        <v>2</v>
      </c>
      <c r="AI454">
        <v>4</v>
      </c>
      <c r="AJ454">
        <v>11</v>
      </c>
      <c r="AK454">
        <v>7</v>
      </c>
      <c r="AL454">
        <v>4</v>
      </c>
    </row>
    <row r="455" spans="1:38" x14ac:dyDescent="0.3">
      <c r="A455" t="s">
        <v>523</v>
      </c>
      <c r="B455">
        <v>31</v>
      </c>
      <c r="C455" t="s">
        <v>189</v>
      </c>
      <c r="D455" t="s">
        <v>48</v>
      </c>
      <c r="E455">
        <f t="shared" si="7"/>
        <v>0</v>
      </c>
      <c r="F455" t="s">
        <v>40</v>
      </c>
      <c r="G455">
        <v>1154</v>
      </c>
      <c r="H455" t="s">
        <v>50</v>
      </c>
      <c r="I455">
        <v>2</v>
      </c>
      <c r="J455">
        <v>2</v>
      </c>
      <c r="K455" t="s">
        <v>42</v>
      </c>
      <c r="L455">
        <v>1</v>
      </c>
      <c r="M455">
        <v>1996</v>
      </c>
      <c r="N455">
        <v>1</v>
      </c>
      <c r="O455" t="s">
        <v>43</v>
      </c>
      <c r="P455">
        <v>54</v>
      </c>
      <c r="Q455">
        <v>3</v>
      </c>
      <c r="R455">
        <v>1</v>
      </c>
      <c r="S455" t="s">
        <v>53</v>
      </c>
      <c r="T455">
        <v>3</v>
      </c>
      <c r="U455" t="s">
        <v>104</v>
      </c>
      <c r="V455">
        <v>3067</v>
      </c>
      <c r="W455" t="s">
        <v>46</v>
      </c>
      <c r="X455">
        <v>6393</v>
      </c>
      <c r="Y455">
        <v>0</v>
      </c>
      <c r="Z455" t="s">
        <v>47</v>
      </c>
      <c r="AA455" t="s">
        <v>48</v>
      </c>
      <c r="AB455">
        <v>19</v>
      </c>
      <c r="AC455">
        <v>3</v>
      </c>
      <c r="AD455">
        <v>3</v>
      </c>
      <c r="AE455">
        <v>80</v>
      </c>
      <c r="AF455">
        <v>1</v>
      </c>
      <c r="AG455">
        <v>3</v>
      </c>
      <c r="AH455">
        <v>1</v>
      </c>
      <c r="AI455">
        <v>3</v>
      </c>
      <c r="AJ455">
        <v>2</v>
      </c>
      <c r="AK455">
        <v>2</v>
      </c>
      <c r="AL455">
        <v>1</v>
      </c>
    </row>
    <row r="456" spans="1:38" x14ac:dyDescent="0.3">
      <c r="A456" t="s">
        <v>524</v>
      </c>
      <c r="B456">
        <v>31</v>
      </c>
      <c r="C456" t="s">
        <v>189</v>
      </c>
      <c r="D456" t="s">
        <v>48</v>
      </c>
      <c r="E456">
        <f t="shared" si="7"/>
        <v>0</v>
      </c>
      <c r="F456" t="s">
        <v>58</v>
      </c>
      <c r="G456">
        <v>325</v>
      </c>
      <c r="H456" t="s">
        <v>41</v>
      </c>
      <c r="I456">
        <v>5</v>
      </c>
      <c r="J456">
        <v>3</v>
      </c>
      <c r="K456" t="s">
        <v>51</v>
      </c>
      <c r="L456">
        <v>1</v>
      </c>
      <c r="M456">
        <v>2057</v>
      </c>
      <c r="N456">
        <v>2</v>
      </c>
      <c r="O456" t="s">
        <v>43</v>
      </c>
      <c r="P456">
        <v>74</v>
      </c>
      <c r="Q456">
        <v>3</v>
      </c>
      <c r="R456">
        <v>2</v>
      </c>
      <c r="S456" t="s">
        <v>111</v>
      </c>
      <c r="T456">
        <v>1</v>
      </c>
      <c r="U456" t="s">
        <v>45</v>
      </c>
      <c r="V456">
        <v>9936</v>
      </c>
      <c r="W456" t="s">
        <v>162</v>
      </c>
      <c r="X456">
        <v>3787</v>
      </c>
      <c r="Y456">
        <v>0</v>
      </c>
      <c r="Z456" t="s">
        <v>47</v>
      </c>
      <c r="AA456" t="s">
        <v>48</v>
      </c>
      <c r="AB456">
        <v>19</v>
      </c>
      <c r="AC456">
        <v>3</v>
      </c>
      <c r="AD456">
        <v>2</v>
      </c>
      <c r="AE456">
        <v>80</v>
      </c>
      <c r="AF456">
        <v>0</v>
      </c>
      <c r="AG456">
        <v>10</v>
      </c>
      <c r="AH456">
        <v>2</v>
      </c>
      <c r="AI456">
        <v>3</v>
      </c>
      <c r="AJ456">
        <v>9</v>
      </c>
      <c r="AK456">
        <v>4</v>
      </c>
      <c r="AL456">
        <v>1</v>
      </c>
    </row>
    <row r="457" spans="1:38" x14ac:dyDescent="0.3">
      <c r="A457" t="s">
        <v>525</v>
      </c>
      <c r="B457">
        <v>32</v>
      </c>
      <c r="C457" t="s">
        <v>189</v>
      </c>
      <c r="D457" t="s">
        <v>48</v>
      </c>
      <c r="E457">
        <f t="shared" si="7"/>
        <v>0</v>
      </c>
      <c r="F457" t="s">
        <v>55</v>
      </c>
      <c r="G457">
        <v>1005</v>
      </c>
      <c r="H457" t="s">
        <v>41</v>
      </c>
      <c r="I457">
        <v>2</v>
      </c>
      <c r="J457">
        <v>2</v>
      </c>
      <c r="K457" t="s">
        <v>42</v>
      </c>
      <c r="L457">
        <v>1</v>
      </c>
      <c r="M457">
        <v>8</v>
      </c>
      <c r="N457">
        <v>4</v>
      </c>
      <c r="O457" t="s">
        <v>43</v>
      </c>
      <c r="P457">
        <v>79</v>
      </c>
      <c r="Q457">
        <v>3</v>
      </c>
      <c r="R457">
        <v>1</v>
      </c>
      <c r="S457" t="s">
        <v>44</v>
      </c>
      <c r="T457">
        <v>4</v>
      </c>
      <c r="U457" t="s">
        <v>45</v>
      </c>
      <c r="V457">
        <v>3068</v>
      </c>
      <c r="W457" t="s">
        <v>46</v>
      </c>
      <c r="X457">
        <v>11864</v>
      </c>
      <c r="Y457">
        <v>0</v>
      </c>
      <c r="Z457" t="s">
        <v>47</v>
      </c>
      <c r="AA457" t="s">
        <v>48</v>
      </c>
      <c r="AB457">
        <v>13</v>
      </c>
      <c r="AC457">
        <v>3</v>
      </c>
      <c r="AD457">
        <v>3</v>
      </c>
      <c r="AE457">
        <v>80</v>
      </c>
      <c r="AF457">
        <v>0</v>
      </c>
      <c r="AG457">
        <v>8</v>
      </c>
      <c r="AH457">
        <v>2</v>
      </c>
      <c r="AI457">
        <v>2</v>
      </c>
      <c r="AJ457">
        <v>7</v>
      </c>
      <c r="AK457">
        <v>7</v>
      </c>
      <c r="AL457">
        <v>3</v>
      </c>
    </row>
    <row r="458" spans="1:38" x14ac:dyDescent="0.3">
      <c r="A458" t="s">
        <v>526</v>
      </c>
      <c r="B458">
        <v>32</v>
      </c>
      <c r="C458" t="s">
        <v>189</v>
      </c>
      <c r="D458" t="s">
        <v>48</v>
      </c>
      <c r="E458">
        <f t="shared" si="7"/>
        <v>0</v>
      </c>
      <c r="F458" t="s">
        <v>40</v>
      </c>
      <c r="G458">
        <v>334</v>
      </c>
      <c r="H458" t="s">
        <v>41</v>
      </c>
      <c r="I458">
        <v>5</v>
      </c>
      <c r="J458">
        <v>2</v>
      </c>
      <c r="K458" t="s">
        <v>42</v>
      </c>
      <c r="L458">
        <v>1</v>
      </c>
      <c r="M458">
        <v>21</v>
      </c>
      <c r="N458">
        <v>1</v>
      </c>
      <c r="O458" t="s">
        <v>43</v>
      </c>
      <c r="P458">
        <v>80</v>
      </c>
      <c r="Q458">
        <v>4</v>
      </c>
      <c r="R458">
        <v>1</v>
      </c>
      <c r="S458" t="s">
        <v>59</v>
      </c>
      <c r="T458">
        <v>2</v>
      </c>
      <c r="U458" t="s">
        <v>101</v>
      </c>
      <c r="V458">
        <v>3298</v>
      </c>
      <c r="W458" t="s">
        <v>46</v>
      </c>
      <c r="X458">
        <v>15053</v>
      </c>
      <c r="Y458">
        <v>0</v>
      </c>
      <c r="Z458" t="s">
        <v>47</v>
      </c>
      <c r="AA458" t="s">
        <v>39</v>
      </c>
      <c r="AB458">
        <v>12</v>
      </c>
      <c r="AC458">
        <v>3</v>
      </c>
      <c r="AD458">
        <v>4</v>
      </c>
      <c r="AE458">
        <v>80</v>
      </c>
      <c r="AF458">
        <v>2</v>
      </c>
      <c r="AG458">
        <v>7</v>
      </c>
      <c r="AH458">
        <v>5</v>
      </c>
      <c r="AI458">
        <v>2</v>
      </c>
      <c r="AJ458">
        <v>6</v>
      </c>
      <c r="AK458">
        <v>2</v>
      </c>
      <c r="AL458">
        <v>0</v>
      </c>
    </row>
    <row r="459" spans="1:38" x14ac:dyDescent="0.3">
      <c r="A459" t="s">
        <v>527</v>
      </c>
      <c r="B459">
        <v>32</v>
      </c>
      <c r="C459" t="s">
        <v>189</v>
      </c>
      <c r="D459" t="s">
        <v>39</v>
      </c>
      <c r="E459">
        <f t="shared" si="7"/>
        <v>1</v>
      </c>
      <c r="F459" t="s">
        <v>55</v>
      </c>
      <c r="G459">
        <v>1125</v>
      </c>
      <c r="H459" t="s">
        <v>41</v>
      </c>
      <c r="I459">
        <v>16</v>
      </c>
      <c r="J459">
        <v>1</v>
      </c>
      <c r="K459" t="s">
        <v>42</v>
      </c>
      <c r="L459">
        <v>1</v>
      </c>
      <c r="M459">
        <v>33</v>
      </c>
      <c r="N459">
        <v>2</v>
      </c>
      <c r="O459" t="s">
        <v>52</v>
      </c>
      <c r="P459">
        <v>72</v>
      </c>
      <c r="Q459">
        <v>1</v>
      </c>
      <c r="R459">
        <v>1</v>
      </c>
      <c r="S459" t="s">
        <v>59</v>
      </c>
      <c r="T459">
        <v>1</v>
      </c>
      <c r="U459" t="s">
        <v>45</v>
      </c>
      <c r="V459">
        <v>3919</v>
      </c>
      <c r="W459" t="s">
        <v>46</v>
      </c>
      <c r="X459">
        <v>4681</v>
      </c>
      <c r="Y459">
        <v>1</v>
      </c>
      <c r="Z459" t="s">
        <v>47</v>
      </c>
      <c r="AA459" t="s">
        <v>39</v>
      </c>
      <c r="AB459">
        <v>22</v>
      </c>
      <c r="AC459">
        <v>4</v>
      </c>
      <c r="AD459">
        <v>2</v>
      </c>
      <c r="AE459">
        <v>80</v>
      </c>
      <c r="AF459">
        <v>0</v>
      </c>
      <c r="AG459">
        <v>10</v>
      </c>
      <c r="AH459">
        <v>5</v>
      </c>
      <c r="AI459">
        <v>3</v>
      </c>
      <c r="AJ459">
        <v>10</v>
      </c>
      <c r="AK459">
        <v>2</v>
      </c>
      <c r="AL459">
        <v>6</v>
      </c>
    </row>
    <row r="460" spans="1:38" x14ac:dyDescent="0.3">
      <c r="A460" t="s">
        <v>528</v>
      </c>
      <c r="B460">
        <v>32</v>
      </c>
      <c r="C460" t="s">
        <v>189</v>
      </c>
      <c r="D460" t="s">
        <v>48</v>
      </c>
      <c r="E460">
        <f t="shared" si="7"/>
        <v>0</v>
      </c>
      <c r="F460" t="s">
        <v>40</v>
      </c>
      <c r="G460">
        <v>427</v>
      </c>
      <c r="H460" t="s">
        <v>41</v>
      </c>
      <c r="I460">
        <v>1</v>
      </c>
      <c r="J460">
        <v>3</v>
      </c>
      <c r="K460" t="s">
        <v>51</v>
      </c>
      <c r="L460">
        <v>1</v>
      </c>
      <c r="M460">
        <v>78</v>
      </c>
      <c r="N460">
        <v>1</v>
      </c>
      <c r="O460" t="s">
        <v>43</v>
      </c>
      <c r="P460">
        <v>33</v>
      </c>
      <c r="Q460">
        <v>3</v>
      </c>
      <c r="R460">
        <v>2</v>
      </c>
      <c r="S460" t="s">
        <v>111</v>
      </c>
      <c r="T460">
        <v>4</v>
      </c>
      <c r="U460" t="s">
        <v>104</v>
      </c>
      <c r="V460">
        <v>6162</v>
      </c>
      <c r="W460" t="s">
        <v>162</v>
      </c>
      <c r="X460">
        <v>10877</v>
      </c>
      <c r="Y460">
        <v>1</v>
      </c>
      <c r="Z460" t="s">
        <v>47</v>
      </c>
      <c r="AA460" t="s">
        <v>39</v>
      </c>
      <c r="AB460">
        <v>22</v>
      </c>
      <c r="AC460">
        <v>4</v>
      </c>
      <c r="AD460">
        <v>2</v>
      </c>
      <c r="AE460">
        <v>80</v>
      </c>
      <c r="AF460">
        <v>1</v>
      </c>
      <c r="AG460">
        <v>9</v>
      </c>
      <c r="AH460">
        <v>3</v>
      </c>
      <c r="AI460">
        <v>3</v>
      </c>
      <c r="AJ460">
        <v>9</v>
      </c>
      <c r="AK460">
        <v>8</v>
      </c>
      <c r="AL460">
        <v>7</v>
      </c>
    </row>
    <row r="461" spans="1:38" x14ac:dyDescent="0.3">
      <c r="A461" t="s">
        <v>529</v>
      </c>
      <c r="B461">
        <v>32</v>
      </c>
      <c r="C461" t="s">
        <v>189</v>
      </c>
      <c r="D461" t="s">
        <v>48</v>
      </c>
      <c r="E461">
        <f t="shared" si="7"/>
        <v>0</v>
      </c>
      <c r="F461" t="s">
        <v>40</v>
      </c>
      <c r="G461">
        <v>548</v>
      </c>
      <c r="H461" t="s">
        <v>41</v>
      </c>
      <c r="I461">
        <v>1</v>
      </c>
      <c r="J461">
        <v>3</v>
      </c>
      <c r="K461" t="s">
        <v>42</v>
      </c>
      <c r="L461">
        <v>1</v>
      </c>
      <c r="M461">
        <v>96</v>
      </c>
      <c r="N461">
        <v>2</v>
      </c>
      <c r="O461" t="s">
        <v>43</v>
      </c>
      <c r="P461">
        <v>66</v>
      </c>
      <c r="Q461">
        <v>3</v>
      </c>
      <c r="R461">
        <v>2</v>
      </c>
      <c r="S461" t="s">
        <v>59</v>
      </c>
      <c r="T461">
        <v>2</v>
      </c>
      <c r="U461" t="s">
        <v>104</v>
      </c>
      <c r="V461">
        <v>6220</v>
      </c>
      <c r="W461" t="s">
        <v>162</v>
      </c>
      <c r="X461">
        <v>7346</v>
      </c>
      <c r="Y461">
        <v>1</v>
      </c>
      <c r="Z461" t="s">
        <v>47</v>
      </c>
      <c r="AA461" t="s">
        <v>48</v>
      </c>
      <c r="AB461">
        <v>17</v>
      </c>
      <c r="AC461">
        <v>3</v>
      </c>
      <c r="AD461">
        <v>2</v>
      </c>
      <c r="AE461">
        <v>80</v>
      </c>
      <c r="AF461">
        <v>2</v>
      </c>
      <c r="AG461">
        <v>10</v>
      </c>
      <c r="AH461">
        <v>3</v>
      </c>
      <c r="AI461">
        <v>3</v>
      </c>
      <c r="AJ461">
        <v>10</v>
      </c>
      <c r="AK461">
        <v>4</v>
      </c>
      <c r="AL461">
        <v>0</v>
      </c>
    </row>
    <row r="462" spans="1:38" x14ac:dyDescent="0.3">
      <c r="A462" t="s">
        <v>530</v>
      </c>
      <c r="B462">
        <v>32</v>
      </c>
      <c r="C462" t="s">
        <v>189</v>
      </c>
      <c r="D462" t="s">
        <v>48</v>
      </c>
      <c r="E462">
        <f t="shared" si="7"/>
        <v>0</v>
      </c>
      <c r="F462" t="s">
        <v>40</v>
      </c>
      <c r="G462">
        <v>1093</v>
      </c>
      <c r="H462" t="s">
        <v>50</v>
      </c>
      <c r="I462">
        <v>6</v>
      </c>
      <c r="J462">
        <v>4</v>
      </c>
      <c r="K462" t="s">
        <v>51</v>
      </c>
      <c r="L462">
        <v>1</v>
      </c>
      <c r="M462">
        <v>125</v>
      </c>
      <c r="N462">
        <v>2</v>
      </c>
      <c r="O462" t="s">
        <v>43</v>
      </c>
      <c r="P462">
        <v>87</v>
      </c>
      <c r="Q462">
        <v>3</v>
      </c>
      <c r="R462">
        <v>2</v>
      </c>
      <c r="S462" t="s">
        <v>136</v>
      </c>
      <c r="T462">
        <v>3</v>
      </c>
      <c r="U462" t="s">
        <v>45</v>
      </c>
      <c r="V462">
        <v>5010</v>
      </c>
      <c r="W462" t="s">
        <v>162</v>
      </c>
      <c r="X462">
        <v>24301</v>
      </c>
      <c r="Y462">
        <v>1</v>
      </c>
      <c r="Z462" t="s">
        <v>47</v>
      </c>
      <c r="AA462" t="s">
        <v>48</v>
      </c>
      <c r="AB462">
        <v>16</v>
      </c>
      <c r="AC462">
        <v>3</v>
      </c>
      <c r="AD462">
        <v>1</v>
      </c>
      <c r="AE462">
        <v>80</v>
      </c>
      <c r="AF462">
        <v>0</v>
      </c>
      <c r="AG462">
        <v>12</v>
      </c>
      <c r="AH462">
        <v>0</v>
      </c>
      <c r="AI462">
        <v>3</v>
      </c>
      <c r="AJ462">
        <v>11</v>
      </c>
      <c r="AK462">
        <v>8</v>
      </c>
      <c r="AL462">
        <v>5</v>
      </c>
    </row>
    <row r="463" spans="1:38" x14ac:dyDescent="0.3">
      <c r="A463" t="s">
        <v>531</v>
      </c>
      <c r="B463">
        <v>32</v>
      </c>
      <c r="C463" t="s">
        <v>189</v>
      </c>
      <c r="D463" t="s">
        <v>48</v>
      </c>
      <c r="E463">
        <f t="shared" si="7"/>
        <v>0</v>
      </c>
      <c r="F463" t="s">
        <v>40</v>
      </c>
      <c r="G463">
        <v>827</v>
      </c>
      <c r="H463" t="s">
        <v>41</v>
      </c>
      <c r="I463">
        <v>1</v>
      </c>
      <c r="J463">
        <v>1</v>
      </c>
      <c r="K463" t="s">
        <v>42</v>
      </c>
      <c r="L463">
        <v>1</v>
      </c>
      <c r="M463">
        <v>134</v>
      </c>
      <c r="N463">
        <v>4</v>
      </c>
      <c r="O463" t="s">
        <v>43</v>
      </c>
      <c r="P463">
        <v>71</v>
      </c>
      <c r="Q463">
        <v>3</v>
      </c>
      <c r="R463">
        <v>1</v>
      </c>
      <c r="S463" t="s">
        <v>59</v>
      </c>
      <c r="T463">
        <v>1</v>
      </c>
      <c r="U463" t="s">
        <v>45</v>
      </c>
      <c r="V463">
        <v>2956</v>
      </c>
      <c r="W463" t="s">
        <v>46</v>
      </c>
      <c r="X463">
        <v>15178</v>
      </c>
      <c r="Y463">
        <v>1</v>
      </c>
      <c r="Z463" t="s">
        <v>47</v>
      </c>
      <c r="AA463" t="s">
        <v>48</v>
      </c>
      <c r="AB463">
        <v>13</v>
      </c>
      <c r="AC463">
        <v>3</v>
      </c>
      <c r="AD463">
        <v>4</v>
      </c>
      <c r="AE463">
        <v>80</v>
      </c>
      <c r="AF463">
        <v>0</v>
      </c>
      <c r="AG463">
        <v>1</v>
      </c>
      <c r="AH463">
        <v>2</v>
      </c>
      <c r="AI463">
        <v>3</v>
      </c>
      <c r="AJ463">
        <v>1</v>
      </c>
      <c r="AK463">
        <v>0</v>
      </c>
      <c r="AL463">
        <v>0</v>
      </c>
    </row>
    <row r="464" spans="1:38" x14ac:dyDescent="0.3">
      <c r="A464" t="s">
        <v>532</v>
      </c>
      <c r="B464">
        <v>32</v>
      </c>
      <c r="C464" t="s">
        <v>189</v>
      </c>
      <c r="D464" t="s">
        <v>39</v>
      </c>
      <c r="E464">
        <f t="shared" si="7"/>
        <v>1</v>
      </c>
      <c r="F464" t="s">
        <v>40</v>
      </c>
      <c r="G464">
        <v>1033</v>
      </c>
      <c r="H464" t="s">
        <v>41</v>
      </c>
      <c r="I464">
        <v>9</v>
      </c>
      <c r="J464">
        <v>3</v>
      </c>
      <c r="K464" t="s">
        <v>51</v>
      </c>
      <c r="L464">
        <v>1</v>
      </c>
      <c r="M464">
        <v>190</v>
      </c>
      <c r="N464">
        <v>1</v>
      </c>
      <c r="O464" t="s">
        <v>52</v>
      </c>
      <c r="P464">
        <v>41</v>
      </c>
      <c r="Q464">
        <v>3</v>
      </c>
      <c r="R464">
        <v>1</v>
      </c>
      <c r="S464" t="s">
        <v>44</v>
      </c>
      <c r="T464">
        <v>1</v>
      </c>
      <c r="U464" t="s">
        <v>45</v>
      </c>
      <c r="V464">
        <v>4200</v>
      </c>
      <c r="W464" t="s">
        <v>46</v>
      </c>
      <c r="X464">
        <v>10224</v>
      </c>
      <c r="Y464">
        <v>7</v>
      </c>
      <c r="Z464" t="s">
        <v>47</v>
      </c>
      <c r="AA464" t="s">
        <v>48</v>
      </c>
      <c r="AB464">
        <v>22</v>
      </c>
      <c r="AC464">
        <v>4</v>
      </c>
      <c r="AD464">
        <v>1</v>
      </c>
      <c r="AE464">
        <v>80</v>
      </c>
      <c r="AF464">
        <v>0</v>
      </c>
      <c r="AG464">
        <v>10</v>
      </c>
      <c r="AH464">
        <v>2</v>
      </c>
      <c r="AI464">
        <v>4</v>
      </c>
      <c r="AJ464">
        <v>5</v>
      </c>
      <c r="AK464">
        <v>4</v>
      </c>
      <c r="AL464">
        <v>0</v>
      </c>
    </row>
    <row r="465" spans="1:38" x14ac:dyDescent="0.3">
      <c r="A465" t="s">
        <v>533</v>
      </c>
      <c r="B465">
        <v>32</v>
      </c>
      <c r="C465" t="s">
        <v>189</v>
      </c>
      <c r="D465" t="s">
        <v>48</v>
      </c>
      <c r="E465">
        <f t="shared" si="7"/>
        <v>0</v>
      </c>
      <c r="F465" t="s">
        <v>55</v>
      </c>
      <c r="G465">
        <v>689</v>
      </c>
      <c r="H465" t="s">
        <v>50</v>
      </c>
      <c r="I465">
        <v>9</v>
      </c>
      <c r="J465">
        <v>2</v>
      </c>
      <c r="K465" t="s">
        <v>51</v>
      </c>
      <c r="L465">
        <v>1</v>
      </c>
      <c r="M465">
        <v>195</v>
      </c>
      <c r="N465">
        <v>4</v>
      </c>
      <c r="O465" t="s">
        <v>43</v>
      </c>
      <c r="P465">
        <v>35</v>
      </c>
      <c r="Q465">
        <v>1</v>
      </c>
      <c r="R465">
        <v>2</v>
      </c>
      <c r="S465" t="s">
        <v>136</v>
      </c>
      <c r="T465">
        <v>4</v>
      </c>
      <c r="U465" t="s">
        <v>101</v>
      </c>
      <c r="V465">
        <v>4668</v>
      </c>
      <c r="W465" t="s">
        <v>46</v>
      </c>
      <c r="X465">
        <v>22812</v>
      </c>
      <c r="Y465">
        <v>0</v>
      </c>
      <c r="Z465" t="s">
        <v>47</v>
      </c>
      <c r="AA465" t="s">
        <v>48</v>
      </c>
      <c r="AB465">
        <v>17</v>
      </c>
      <c r="AC465">
        <v>3</v>
      </c>
      <c r="AD465">
        <v>4</v>
      </c>
      <c r="AE465">
        <v>80</v>
      </c>
      <c r="AF465">
        <v>3</v>
      </c>
      <c r="AG465">
        <v>9</v>
      </c>
      <c r="AH465">
        <v>2</v>
      </c>
      <c r="AI465">
        <v>4</v>
      </c>
      <c r="AJ465">
        <v>8</v>
      </c>
      <c r="AK465">
        <v>7</v>
      </c>
      <c r="AL465">
        <v>0</v>
      </c>
    </row>
    <row r="466" spans="1:38" x14ac:dyDescent="0.3">
      <c r="A466" t="s">
        <v>534</v>
      </c>
      <c r="B466">
        <v>32</v>
      </c>
      <c r="C466" t="s">
        <v>189</v>
      </c>
      <c r="D466" t="s">
        <v>48</v>
      </c>
      <c r="E466">
        <f t="shared" si="7"/>
        <v>0</v>
      </c>
      <c r="F466" t="s">
        <v>55</v>
      </c>
      <c r="G466">
        <v>967</v>
      </c>
      <c r="H466" t="s">
        <v>50</v>
      </c>
      <c r="I466">
        <v>8</v>
      </c>
      <c r="J466">
        <v>3</v>
      </c>
      <c r="K466" t="s">
        <v>56</v>
      </c>
      <c r="L466">
        <v>1</v>
      </c>
      <c r="M466">
        <v>207</v>
      </c>
      <c r="N466">
        <v>2</v>
      </c>
      <c r="O466" t="s">
        <v>52</v>
      </c>
      <c r="P466">
        <v>43</v>
      </c>
      <c r="Q466">
        <v>3</v>
      </c>
      <c r="R466">
        <v>3</v>
      </c>
      <c r="S466" t="s">
        <v>136</v>
      </c>
      <c r="T466">
        <v>4</v>
      </c>
      <c r="U466" t="s">
        <v>45</v>
      </c>
      <c r="V466">
        <v>8998</v>
      </c>
      <c r="W466" t="s">
        <v>162</v>
      </c>
      <c r="X466">
        <v>15589</v>
      </c>
      <c r="Y466">
        <v>1</v>
      </c>
      <c r="Z466" t="s">
        <v>47</v>
      </c>
      <c r="AA466" t="s">
        <v>48</v>
      </c>
      <c r="AB466">
        <v>14</v>
      </c>
      <c r="AC466">
        <v>3</v>
      </c>
      <c r="AD466">
        <v>4</v>
      </c>
      <c r="AE466">
        <v>80</v>
      </c>
      <c r="AF466">
        <v>0</v>
      </c>
      <c r="AG466">
        <v>9</v>
      </c>
      <c r="AH466">
        <v>2</v>
      </c>
      <c r="AI466">
        <v>3</v>
      </c>
      <c r="AJ466">
        <v>9</v>
      </c>
      <c r="AK466">
        <v>8</v>
      </c>
      <c r="AL466">
        <v>3</v>
      </c>
    </row>
    <row r="467" spans="1:38" x14ac:dyDescent="0.3">
      <c r="A467" t="s">
        <v>535</v>
      </c>
      <c r="B467">
        <v>32</v>
      </c>
      <c r="C467" t="s">
        <v>189</v>
      </c>
      <c r="D467" t="s">
        <v>48</v>
      </c>
      <c r="E467">
        <f t="shared" si="7"/>
        <v>0</v>
      </c>
      <c r="F467" t="s">
        <v>40</v>
      </c>
      <c r="G467">
        <v>120</v>
      </c>
      <c r="H467" t="s">
        <v>41</v>
      </c>
      <c r="I467">
        <v>6</v>
      </c>
      <c r="J467">
        <v>5</v>
      </c>
      <c r="K467" t="s">
        <v>42</v>
      </c>
      <c r="L467">
        <v>1</v>
      </c>
      <c r="M467">
        <v>231</v>
      </c>
      <c r="N467">
        <v>3</v>
      </c>
      <c r="O467" t="s">
        <v>43</v>
      </c>
      <c r="P467">
        <v>43</v>
      </c>
      <c r="Q467">
        <v>3</v>
      </c>
      <c r="R467">
        <v>1</v>
      </c>
      <c r="S467" t="s">
        <v>59</v>
      </c>
      <c r="T467">
        <v>3</v>
      </c>
      <c r="U467" t="s">
        <v>45</v>
      </c>
      <c r="V467">
        <v>3038</v>
      </c>
      <c r="W467" t="s">
        <v>46</v>
      </c>
      <c r="X467">
        <v>12430</v>
      </c>
      <c r="Y467">
        <v>3</v>
      </c>
      <c r="Z467" t="s">
        <v>47</v>
      </c>
      <c r="AA467" t="s">
        <v>48</v>
      </c>
      <c r="AB467">
        <v>20</v>
      </c>
      <c r="AC467">
        <v>4</v>
      </c>
      <c r="AD467">
        <v>1</v>
      </c>
      <c r="AE467">
        <v>80</v>
      </c>
      <c r="AF467">
        <v>0</v>
      </c>
      <c r="AG467">
        <v>8</v>
      </c>
      <c r="AH467">
        <v>2</v>
      </c>
      <c r="AI467">
        <v>3</v>
      </c>
      <c r="AJ467">
        <v>5</v>
      </c>
      <c r="AK467">
        <v>4</v>
      </c>
      <c r="AL467">
        <v>1</v>
      </c>
    </row>
    <row r="468" spans="1:38" x14ac:dyDescent="0.3">
      <c r="A468" t="s">
        <v>536</v>
      </c>
      <c r="B468">
        <v>32</v>
      </c>
      <c r="C468" t="s">
        <v>189</v>
      </c>
      <c r="D468" t="s">
        <v>39</v>
      </c>
      <c r="E468">
        <f t="shared" si="7"/>
        <v>1</v>
      </c>
      <c r="F468" t="s">
        <v>40</v>
      </c>
      <c r="G468">
        <v>1045</v>
      </c>
      <c r="H468" t="s">
        <v>50</v>
      </c>
      <c r="I468">
        <v>4</v>
      </c>
      <c r="J468">
        <v>4</v>
      </c>
      <c r="K468" t="s">
        <v>51</v>
      </c>
      <c r="L468">
        <v>1</v>
      </c>
      <c r="M468">
        <v>291</v>
      </c>
      <c r="N468">
        <v>4</v>
      </c>
      <c r="O468" t="s">
        <v>43</v>
      </c>
      <c r="P468">
        <v>32</v>
      </c>
      <c r="Q468">
        <v>1</v>
      </c>
      <c r="R468">
        <v>3</v>
      </c>
      <c r="S468" t="s">
        <v>136</v>
      </c>
      <c r="T468">
        <v>4</v>
      </c>
      <c r="U468" t="s">
        <v>104</v>
      </c>
      <c r="V468">
        <v>10400</v>
      </c>
      <c r="W468" t="s">
        <v>252</v>
      </c>
      <c r="X468">
        <v>25812</v>
      </c>
      <c r="Y468">
        <v>1</v>
      </c>
      <c r="Z468" t="s">
        <v>47</v>
      </c>
      <c r="AA468" t="s">
        <v>48</v>
      </c>
      <c r="AB468">
        <v>11</v>
      </c>
      <c r="AC468">
        <v>3</v>
      </c>
      <c r="AD468">
        <v>3</v>
      </c>
      <c r="AE468">
        <v>80</v>
      </c>
      <c r="AF468">
        <v>0</v>
      </c>
      <c r="AG468">
        <v>14</v>
      </c>
      <c r="AH468">
        <v>2</v>
      </c>
      <c r="AI468">
        <v>2</v>
      </c>
      <c r="AJ468">
        <v>14</v>
      </c>
      <c r="AK468">
        <v>8</v>
      </c>
      <c r="AL468">
        <v>9</v>
      </c>
    </row>
    <row r="469" spans="1:38" x14ac:dyDescent="0.3">
      <c r="A469" t="s">
        <v>537</v>
      </c>
      <c r="B469">
        <v>32</v>
      </c>
      <c r="C469" t="s">
        <v>189</v>
      </c>
      <c r="D469" t="s">
        <v>48</v>
      </c>
      <c r="E469">
        <f t="shared" si="7"/>
        <v>0</v>
      </c>
      <c r="F469" t="s">
        <v>40</v>
      </c>
      <c r="G469">
        <v>1401</v>
      </c>
      <c r="H469" t="s">
        <v>50</v>
      </c>
      <c r="I469">
        <v>4</v>
      </c>
      <c r="J469">
        <v>2</v>
      </c>
      <c r="K469" t="s">
        <v>42</v>
      </c>
      <c r="L469">
        <v>1</v>
      </c>
      <c r="M469">
        <v>330</v>
      </c>
      <c r="N469">
        <v>3</v>
      </c>
      <c r="O469" t="s">
        <v>52</v>
      </c>
      <c r="P469">
        <v>56</v>
      </c>
      <c r="Q469">
        <v>3</v>
      </c>
      <c r="R469">
        <v>1</v>
      </c>
      <c r="S469" t="s">
        <v>53</v>
      </c>
      <c r="T469">
        <v>2</v>
      </c>
      <c r="U469" t="s">
        <v>104</v>
      </c>
      <c r="V469">
        <v>3931</v>
      </c>
      <c r="W469" t="s">
        <v>46</v>
      </c>
      <c r="X469">
        <v>20990</v>
      </c>
      <c r="Y469">
        <v>2</v>
      </c>
      <c r="Z469" t="s">
        <v>47</v>
      </c>
      <c r="AA469" t="s">
        <v>48</v>
      </c>
      <c r="AB469">
        <v>11</v>
      </c>
      <c r="AC469">
        <v>3</v>
      </c>
      <c r="AD469">
        <v>1</v>
      </c>
      <c r="AE469">
        <v>80</v>
      </c>
      <c r="AF469">
        <v>1</v>
      </c>
      <c r="AG469">
        <v>6</v>
      </c>
      <c r="AH469">
        <v>5</v>
      </c>
      <c r="AI469">
        <v>3</v>
      </c>
      <c r="AJ469">
        <v>4</v>
      </c>
      <c r="AK469">
        <v>3</v>
      </c>
      <c r="AL469">
        <v>1</v>
      </c>
    </row>
    <row r="470" spans="1:38" x14ac:dyDescent="0.3">
      <c r="A470" t="s">
        <v>538</v>
      </c>
      <c r="B470">
        <v>32</v>
      </c>
      <c r="C470" t="s">
        <v>189</v>
      </c>
      <c r="D470" t="s">
        <v>39</v>
      </c>
      <c r="E470">
        <f t="shared" si="7"/>
        <v>1</v>
      </c>
      <c r="F470" t="s">
        <v>40</v>
      </c>
      <c r="G470">
        <v>515</v>
      </c>
      <c r="H470" t="s">
        <v>41</v>
      </c>
      <c r="I470">
        <v>1</v>
      </c>
      <c r="J470">
        <v>3</v>
      </c>
      <c r="K470" t="s">
        <v>42</v>
      </c>
      <c r="L470">
        <v>1</v>
      </c>
      <c r="M470">
        <v>331</v>
      </c>
      <c r="N470">
        <v>4</v>
      </c>
      <c r="O470" t="s">
        <v>43</v>
      </c>
      <c r="P470">
        <v>62</v>
      </c>
      <c r="Q470">
        <v>2</v>
      </c>
      <c r="R470">
        <v>1</v>
      </c>
      <c r="S470" t="s">
        <v>44</v>
      </c>
      <c r="T470">
        <v>3</v>
      </c>
      <c r="U470" t="s">
        <v>45</v>
      </c>
      <c r="V470">
        <v>3730</v>
      </c>
      <c r="W470" t="s">
        <v>46</v>
      </c>
      <c r="X470">
        <v>9571</v>
      </c>
      <c r="Y470">
        <v>0</v>
      </c>
      <c r="Z470" t="s">
        <v>47</v>
      </c>
      <c r="AA470" t="s">
        <v>39</v>
      </c>
      <c r="AB470">
        <v>14</v>
      </c>
      <c r="AC470">
        <v>3</v>
      </c>
      <c r="AD470">
        <v>4</v>
      </c>
      <c r="AE470">
        <v>80</v>
      </c>
      <c r="AF470">
        <v>0</v>
      </c>
      <c r="AG470">
        <v>4</v>
      </c>
      <c r="AH470">
        <v>2</v>
      </c>
      <c r="AI470">
        <v>1</v>
      </c>
      <c r="AJ470">
        <v>3</v>
      </c>
      <c r="AK470">
        <v>2</v>
      </c>
      <c r="AL470">
        <v>1</v>
      </c>
    </row>
    <row r="471" spans="1:38" x14ac:dyDescent="0.3">
      <c r="A471" t="s">
        <v>539</v>
      </c>
      <c r="B471">
        <v>32</v>
      </c>
      <c r="C471" t="s">
        <v>189</v>
      </c>
      <c r="D471" t="s">
        <v>48</v>
      </c>
      <c r="E471">
        <f t="shared" si="7"/>
        <v>0</v>
      </c>
      <c r="F471" t="s">
        <v>58</v>
      </c>
      <c r="G471">
        <v>976</v>
      </c>
      <c r="H471" t="s">
        <v>50</v>
      </c>
      <c r="I471">
        <v>26</v>
      </c>
      <c r="J471">
        <v>4</v>
      </c>
      <c r="K471" t="s">
        <v>56</v>
      </c>
      <c r="L471">
        <v>1</v>
      </c>
      <c r="M471">
        <v>333</v>
      </c>
      <c r="N471">
        <v>3</v>
      </c>
      <c r="O471" t="s">
        <v>43</v>
      </c>
      <c r="P471">
        <v>100</v>
      </c>
      <c r="Q471">
        <v>3</v>
      </c>
      <c r="R471">
        <v>2</v>
      </c>
      <c r="S471" t="s">
        <v>136</v>
      </c>
      <c r="T471">
        <v>4</v>
      </c>
      <c r="U471" t="s">
        <v>104</v>
      </c>
      <c r="V471">
        <v>4465</v>
      </c>
      <c r="W471" t="s">
        <v>46</v>
      </c>
      <c r="X471">
        <v>12069</v>
      </c>
      <c r="Y471">
        <v>0</v>
      </c>
      <c r="Z471" t="s">
        <v>47</v>
      </c>
      <c r="AA471" t="s">
        <v>48</v>
      </c>
      <c r="AB471">
        <v>18</v>
      </c>
      <c r="AC471">
        <v>3</v>
      </c>
      <c r="AD471">
        <v>1</v>
      </c>
      <c r="AE471">
        <v>80</v>
      </c>
      <c r="AF471">
        <v>0</v>
      </c>
      <c r="AG471">
        <v>4</v>
      </c>
      <c r="AH471">
        <v>2</v>
      </c>
      <c r="AI471">
        <v>3</v>
      </c>
      <c r="AJ471">
        <v>3</v>
      </c>
      <c r="AK471">
        <v>2</v>
      </c>
      <c r="AL471">
        <v>2</v>
      </c>
    </row>
    <row r="472" spans="1:38" x14ac:dyDescent="0.3">
      <c r="A472" t="s">
        <v>540</v>
      </c>
      <c r="B472">
        <v>32</v>
      </c>
      <c r="C472" t="s">
        <v>189</v>
      </c>
      <c r="D472" t="s">
        <v>48</v>
      </c>
      <c r="E472">
        <f t="shared" si="7"/>
        <v>0</v>
      </c>
      <c r="F472" t="s">
        <v>55</v>
      </c>
      <c r="G472">
        <v>1311</v>
      </c>
      <c r="H472" t="s">
        <v>41</v>
      </c>
      <c r="I472">
        <v>7</v>
      </c>
      <c r="J472">
        <v>3</v>
      </c>
      <c r="K472" t="s">
        <v>42</v>
      </c>
      <c r="L472">
        <v>1</v>
      </c>
      <c r="M472">
        <v>359</v>
      </c>
      <c r="N472">
        <v>2</v>
      </c>
      <c r="O472" t="s">
        <v>43</v>
      </c>
      <c r="P472">
        <v>100</v>
      </c>
      <c r="Q472">
        <v>4</v>
      </c>
      <c r="R472">
        <v>1</v>
      </c>
      <c r="S472" t="s">
        <v>44</v>
      </c>
      <c r="T472">
        <v>2</v>
      </c>
      <c r="U472" t="s">
        <v>104</v>
      </c>
      <c r="V472">
        <v>2794</v>
      </c>
      <c r="W472" t="s">
        <v>46</v>
      </c>
      <c r="X472">
        <v>26062</v>
      </c>
      <c r="Y472">
        <v>1</v>
      </c>
      <c r="Z472" t="s">
        <v>47</v>
      </c>
      <c r="AA472" t="s">
        <v>48</v>
      </c>
      <c r="AB472">
        <v>20</v>
      </c>
      <c r="AC472">
        <v>4</v>
      </c>
      <c r="AD472">
        <v>3</v>
      </c>
      <c r="AE472">
        <v>80</v>
      </c>
      <c r="AF472">
        <v>0</v>
      </c>
      <c r="AG472">
        <v>5</v>
      </c>
      <c r="AH472">
        <v>3</v>
      </c>
      <c r="AI472">
        <v>1</v>
      </c>
      <c r="AJ472">
        <v>5</v>
      </c>
      <c r="AK472">
        <v>1</v>
      </c>
      <c r="AL472">
        <v>0</v>
      </c>
    </row>
    <row r="473" spans="1:38" x14ac:dyDescent="0.3">
      <c r="A473" t="s">
        <v>541</v>
      </c>
      <c r="B473">
        <v>32</v>
      </c>
      <c r="C473" t="s">
        <v>189</v>
      </c>
      <c r="D473" t="s">
        <v>48</v>
      </c>
      <c r="E473">
        <f t="shared" si="7"/>
        <v>0</v>
      </c>
      <c r="F473" t="s">
        <v>40</v>
      </c>
      <c r="G473">
        <v>128</v>
      </c>
      <c r="H473" t="s">
        <v>41</v>
      </c>
      <c r="I473">
        <v>2</v>
      </c>
      <c r="J473">
        <v>1</v>
      </c>
      <c r="K473" t="s">
        <v>67</v>
      </c>
      <c r="L473">
        <v>1</v>
      </c>
      <c r="M473">
        <v>362</v>
      </c>
      <c r="N473">
        <v>4</v>
      </c>
      <c r="O473" t="s">
        <v>43</v>
      </c>
      <c r="P473">
        <v>84</v>
      </c>
      <c r="Q473">
        <v>2</v>
      </c>
      <c r="R473">
        <v>2</v>
      </c>
      <c r="S473" t="s">
        <v>44</v>
      </c>
      <c r="T473">
        <v>1</v>
      </c>
      <c r="U473" t="s">
        <v>45</v>
      </c>
      <c r="V473">
        <v>2176</v>
      </c>
      <c r="W473" t="s">
        <v>46</v>
      </c>
      <c r="X473">
        <v>19737</v>
      </c>
      <c r="Y473">
        <v>4</v>
      </c>
      <c r="Z473" t="s">
        <v>47</v>
      </c>
      <c r="AA473" t="s">
        <v>48</v>
      </c>
      <c r="AB473">
        <v>13</v>
      </c>
      <c r="AC473">
        <v>3</v>
      </c>
      <c r="AD473">
        <v>4</v>
      </c>
      <c r="AE473">
        <v>80</v>
      </c>
      <c r="AF473">
        <v>0</v>
      </c>
      <c r="AG473">
        <v>9</v>
      </c>
      <c r="AH473">
        <v>5</v>
      </c>
      <c r="AI473">
        <v>3</v>
      </c>
      <c r="AJ473">
        <v>6</v>
      </c>
      <c r="AK473">
        <v>2</v>
      </c>
      <c r="AL473">
        <v>0</v>
      </c>
    </row>
    <row r="474" spans="1:38" x14ac:dyDescent="0.3">
      <c r="A474" t="s">
        <v>542</v>
      </c>
      <c r="B474">
        <v>32</v>
      </c>
      <c r="C474" t="s">
        <v>189</v>
      </c>
      <c r="D474" t="s">
        <v>48</v>
      </c>
      <c r="E474">
        <f t="shared" si="7"/>
        <v>0</v>
      </c>
      <c r="F474" t="s">
        <v>40</v>
      </c>
      <c r="G474">
        <v>906</v>
      </c>
      <c r="H474" t="s">
        <v>50</v>
      </c>
      <c r="I474">
        <v>7</v>
      </c>
      <c r="J474">
        <v>3</v>
      </c>
      <c r="K474" t="s">
        <v>42</v>
      </c>
      <c r="L474">
        <v>1</v>
      </c>
      <c r="M474">
        <v>420</v>
      </c>
      <c r="N474">
        <v>4</v>
      </c>
      <c r="O474" t="s">
        <v>43</v>
      </c>
      <c r="P474">
        <v>91</v>
      </c>
      <c r="Q474">
        <v>2</v>
      </c>
      <c r="R474">
        <v>2</v>
      </c>
      <c r="S474" t="s">
        <v>136</v>
      </c>
      <c r="T474">
        <v>3</v>
      </c>
      <c r="U474" t="s">
        <v>104</v>
      </c>
      <c r="V474">
        <v>5484</v>
      </c>
      <c r="W474" t="s">
        <v>162</v>
      </c>
      <c r="X474">
        <v>16985</v>
      </c>
      <c r="Y474">
        <v>1</v>
      </c>
      <c r="Z474" t="s">
        <v>47</v>
      </c>
      <c r="AA474" t="s">
        <v>48</v>
      </c>
      <c r="AB474">
        <v>14</v>
      </c>
      <c r="AC474">
        <v>3</v>
      </c>
      <c r="AD474">
        <v>3</v>
      </c>
      <c r="AE474">
        <v>80</v>
      </c>
      <c r="AF474">
        <v>1</v>
      </c>
      <c r="AG474">
        <v>13</v>
      </c>
      <c r="AH474">
        <v>3</v>
      </c>
      <c r="AI474">
        <v>2</v>
      </c>
      <c r="AJ474">
        <v>13</v>
      </c>
      <c r="AK474">
        <v>8</v>
      </c>
      <c r="AL474">
        <v>4</v>
      </c>
    </row>
    <row r="475" spans="1:38" x14ac:dyDescent="0.3">
      <c r="A475" t="s">
        <v>543</v>
      </c>
      <c r="B475">
        <v>32</v>
      </c>
      <c r="C475" t="s">
        <v>189</v>
      </c>
      <c r="D475" t="s">
        <v>48</v>
      </c>
      <c r="E475">
        <f t="shared" si="7"/>
        <v>0</v>
      </c>
      <c r="F475" t="s">
        <v>40</v>
      </c>
      <c r="G475">
        <v>588</v>
      </c>
      <c r="H475" t="s">
        <v>50</v>
      </c>
      <c r="I475">
        <v>8</v>
      </c>
      <c r="J475">
        <v>2</v>
      </c>
      <c r="K475" t="s">
        <v>67</v>
      </c>
      <c r="L475">
        <v>1</v>
      </c>
      <c r="M475">
        <v>436</v>
      </c>
      <c r="N475">
        <v>3</v>
      </c>
      <c r="O475" t="s">
        <v>52</v>
      </c>
      <c r="P475">
        <v>65</v>
      </c>
      <c r="Q475">
        <v>2</v>
      </c>
      <c r="R475">
        <v>2</v>
      </c>
      <c r="S475" t="s">
        <v>136</v>
      </c>
      <c r="T475">
        <v>2</v>
      </c>
      <c r="U475" t="s">
        <v>104</v>
      </c>
      <c r="V475">
        <v>5228</v>
      </c>
      <c r="W475" t="s">
        <v>162</v>
      </c>
      <c r="X475">
        <v>24624</v>
      </c>
      <c r="Y475">
        <v>1</v>
      </c>
      <c r="Z475" t="s">
        <v>47</v>
      </c>
      <c r="AA475" t="s">
        <v>39</v>
      </c>
      <c r="AB475">
        <v>11</v>
      </c>
      <c r="AC475">
        <v>3</v>
      </c>
      <c r="AD475">
        <v>4</v>
      </c>
      <c r="AE475">
        <v>80</v>
      </c>
      <c r="AF475">
        <v>0</v>
      </c>
      <c r="AG475">
        <v>13</v>
      </c>
      <c r="AH475">
        <v>2</v>
      </c>
      <c r="AI475">
        <v>3</v>
      </c>
      <c r="AJ475">
        <v>13</v>
      </c>
      <c r="AK475">
        <v>12</v>
      </c>
      <c r="AL475">
        <v>11</v>
      </c>
    </row>
    <row r="476" spans="1:38" x14ac:dyDescent="0.3">
      <c r="A476" t="s">
        <v>544</v>
      </c>
      <c r="B476">
        <v>32</v>
      </c>
      <c r="C476" t="s">
        <v>189</v>
      </c>
      <c r="D476" t="s">
        <v>48</v>
      </c>
      <c r="E476">
        <f t="shared" si="7"/>
        <v>0</v>
      </c>
      <c r="F476" t="s">
        <v>40</v>
      </c>
      <c r="G476">
        <v>1018</v>
      </c>
      <c r="H476" t="s">
        <v>41</v>
      </c>
      <c r="I476">
        <v>2</v>
      </c>
      <c r="J476">
        <v>4</v>
      </c>
      <c r="K476" t="s">
        <v>51</v>
      </c>
      <c r="L476">
        <v>1</v>
      </c>
      <c r="M476">
        <v>439</v>
      </c>
      <c r="N476">
        <v>1</v>
      </c>
      <c r="O476" t="s">
        <v>52</v>
      </c>
      <c r="P476">
        <v>74</v>
      </c>
      <c r="Q476">
        <v>4</v>
      </c>
      <c r="R476">
        <v>2</v>
      </c>
      <c r="S476" t="s">
        <v>59</v>
      </c>
      <c r="T476">
        <v>4</v>
      </c>
      <c r="U476" t="s">
        <v>45</v>
      </c>
      <c r="V476">
        <v>5055</v>
      </c>
      <c r="W476" t="s">
        <v>162</v>
      </c>
      <c r="X476">
        <v>10557</v>
      </c>
      <c r="Y476">
        <v>7</v>
      </c>
      <c r="Z476" t="s">
        <v>47</v>
      </c>
      <c r="AA476" t="s">
        <v>48</v>
      </c>
      <c r="AB476">
        <v>16</v>
      </c>
      <c r="AC476">
        <v>3</v>
      </c>
      <c r="AD476">
        <v>3</v>
      </c>
      <c r="AE476">
        <v>80</v>
      </c>
      <c r="AF476">
        <v>0</v>
      </c>
      <c r="AG476">
        <v>10</v>
      </c>
      <c r="AH476">
        <v>0</v>
      </c>
      <c r="AI476">
        <v>2</v>
      </c>
      <c r="AJ476">
        <v>7</v>
      </c>
      <c r="AK476">
        <v>7</v>
      </c>
      <c r="AL476">
        <v>0</v>
      </c>
    </row>
    <row r="477" spans="1:38" x14ac:dyDescent="0.3">
      <c r="A477" t="s">
        <v>545</v>
      </c>
      <c r="B477">
        <v>32</v>
      </c>
      <c r="C477" t="s">
        <v>189</v>
      </c>
      <c r="D477" t="s">
        <v>48</v>
      </c>
      <c r="E477">
        <f t="shared" si="7"/>
        <v>0</v>
      </c>
      <c r="F477" t="s">
        <v>40</v>
      </c>
      <c r="G477">
        <v>1062</v>
      </c>
      <c r="H477" t="s">
        <v>41</v>
      </c>
      <c r="I477">
        <v>2</v>
      </c>
      <c r="J477">
        <v>3</v>
      </c>
      <c r="K477" t="s">
        <v>51</v>
      </c>
      <c r="L477">
        <v>1</v>
      </c>
      <c r="M477">
        <v>471</v>
      </c>
      <c r="N477">
        <v>3</v>
      </c>
      <c r="O477" t="s">
        <v>52</v>
      </c>
      <c r="P477">
        <v>75</v>
      </c>
      <c r="Q477">
        <v>3</v>
      </c>
      <c r="R477">
        <v>1</v>
      </c>
      <c r="S477" t="s">
        <v>44</v>
      </c>
      <c r="T477">
        <v>2</v>
      </c>
      <c r="U477" t="s">
        <v>104</v>
      </c>
      <c r="V477">
        <v>2370</v>
      </c>
      <c r="W477" t="s">
        <v>46</v>
      </c>
      <c r="X477">
        <v>3956</v>
      </c>
      <c r="Y477">
        <v>1</v>
      </c>
      <c r="Z477" t="s">
        <v>47</v>
      </c>
      <c r="AA477" t="s">
        <v>48</v>
      </c>
      <c r="AB477">
        <v>13</v>
      </c>
      <c r="AC477">
        <v>3</v>
      </c>
      <c r="AD477">
        <v>3</v>
      </c>
      <c r="AE477">
        <v>80</v>
      </c>
      <c r="AF477">
        <v>1</v>
      </c>
      <c r="AG477">
        <v>8</v>
      </c>
      <c r="AH477">
        <v>4</v>
      </c>
      <c r="AI477">
        <v>3</v>
      </c>
      <c r="AJ477">
        <v>8</v>
      </c>
      <c r="AK477">
        <v>0</v>
      </c>
      <c r="AL477">
        <v>0</v>
      </c>
    </row>
    <row r="478" spans="1:38" x14ac:dyDescent="0.3">
      <c r="A478" t="s">
        <v>546</v>
      </c>
      <c r="B478">
        <v>32</v>
      </c>
      <c r="C478" t="s">
        <v>189</v>
      </c>
      <c r="D478" t="s">
        <v>39</v>
      </c>
      <c r="E478">
        <f t="shared" si="7"/>
        <v>1</v>
      </c>
      <c r="F478" t="s">
        <v>58</v>
      </c>
      <c r="G478">
        <v>1474</v>
      </c>
      <c r="H478" t="s">
        <v>50</v>
      </c>
      <c r="I478">
        <v>11</v>
      </c>
      <c r="J478">
        <v>4</v>
      </c>
      <c r="K478" t="s">
        <v>72</v>
      </c>
      <c r="L478">
        <v>1</v>
      </c>
      <c r="M478">
        <v>631</v>
      </c>
      <c r="N478">
        <v>4</v>
      </c>
      <c r="O478" t="s">
        <v>43</v>
      </c>
      <c r="P478">
        <v>60</v>
      </c>
      <c r="Q478">
        <v>4</v>
      </c>
      <c r="R478">
        <v>2</v>
      </c>
      <c r="S478" t="s">
        <v>136</v>
      </c>
      <c r="T478">
        <v>3</v>
      </c>
      <c r="U478" t="s">
        <v>104</v>
      </c>
      <c r="V478">
        <v>4707</v>
      </c>
      <c r="W478" t="s">
        <v>46</v>
      </c>
      <c r="X478">
        <v>23914</v>
      </c>
      <c r="Y478">
        <v>8</v>
      </c>
      <c r="Z478" t="s">
        <v>47</v>
      </c>
      <c r="AA478" t="s">
        <v>48</v>
      </c>
      <c r="AB478">
        <v>12</v>
      </c>
      <c r="AC478">
        <v>3</v>
      </c>
      <c r="AD478">
        <v>4</v>
      </c>
      <c r="AE478">
        <v>80</v>
      </c>
      <c r="AF478">
        <v>0</v>
      </c>
      <c r="AG478">
        <v>6</v>
      </c>
      <c r="AH478">
        <v>2</v>
      </c>
      <c r="AI478">
        <v>3</v>
      </c>
      <c r="AJ478">
        <v>4</v>
      </c>
      <c r="AK478">
        <v>2</v>
      </c>
      <c r="AL478">
        <v>1</v>
      </c>
    </row>
    <row r="479" spans="1:38" x14ac:dyDescent="0.3">
      <c r="A479" t="s">
        <v>547</v>
      </c>
      <c r="B479">
        <v>32</v>
      </c>
      <c r="C479" t="s">
        <v>189</v>
      </c>
      <c r="D479" t="s">
        <v>48</v>
      </c>
      <c r="E479">
        <f t="shared" si="7"/>
        <v>0</v>
      </c>
      <c r="F479" t="s">
        <v>40</v>
      </c>
      <c r="G479">
        <v>646</v>
      </c>
      <c r="H479" t="s">
        <v>41</v>
      </c>
      <c r="I479">
        <v>9</v>
      </c>
      <c r="J479">
        <v>4</v>
      </c>
      <c r="K479" t="s">
        <v>42</v>
      </c>
      <c r="L479">
        <v>1</v>
      </c>
      <c r="M479">
        <v>679</v>
      </c>
      <c r="N479">
        <v>1</v>
      </c>
      <c r="O479" t="s">
        <v>52</v>
      </c>
      <c r="P479">
        <v>92</v>
      </c>
      <c r="Q479">
        <v>3</v>
      </c>
      <c r="R479">
        <v>2</v>
      </c>
      <c r="S479" t="s">
        <v>59</v>
      </c>
      <c r="T479">
        <v>4</v>
      </c>
      <c r="U479" t="s">
        <v>104</v>
      </c>
      <c r="V479">
        <v>6322</v>
      </c>
      <c r="W479" t="s">
        <v>162</v>
      </c>
      <c r="X479">
        <v>18089</v>
      </c>
      <c r="Y479">
        <v>1</v>
      </c>
      <c r="Z479" t="s">
        <v>47</v>
      </c>
      <c r="AA479" t="s">
        <v>39</v>
      </c>
      <c r="AB479">
        <v>12</v>
      </c>
      <c r="AC479">
        <v>3</v>
      </c>
      <c r="AD479">
        <v>4</v>
      </c>
      <c r="AE479">
        <v>80</v>
      </c>
      <c r="AF479">
        <v>1</v>
      </c>
      <c r="AG479">
        <v>6</v>
      </c>
      <c r="AH479">
        <v>2</v>
      </c>
      <c r="AI479">
        <v>2</v>
      </c>
      <c r="AJ479">
        <v>6</v>
      </c>
      <c r="AK479">
        <v>4</v>
      </c>
      <c r="AL479">
        <v>0</v>
      </c>
    </row>
    <row r="480" spans="1:38" x14ac:dyDescent="0.3">
      <c r="A480" t="s">
        <v>548</v>
      </c>
      <c r="B480">
        <v>32</v>
      </c>
      <c r="C480" t="s">
        <v>189</v>
      </c>
      <c r="D480" t="s">
        <v>48</v>
      </c>
      <c r="E480">
        <f t="shared" si="7"/>
        <v>0</v>
      </c>
      <c r="F480" t="s">
        <v>40</v>
      </c>
      <c r="G480">
        <v>929</v>
      </c>
      <c r="H480" t="s">
        <v>50</v>
      </c>
      <c r="I480">
        <v>10</v>
      </c>
      <c r="J480">
        <v>3</v>
      </c>
      <c r="K480" t="s">
        <v>56</v>
      </c>
      <c r="L480">
        <v>1</v>
      </c>
      <c r="M480">
        <v>722</v>
      </c>
      <c r="N480">
        <v>4</v>
      </c>
      <c r="O480" t="s">
        <v>43</v>
      </c>
      <c r="P480">
        <v>55</v>
      </c>
      <c r="Q480">
        <v>3</v>
      </c>
      <c r="R480">
        <v>2</v>
      </c>
      <c r="S480" t="s">
        <v>136</v>
      </c>
      <c r="T480">
        <v>4</v>
      </c>
      <c r="U480" t="s">
        <v>45</v>
      </c>
      <c r="V480">
        <v>5396</v>
      </c>
      <c r="W480" t="s">
        <v>162</v>
      </c>
      <c r="X480">
        <v>21703</v>
      </c>
      <c r="Y480">
        <v>1</v>
      </c>
      <c r="Z480" t="s">
        <v>47</v>
      </c>
      <c r="AA480" t="s">
        <v>48</v>
      </c>
      <c r="AB480">
        <v>12</v>
      </c>
      <c r="AC480">
        <v>3</v>
      </c>
      <c r="AD480">
        <v>4</v>
      </c>
      <c r="AE480">
        <v>80</v>
      </c>
      <c r="AF480">
        <v>0</v>
      </c>
      <c r="AG480">
        <v>10</v>
      </c>
      <c r="AH480">
        <v>2</v>
      </c>
      <c r="AI480">
        <v>2</v>
      </c>
      <c r="AJ480">
        <v>10</v>
      </c>
      <c r="AK480">
        <v>7</v>
      </c>
      <c r="AL480">
        <v>0</v>
      </c>
    </row>
    <row r="481" spans="1:38" x14ac:dyDescent="0.3">
      <c r="A481" t="s">
        <v>549</v>
      </c>
      <c r="B481">
        <v>32</v>
      </c>
      <c r="C481" t="s">
        <v>189</v>
      </c>
      <c r="D481" t="s">
        <v>48</v>
      </c>
      <c r="E481">
        <f t="shared" si="7"/>
        <v>0</v>
      </c>
      <c r="F481" t="s">
        <v>40</v>
      </c>
      <c r="G481">
        <v>1018</v>
      </c>
      <c r="H481" t="s">
        <v>41</v>
      </c>
      <c r="I481">
        <v>3</v>
      </c>
      <c r="J481">
        <v>2</v>
      </c>
      <c r="K481" t="s">
        <v>42</v>
      </c>
      <c r="L481">
        <v>1</v>
      </c>
      <c r="M481">
        <v>727</v>
      </c>
      <c r="N481">
        <v>3</v>
      </c>
      <c r="O481" t="s">
        <v>52</v>
      </c>
      <c r="P481">
        <v>39</v>
      </c>
      <c r="Q481">
        <v>3</v>
      </c>
      <c r="R481">
        <v>3</v>
      </c>
      <c r="S481" t="s">
        <v>251</v>
      </c>
      <c r="T481">
        <v>4</v>
      </c>
      <c r="U481" t="s">
        <v>45</v>
      </c>
      <c r="V481">
        <v>11159</v>
      </c>
      <c r="W481" t="s">
        <v>252</v>
      </c>
      <c r="X481">
        <v>19373</v>
      </c>
      <c r="Y481">
        <v>3</v>
      </c>
      <c r="Z481" t="s">
        <v>47</v>
      </c>
      <c r="AA481" t="s">
        <v>48</v>
      </c>
      <c r="AB481">
        <v>15</v>
      </c>
      <c r="AC481">
        <v>3</v>
      </c>
      <c r="AD481">
        <v>4</v>
      </c>
      <c r="AE481">
        <v>80</v>
      </c>
      <c r="AF481">
        <v>0</v>
      </c>
      <c r="AG481">
        <v>10</v>
      </c>
      <c r="AH481">
        <v>6</v>
      </c>
      <c r="AI481">
        <v>3</v>
      </c>
      <c r="AJ481">
        <v>7</v>
      </c>
      <c r="AK481">
        <v>7</v>
      </c>
      <c r="AL481">
        <v>7</v>
      </c>
    </row>
    <row r="482" spans="1:38" x14ac:dyDescent="0.3">
      <c r="A482" t="s">
        <v>550</v>
      </c>
      <c r="B482">
        <v>32</v>
      </c>
      <c r="C482" t="s">
        <v>189</v>
      </c>
      <c r="D482" t="s">
        <v>48</v>
      </c>
      <c r="E482">
        <f t="shared" si="7"/>
        <v>0</v>
      </c>
      <c r="F482" t="s">
        <v>55</v>
      </c>
      <c r="G482">
        <v>430</v>
      </c>
      <c r="H482" t="s">
        <v>41</v>
      </c>
      <c r="I482">
        <v>24</v>
      </c>
      <c r="J482">
        <v>4</v>
      </c>
      <c r="K482" t="s">
        <v>42</v>
      </c>
      <c r="L482">
        <v>1</v>
      </c>
      <c r="M482">
        <v>772</v>
      </c>
      <c r="N482">
        <v>1</v>
      </c>
      <c r="O482" t="s">
        <v>43</v>
      </c>
      <c r="P482">
        <v>80</v>
      </c>
      <c r="Q482">
        <v>3</v>
      </c>
      <c r="R482">
        <v>2</v>
      </c>
      <c r="S482" t="s">
        <v>44</v>
      </c>
      <c r="T482">
        <v>4</v>
      </c>
      <c r="U482" t="s">
        <v>104</v>
      </c>
      <c r="V482">
        <v>5309</v>
      </c>
      <c r="W482" t="s">
        <v>162</v>
      </c>
      <c r="X482">
        <v>21146</v>
      </c>
      <c r="Y482">
        <v>1</v>
      </c>
      <c r="Z482" t="s">
        <v>47</v>
      </c>
      <c r="AA482" t="s">
        <v>48</v>
      </c>
      <c r="AB482">
        <v>15</v>
      </c>
      <c r="AC482">
        <v>3</v>
      </c>
      <c r="AD482">
        <v>4</v>
      </c>
      <c r="AE482">
        <v>80</v>
      </c>
      <c r="AF482">
        <v>2</v>
      </c>
      <c r="AG482">
        <v>10</v>
      </c>
      <c r="AH482">
        <v>2</v>
      </c>
      <c r="AI482">
        <v>3</v>
      </c>
      <c r="AJ482">
        <v>10</v>
      </c>
      <c r="AK482">
        <v>8</v>
      </c>
      <c r="AL482">
        <v>4</v>
      </c>
    </row>
    <row r="483" spans="1:38" x14ac:dyDescent="0.3">
      <c r="A483" t="s">
        <v>551</v>
      </c>
      <c r="B483">
        <v>32</v>
      </c>
      <c r="C483" t="s">
        <v>189</v>
      </c>
      <c r="D483" t="s">
        <v>48</v>
      </c>
      <c r="E483">
        <f t="shared" si="7"/>
        <v>0</v>
      </c>
      <c r="F483" t="s">
        <v>40</v>
      </c>
      <c r="G483">
        <v>859</v>
      </c>
      <c r="H483" t="s">
        <v>41</v>
      </c>
      <c r="I483">
        <v>4</v>
      </c>
      <c r="J483">
        <v>3</v>
      </c>
      <c r="K483" t="s">
        <v>42</v>
      </c>
      <c r="L483">
        <v>1</v>
      </c>
      <c r="M483">
        <v>830</v>
      </c>
      <c r="N483">
        <v>3</v>
      </c>
      <c r="O483" t="s">
        <v>52</v>
      </c>
      <c r="P483">
        <v>98</v>
      </c>
      <c r="Q483">
        <v>2</v>
      </c>
      <c r="R483">
        <v>2</v>
      </c>
      <c r="S483" t="s">
        <v>111</v>
      </c>
      <c r="T483">
        <v>3</v>
      </c>
      <c r="U483" t="s">
        <v>104</v>
      </c>
      <c r="V483">
        <v>6162</v>
      </c>
      <c r="W483" t="s">
        <v>162</v>
      </c>
      <c r="X483">
        <v>19124</v>
      </c>
      <c r="Y483">
        <v>1</v>
      </c>
      <c r="Z483" t="s">
        <v>47</v>
      </c>
      <c r="AA483" t="s">
        <v>48</v>
      </c>
      <c r="AB483">
        <v>12</v>
      </c>
      <c r="AC483">
        <v>3</v>
      </c>
      <c r="AD483">
        <v>3</v>
      </c>
      <c r="AE483">
        <v>80</v>
      </c>
      <c r="AF483">
        <v>1</v>
      </c>
      <c r="AG483">
        <v>14</v>
      </c>
      <c r="AH483">
        <v>3</v>
      </c>
      <c r="AI483">
        <v>3</v>
      </c>
      <c r="AJ483">
        <v>14</v>
      </c>
      <c r="AK483">
        <v>13</v>
      </c>
      <c r="AL483">
        <v>6</v>
      </c>
    </row>
    <row r="484" spans="1:38" x14ac:dyDescent="0.3">
      <c r="A484" t="s">
        <v>552</v>
      </c>
      <c r="B484">
        <v>32</v>
      </c>
      <c r="C484" t="s">
        <v>189</v>
      </c>
      <c r="D484" t="s">
        <v>48</v>
      </c>
      <c r="E484">
        <f t="shared" si="7"/>
        <v>0</v>
      </c>
      <c r="F484" t="s">
        <v>40</v>
      </c>
      <c r="G484">
        <v>117</v>
      </c>
      <c r="H484" t="s">
        <v>50</v>
      </c>
      <c r="I484">
        <v>13</v>
      </c>
      <c r="J484">
        <v>4</v>
      </c>
      <c r="K484" t="s">
        <v>42</v>
      </c>
      <c r="L484">
        <v>1</v>
      </c>
      <c r="M484">
        <v>859</v>
      </c>
      <c r="N484">
        <v>2</v>
      </c>
      <c r="O484" t="s">
        <v>43</v>
      </c>
      <c r="P484">
        <v>73</v>
      </c>
      <c r="Q484">
        <v>3</v>
      </c>
      <c r="R484">
        <v>2</v>
      </c>
      <c r="S484" t="s">
        <v>136</v>
      </c>
      <c r="T484">
        <v>4</v>
      </c>
      <c r="U484" t="s">
        <v>101</v>
      </c>
      <c r="V484">
        <v>4403</v>
      </c>
      <c r="W484" t="s">
        <v>46</v>
      </c>
      <c r="X484">
        <v>9250</v>
      </c>
      <c r="Y484">
        <v>2</v>
      </c>
      <c r="Z484" t="s">
        <v>47</v>
      </c>
      <c r="AA484" t="s">
        <v>48</v>
      </c>
      <c r="AB484">
        <v>11</v>
      </c>
      <c r="AC484">
        <v>3</v>
      </c>
      <c r="AD484">
        <v>3</v>
      </c>
      <c r="AE484">
        <v>80</v>
      </c>
      <c r="AF484">
        <v>1</v>
      </c>
      <c r="AG484">
        <v>8</v>
      </c>
      <c r="AH484">
        <v>3</v>
      </c>
      <c r="AI484">
        <v>2</v>
      </c>
      <c r="AJ484">
        <v>5</v>
      </c>
      <c r="AK484">
        <v>2</v>
      </c>
      <c r="AL484">
        <v>0</v>
      </c>
    </row>
    <row r="485" spans="1:38" x14ac:dyDescent="0.3">
      <c r="A485" t="s">
        <v>553</v>
      </c>
      <c r="B485">
        <v>32</v>
      </c>
      <c r="C485" t="s">
        <v>189</v>
      </c>
      <c r="D485" t="s">
        <v>48</v>
      </c>
      <c r="E485">
        <f t="shared" si="7"/>
        <v>0</v>
      </c>
      <c r="F485" t="s">
        <v>40</v>
      </c>
      <c r="G485">
        <v>638</v>
      </c>
      <c r="H485" t="s">
        <v>41</v>
      </c>
      <c r="I485">
        <v>8</v>
      </c>
      <c r="J485">
        <v>2</v>
      </c>
      <c r="K485" t="s">
        <v>51</v>
      </c>
      <c r="L485">
        <v>1</v>
      </c>
      <c r="M485">
        <v>865</v>
      </c>
      <c r="N485">
        <v>3</v>
      </c>
      <c r="O485" t="s">
        <v>52</v>
      </c>
      <c r="P485">
        <v>91</v>
      </c>
      <c r="Q485">
        <v>4</v>
      </c>
      <c r="R485">
        <v>2</v>
      </c>
      <c r="S485" t="s">
        <v>59</v>
      </c>
      <c r="T485">
        <v>3</v>
      </c>
      <c r="U485" t="s">
        <v>104</v>
      </c>
      <c r="V485">
        <v>5175</v>
      </c>
      <c r="W485" t="s">
        <v>162</v>
      </c>
      <c r="X485">
        <v>22162</v>
      </c>
      <c r="Y485">
        <v>5</v>
      </c>
      <c r="Z485" t="s">
        <v>47</v>
      </c>
      <c r="AA485" t="s">
        <v>48</v>
      </c>
      <c r="AB485">
        <v>12</v>
      </c>
      <c r="AC485">
        <v>3</v>
      </c>
      <c r="AD485">
        <v>3</v>
      </c>
      <c r="AE485">
        <v>80</v>
      </c>
      <c r="AF485">
        <v>1</v>
      </c>
      <c r="AG485">
        <v>9</v>
      </c>
      <c r="AH485">
        <v>3</v>
      </c>
      <c r="AI485">
        <v>2</v>
      </c>
      <c r="AJ485">
        <v>5</v>
      </c>
      <c r="AK485">
        <v>3</v>
      </c>
      <c r="AL485">
        <v>1</v>
      </c>
    </row>
    <row r="486" spans="1:38" x14ac:dyDescent="0.3">
      <c r="A486" t="s">
        <v>554</v>
      </c>
      <c r="B486">
        <v>32</v>
      </c>
      <c r="C486" t="s">
        <v>189</v>
      </c>
      <c r="D486" t="s">
        <v>48</v>
      </c>
      <c r="E486">
        <f t="shared" si="7"/>
        <v>0</v>
      </c>
      <c r="F486" t="s">
        <v>58</v>
      </c>
      <c r="G486">
        <v>300</v>
      </c>
      <c r="H486" t="s">
        <v>41</v>
      </c>
      <c r="I486">
        <v>1</v>
      </c>
      <c r="J486">
        <v>3</v>
      </c>
      <c r="K486" t="s">
        <v>42</v>
      </c>
      <c r="L486">
        <v>1</v>
      </c>
      <c r="M486">
        <v>882</v>
      </c>
      <c r="N486">
        <v>4</v>
      </c>
      <c r="O486" t="s">
        <v>43</v>
      </c>
      <c r="P486">
        <v>61</v>
      </c>
      <c r="Q486">
        <v>3</v>
      </c>
      <c r="R486">
        <v>1</v>
      </c>
      <c r="S486" t="s">
        <v>44</v>
      </c>
      <c r="T486">
        <v>4</v>
      </c>
      <c r="U486" t="s">
        <v>101</v>
      </c>
      <c r="V486">
        <v>2314</v>
      </c>
      <c r="W486" t="s">
        <v>46</v>
      </c>
      <c r="X486">
        <v>9148</v>
      </c>
      <c r="Y486">
        <v>0</v>
      </c>
      <c r="Z486" t="s">
        <v>47</v>
      </c>
      <c r="AA486" t="s">
        <v>48</v>
      </c>
      <c r="AB486">
        <v>12</v>
      </c>
      <c r="AC486">
        <v>3</v>
      </c>
      <c r="AD486">
        <v>2</v>
      </c>
      <c r="AE486">
        <v>80</v>
      </c>
      <c r="AF486">
        <v>1</v>
      </c>
      <c r="AG486">
        <v>4</v>
      </c>
      <c r="AH486">
        <v>2</v>
      </c>
      <c r="AI486">
        <v>3</v>
      </c>
      <c r="AJ486">
        <v>3</v>
      </c>
      <c r="AK486">
        <v>0</v>
      </c>
      <c r="AL486">
        <v>0</v>
      </c>
    </row>
    <row r="487" spans="1:38" x14ac:dyDescent="0.3">
      <c r="A487" t="s">
        <v>555</v>
      </c>
      <c r="B487">
        <v>32</v>
      </c>
      <c r="C487" t="s">
        <v>189</v>
      </c>
      <c r="D487" t="s">
        <v>48</v>
      </c>
      <c r="E487">
        <f t="shared" si="7"/>
        <v>0</v>
      </c>
      <c r="F487" t="s">
        <v>55</v>
      </c>
      <c r="G487">
        <v>379</v>
      </c>
      <c r="H487" t="s">
        <v>50</v>
      </c>
      <c r="I487">
        <v>5</v>
      </c>
      <c r="J487">
        <v>2</v>
      </c>
      <c r="K487" t="s">
        <v>42</v>
      </c>
      <c r="L487">
        <v>1</v>
      </c>
      <c r="M487">
        <v>889</v>
      </c>
      <c r="N487">
        <v>2</v>
      </c>
      <c r="O487" t="s">
        <v>43</v>
      </c>
      <c r="P487">
        <v>48</v>
      </c>
      <c r="Q487">
        <v>3</v>
      </c>
      <c r="R487">
        <v>2</v>
      </c>
      <c r="S487" t="s">
        <v>136</v>
      </c>
      <c r="T487">
        <v>2</v>
      </c>
      <c r="U487" t="s">
        <v>104</v>
      </c>
      <c r="V487">
        <v>6524</v>
      </c>
      <c r="W487" t="s">
        <v>162</v>
      </c>
      <c r="X487">
        <v>8891</v>
      </c>
      <c r="Y487">
        <v>1</v>
      </c>
      <c r="Z487" t="s">
        <v>47</v>
      </c>
      <c r="AA487" t="s">
        <v>48</v>
      </c>
      <c r="AB487">
        <v>14</v>
      </c>
      <c r="AC487">
        <v>3</v>
      </c>
      <c r="AD487">
        <v>4</v>
      </c>
      <c r="AE487">
        <v>80</v>
      </c>
      <c r="AF487">
        <v>1</v>
      </c>
      <c r="AG487">
        <v>10</v>
      </c>
      <c r="AH487">
        <v>3</v>
      </c>
      <c r="AI487">
        <v>3</v>
      </c>
      <c r="AJ487">
        <v>10</v>
      </c>
      <c r="AK487">
        <v>8</v>
      </c>
      <c r="AL487">
        <v>5</v>
      </c>
    </row>
    <row r="488" spans="1:38" x14ac:dyDescent="0.3">
      <c r="A488" t="s">
        <v>556</v>
      </c>
      <c r="B488">
        <v>32</v>
      </c>
      <c r="C488" t="s">
        <v>189</v>
      </c>
      <c r="D488" t="s">
        <v>39</v>
      </c>
      <c r="E488">
        <f t="shared" si="7"/>
        <v>1</v>
      </c>
      <c r="F488" t="s">
        <v>40</v>
      </c>
      <c r="G488">
        <v>374</v>
      </c>
      <c r="H488" t="s">
        <v>41</v>
      </c>
      <c r="I488">
        <v>25</v>
      </c>
      <c r="J488">
        <v>4</v>
      </c>
      <c r="K488" t="s">
        <v>42</v>
      </c>
      <c r="L488">
        <v>1</v>
      </c>
      <c r="M488">
        <v>911</v>
      </c>
      <c r="N488">
        <v>1</v>
      </c>
      <c r="O488" t="s">
        <v>43</v>
      </c>
      <c r="P488">
        <v>87</v>
      </c>
      <c r="Q488">
        <v>3</v>
      </c>
      <c r="R488">
        <v>1</v>
      </c>
      <c r="S488" t="s">
        <v>44</v>
      </c>
      <c r="T488">
        <v>4</v>
      </c>
      <c r="U488" t="s">
        <v>45</v>
      </c>
      <c r="V488">
        <v>2795</v>
      </c>
      <c r="W488" t="s">
        <v>46</v>
      </c>
      <c r="X488">
        <v>18016</v>
      </c>
      <c r="Y488">
        <v>1</v>
      </c>
      <c r="Z488" t="s">
        <v>47</v>
      </c>
      <c r="AA488" t="s">
        <v>39</v>
      </c>
      <c r="AB488">
        <v>24</v>
      </c>
      <c r="AC488">
        <v>4</v>
      </c>
      <c r="AD488">
        <v>3</v>
      </c>
      <c r="AE488">
        <v>80</v>
      </c>
      <c r="AF488">
        <v>0</v>
      </c>
      <c r="AG488">
        <v>1</v>
      </c>
      <c r="AH488">
        <v>2</v>
      </c>
      <c r="AI488">
        <v>1</v>
      </c>
      <c r="AJ488">
        <v>1</v>
      </c>
      <c r="AK488">
        <v>0</v>
      </c>
      <c r="AL488">
        <v>0</v>
      </c>
    </row>
    <row r="489" spans="1:38" x14ac:dyDescent="0.3">
      <c r="A489" t="s">
        <v>557</v>
      </c>
      <c r="B489">
        <v>32</v>
      </c>
      <c r="C489" t="s">
        <v>189</v>
      </c>
      <c r="D489" t="s">
        <v>48</v>
      </c>
      <c r="E489">
        <f t="shared" si="7"/>
        <v>0</v>
      </c>
      <c r="F489" t="s">
        <v>58</v>
      </c>
      <c r="G489">
        <v>1184</v>
      </c>
      <c r="H489" t="s">
        <v>41</v>
      </c>
      <c r="I489">
        <v>1</v>
      </c>
      <c r="J489">
        <v>3</v>
      </c>
      <c r="K489" t="s">
        <v>42</v>
      </c>
      <c r="L489">
        <v>1</v>
      </c>
      <c r="M489">
        <v>951</v>
      </c>
      <c r="N489">
        <v>3</v>
      </c>
      <c r="O489" t="s">
        <v>52</v>
      </c>
      <c r="P489">
        <v>70</v>
      </c>
      <c r="Q489">
        <v>2</v>
      </c>
      <c r="R489">
        <v>1</v>
      </c>
      <c r="S489" t="s">
        <v>44</v>
      </c>
      <c r="T489">
        <v>2</v>
      </c>
      <c r="U489" t="s">
        <v>104</v>
      </c>
      <c r="V489">
        <v>2332</v>
      </c>
      <c r="W489" t="s">
        <v>46</v>
      </c>
      <c r="X489">
        <v>3974</v>
      </c>
      <c r="Y489">
        <v>6</v>
      </c>
      <c r="Z489" t="s">
        <v>47</v>
      </c>
      <c r="AA489" t="s">
        <v>48</v>
      </c>
      <c r="AB489">
        <v>20</v>
      </c>
      <c r="AC489">
        <v>4</v>
      </c>
      <c r="AD489">
        <v>3</v>
      </c>
      <c r="AE489">
        <v>80</v>
      </c>
      <c r="AF489">
        <v>0</v>
      </c>
      <c r="AG489">
        <v>5</v>
      </c>
      <c r="AH489">
        <v>3</v>
      </c>
      <c r="AI489">
        <v>3</v>
      </c>
      <c r="AJ489">
        <v>3</v>
      </c>
      <c r="AK489">
        <v>0</v>
      </c>
      <c r="AL489">
        <v>0</v>
      </c>
    </row>
    <row r="490" spans="1:38" x14ac:dyDescent="0.3">
      <c r="A490" t="s">
        <v>558</v>
      </c>
      <c r="B490">
        <v>32</v>
      </c>
      <c r="C490" t="s">
        <v>189</v>
      </c>
      <c r="D490" t="s">
        <v>48</v>
      </c>
      <c r="E490">
        <f t="shared" si="7"/>
        <v>0</v>
      </c>
      <c r="F490" t="s">
        <v>40</v>
      </c>
      <c r="G490">
        <v>498</v>
      </c>
      <c r="H490" t="s">
        <v>41</v>
      </c>
      <c r="I490">
        <v>3</v>
      </c>
      <c r="J490">
        <v>4</v>
      </c>
      <c r="K490" t="s">
        <v>51</v>
      </c>
      <c r="L490">
        <v>1</v>
      </c>
      <c r="M490">
        <v>966</v>
      </c>
      <c r="N490">
        <v>3</v>
      </c>
      <c r="O490" t="s">
        <v>52</v>
      </c>
      <c r="P490">
        <v>93</v>
      </c>
      <c r="Q490">
        <v>3</v>
      </c>
      <c r="R490">
        <v>2</v>
      </c>
      <c r="S490" t="s">
        <v>111</v>
      </c>
      <c r="T490">
        <v>1</v>
      </c>
      <c r="U490" t="s">
        <v>104</v>
      </c>
      <c r="V490">
        <v>6725</v>
      </c>
      <c r="W490" t="s">
        <v>162</v>
      </c>
      <c r="X490">
        <v>13554</v>
      </c>
      <c r="Y490">
        <v>1</v>
      </c>
      <c r="Z490" t="s">
        <v>47</v>
      </c>
      <c r="AA490" t="s">
        <v>48</v>
      </c>
      <c r="AB490">
        <v>12</v>
      </c>
      <c r="AC490">
        <v>3</v>
      </c>
      <c r="AD490">
        <v>3</v>
      </c>
      <c r="AE490">
        <v>80</v>
      </c>
      <c r="AF490">
        <v>1</v>
      </c>
      <c r="AG490">
        <v>8</v>
      </c>
      <c r="AH490">
        <v>2</v>
      </c>
      <c r="AI490">
        <v>4</v>
      </c>
      <c r="AJ490">
        <v>8</v>
      </c>
      <c r="AK490">
        <v>7</v>
      </c>
      <c r="AL490">
        <v>6</v>
      </c>
    </row>
    <row r="491" spans="1:38" x14ac:dyDescent="0.3">
      <c r="A491" t="s">
        <v>559</v>
      </c>
      <c r="B491">
        <v>32</v>
      </c>
      <c r="C491" t="s">
        <v>189</v>
      </c>
      <c r="D491" t="s">
        <v>48</v>
      </c>
      <c r="E491">
        <f t="shared" si="7"/>
        <v>0</v>
      </c>
      <c r="F491" t="s">
        <v>58</v>
      </c>
      <c r="G491">
        <v>1109</v>
      </c>
      <c r="H491" t="s">
        <v>41</v>
      </c>
      <c r="I491">
        <v>29</v>
      </c>
      <c r="J491">
        <v>4</v>
      </c>
      <c r="K491" t="s">
        <v>51</v>
      </c>
      <c r="L491">
        <v>1</v>
      </c>
      <c r="M491">
        <v>1046</v>
      </c>
      <c r="N491">
        <v>4</v>
      </c>
      <c r="O491" t="s">
        <v>52</v>
      </c>
      <c r="P491">
        <v>69</v>
      </c>
      <c r="Q491">
        <v>3</v>
      </c>
      <c r="R491">
        <v>1</v>
      </c>
      <c r="S491" t="s">
        <v>44</v>
      </c>
      <c r="T491">
        <v>3</v>
      </c>
      <c r="U491" t="s">
        <v>45</v>
      </c>
      <c r="V491">
        <v>4025</v>
      </c>
      <c r="W491" t="s">
        <v>46</v>
      </c>
      <c r="X491">
        <v>11135</v>
      </c>
      <c r="Y491">
        <v>9</v>
      </c>
      <c r="Z491" t="s">
        <v>47</v>
      </c>
      <c r="AA491" t="s">
        <v>48</v>
      </c>
      <c r="AB491">
        <v>12</v>
      </c>
      <c r="AC491">
        <v>3</v>
      </c>
      <c r="AD491">
        <v>2</v>
      </c>
      <c r="AE491">
        <v>80</v>
      </c>
      <c r="AF491">
        <v>0</v>
      </c>
      <c r="AG491">
        <v>10</v>
      </c>
      <c r="AH491">
        <v>2</v>
      </c>
      <c r="AI491">
        <v>3</v>
      </c>
      <c r="AJ491">
        <v>8</v>
      </c>
      <c r="AK491">
        <v>7</v>
      </c>
      <c r="AL491">
        <v>7</v>
      </c>
    </row>
    <row r="492" spans="1:38" x14ac:dyDescent="0.3">
      <c r="A492" t="s">
        <v>560</v>
      </c>
      <c r="B492">
        <v>32</v>
      </c>
      <c r="C492" t="s">
        <v>189</v>
      </c>
      <c r="D492" t="s">
        <v>48</v>
      </c>
      <c r="E492">
        <f t="shared" si="7"/>
        <v>0</v>
      </c>
      <c r="F492" t="s">
        <v>58</v>
      </c>
      <c r="G492">
        <v>862</v>
      </c>
      <c r="H492" t="s">
        <v>50</v>
      </c>
      <c r="I492">
        <v>2</v>
      </c>
      <c r="J492">
        <v>1</v>
      </c>
      <c r="K492" t="s">
        <v>42</v>
      </c>
      <c r="L492">
        <v>1</v>
      </c>
      <c r="M492">
        <v>1190</v>
      </c>
      <c r="N492">
        <v>3</v>
      </c>
      <c r="O492" t="s">
        <v>52</v>
      </c>
      <c r="P492">
        <v>76</v>
      </c>
      <c r="Q492">
        <v>3</v>
      </c>
      <c r="R492">
        <v>1</v>
      </c>
      <c r="S492" t="s">
        <v>53</v>
      </c>
      <c r="T492">
        <v>1</v>
      </c>
      <c r="U492" t="s">
        <v>101</v>
      </c>
      <c r="V492">
        <v>2827</v>
      </c>
      <c r="W492" t="s">
        <v>46</v>
      </c>
      <c r="X492">
        <v>14947</v>
      </c>
      <c r="Y492">
        <v>1</v>
      </c>
      <c r="Z492" t="s">
        <v>47</v>
      </c>
      <c r="AA492" t="s">
        <v>48</v>
      </c>
      <c r="AB492">
        <v>12</v>
      </c>
      <c r="AC492">
        <v>3</v>
      </c>
      <c r="AD492">
        <v>3</v>
      </c>
      <c r="AE492">
        <v>80</v>
      </c>
      <c r="AF492">
        <v>3</v>
      </c>
      <c r="AG492">
        <v>1</v>
      </c>
      <c r="AH492">
        <v>3</v>
      </c>
      <c r="AI492">
        <v>3</v>
      </c>
      <c r="AJ492">
        <v>1</v>
      </c>
      <c r="AK492">
        <v>0</v>
      </c>
      <c r="AL492">
        <v>0</v>
      </c>
    </row>
    <row r="493" spans="1:38" x14ac:dyDescent="0.3">
      <c r="A493" t="s">
        <v>561</v>
      </c>
      <c r="B493">
        <v>32</v>
      </c>
      <c r="C493" t="s">
        <v>189</v>
      </c>
      <c r="D493" t="s">
        <v>48</v>
      </c>
      <c r="E493">
        <f t="shared" si="7"/>
        <v>0</v>
      </c>
      <c r="F493" t="s">
        <v>55</v>
      </c>
      <c r="G493">
        <v>116</v>
      </c>
      <c r="H493" t="s">
        <v>41</v>
      </c>
      <c r="I493">
        <v>13</v>
      </c>
      <c r="J493">
        <v>3</v>
      </c>
      <c r="K493" t="s">
        <v>72</v>
      </c>
      <c r="L493">
        <v>1</v>
      </c>
      <c r="M493">
        <v>1234</v>
      </c>
      <c r="N493">
        <v>3</v>
      </c>
      <c r="O493" t="s">
        <v>52</v>
      </c>
      <c r="P493">
        <v>77</v>
      </c>
      <c r="Q493">
        <v>2</v>
      </c>
      <c r="R493">
        <v>1</v>
      </c>
      <c r="S493" t="s">
        <v>44</v>
      </c>
      <c r="T493">
        <v>2</v>
      </c>
      <c r="U493" t="s">
        <v>104</v>
      </c>
      <c r="V493">
        <v>2743</v>
      </c>
      <c r="W493" t="s">
        <v>46</v>
      </c>
      <c r="X493">
        <v>7331</v>
      </c>
      <c r="Y493">
        <v>1</v>
      </c>
      <c r="Z493" t="s">
        <v>47</v>
      </c>
      <c r="AA493" t="s">
        <v>48</v>
      </c>
      <c r="AB493">
        <v>20</v>
      </c>
      <c r="AC493">
        <v>4</v>
      </c>
      <c r="AD493">
        <v>3</v>
      </c>
      <c r="AE493">
        <v>80</v>
      </c>
      <c r="AF493">
        <v>1</v>
      </c>
      <c r="AG493">
        <v>2</v>
      </c>
      <c r="AH493">
        <v>2</v>
      </c>
      <c r="AI493">
        <v>3</v>
      </c>
      <c r="AJ493">
        <v>2</v>
      </c>
      <c r="AK493">
        <v>2</v>
      </c>
      <c r="AL493">
        <v>2</v>
      </c>
    </row>
    <row r="494" spans="1:38" x14ac:dyDescent="0.3">
      <c r="A494" t="s">
        <v>562</v>
      </c>
      <c r="B494">
        <v>32</v>
      </c>
      <c r="C494" t="s">
        <v>189</v>
      </c>
      <c r="D494" t="s">
        <v>48</v>
      </c>
      <c r="E494">
        <f t="shared" si="7"/>
        <v>0</v>
      </c>
      <c r="F494" t="s">
        <v>55</v>
      </c>
      <c r="G494">
        <v>1316</v>
      </c>
      <c r="H494" t="s">
        <v>41</v>
      </c>
      <c r="I494">
        <v>2</v>
      </c>
      <c r="J494">
        <v>2</v>
      </c>
      <c r="K494" t="s">
        <v>42</v>
      </c>
      <c r="L494">
        <v>1</v>
      </c>
      <c r="M494">
        <v>1235</v>
      </c>
      <c r="N494">
        <v>4</v>
      </c>
      <c r="O494" t="s">
        <v>52</v>
      </c>
      <c r="P494">
        <v>38</v>
      </c>
      <c r="Q494">
        <v>3</v>
      </c>
      <c r="R494">
        <v>2</v>
      </c>
      <c r="S494" t="s">
        <v>59</v>
      </c>
      <c r="T494">
        <v>3</v>
      </c>
      <c r="U494" t="s">
        <v>45</v>
      </c>
      <c r="V494">
        <v>4998</v>
      </c>
      <c r="W494" t="s">
        <v>46</v>
      </c>
      <c r="X494">
        <v>2338</v>
      </c>
      <c r="Y494">
        <v>4</v>
      </c>
      <c r="Z494" t="s">
        <v>47</v>
      </c>
      <c r="AA494" t="s">
        <v>39</v>
      </c>
      <c r="AB494">
        <v>14</v>
      </c>
      <c r="AC494">
        <v>3</v>
      </c>
      <c r="AD494">
        <v>4</v>
      </c>
      <c r="AE494">
        <v>80</v>
      </c>
      <c r="AF494">
        <v>0</v>
      </c>
      <c r="AG494">
        <v>10</v>
      </c>
      <c r="AH494">
        <v>2</v>
      </c>
      <c r="AI494">
        <v>3</v>
      </c>
      <c r="AJ494">
        <v>8</v>
      </c>
      <c r="AK494">
        <v>7</v>
      </c>
      <c r="AL494">
        <v>0</v>
      </c>
    </row>
    <row r="495" spans="1:38" x14ac:dyDescent="0.3">
      <c r="A495" t="s">
        <v>563</v>
      </c>
      <c r="B495">
        <v>32</v>
      </c>
      <c r="C495" t="s">
        <v>189</v>
      </c>
      <c r="D495" t="s">
        <v>48</v>
      </c>
      <c r="E495">
        <f t="shared" si="7"/>
        <v>0</v>
      </c>
      <c r="F495" t="s">
        <v>40</v>
      </c>
      <c r="G495">
        <v>604</v>
      </c>
      <c r="H495" t="s">
        <v>50</v>
      </c>
      <c r="I495">
        <v>8</v>
      </c>
      <c r="J495">
        <v>3</v>
      </c>
      <c r="K495" t="s">
        <v>51</v>
      </c>
      <c r="L495">
        <v>1</v>
      </c>
      <c r="M495">
        <v>1304</v>
      </c>
      <c r="N495">
        <v>3</v>
      </c>
      <c r="O495" t="s">
        <v>43</v>
      </c>
      <c r="P495">
        <v>56</v>
      </c>
      <c r="Q495">
        <v>4</v>
      </c>
      <c r="R495">
        <v>2</v>
      </c>
      <c r="S495" t="s">
        <v>136</v>
      </c>
      <c r="T495">
        <v>4</v>
      </c>
      <c r="U495" t="s">
        <v>104</v>
      </c>
      <c r="V495">
        <v>6209</v>
      </c>
      <c r="W495" t="s">
        <v>162</v>
      </c>
      <c r="X495">
        <v>11693</v>
      </c>
      <c r="Y495">
        <v>1</v>
      </c>
      <c r="Z495" t="s">
        <v>47</v>
      </c>
      <c r="AA495" t="s">
        <v>48</v>
      </c>
      <c r="AB495">
        <v>15</v>
      </c>
      <c r="AC495">
        <v>3</v>
      </c>
      <c r="AD495">
        <v>3</v>
      </c>
      <c r="AE495">
        <v>80</v>
      </c>
      <c r="AF495">
        <v>2</v>
      </c>
      <c r="AG495">
        <v>10</v>
      </c>
      <c r="AH495">
        <v>4</v>
      </c>
      <c r="AI495">
        <v>4</v>
      </c>
      <c r="AJ495">
        <v>10</v>
      </c>
      <c r="AK495">
        <v>7</v>
      </c>
      <c r="AL495">
        <v>0</v>
      </c>
    </row>
    <row r="496" spans="1:38" x14ac:dyDescent="0.3">
      <c r="A496" t="s">
        <v>564</v>
      </c>
      <c r="B496">
        <v>32</v>
      </c>
      <c r="C496" t="s">
        <v>189</v>
      </c>
      <c r="D496" t="s">
        <v>39</v>
      </c>
      <c r="E496">
        <f t="shared" si="7"/>
        <v>1</v>
      </c>
      <c r="F496" t="s">
        <v>40</v>
      </c>
      <c r="G496">
        <v>1089</v>
      </c>
      <c r="H496" t="s">
        <v>41</v>
      </c>
      <c r="I496">
        <v>7</v>
      </c>
      <c r="J496">
        <v>2</v>
      </c>
      <c r="K496" t="s">
        <v>42</v>
      </c>
      <c r="L496">
        <v>1</v>
      </c>
      <c r="M496">
        <v>1309</v>
      </c>
      <c r="N496">
        <v>4</v>
      </c>
      <c r="O496" t="s">
        <v>43</v>
      </c>
      <c r="P496">
        <v>79</v>
      </c>
      <c r="Q496">
        <v>3</v>
      </c>
      <c r="R496">
        <v>2</v>
      </c>
      <c r="S496" t="s">
        <v>44</v>
      </c>
      <c r="T496">
        <v>3</v>
      </c>
      <c r="U496" t="s">
        <v>104</v>
      </c>
      <c r="V496">
        <v>4883</v>
      </c>
      <c r="W496" t="s">
        <v>46</v>
      </c>
      <c r="X496">
        <v>22845</v>
      </c>
      <c r="Y496">
        <v>1</v>
      </c>
      <c r="Z496" t="s">
        <v>47</v>
      </c>
      <c r="AA496" t="s">
        <v>48</v>
      </c>
      <c r="AB496">
        <v>18</v>
      </c>
      <c r="AC496">
        <v>3</v>
      </c>
      <c r="AD496">
        <v>1</v>
      </c>
      <c r="AE496">
        <v>80</v>
      </c>
      <c r="AF496">
        <v>1</v>
      </c>
      <c r="AG496">
        <v>10</v>
      </c>
      <c r="AH496">
        <v>3</v>
      </c>
      <c r="AI496">
        <v>3</v>
      </c>
      <c r="AJ496">
        <v>10</v>
      </c>
      <c r="AK496">
        <v>4</v>
      </c>
      <c r="AL496">
        <v>1</v>
      </c>
    </row>
    <row r="497" spans="1:38" x14ac:dyDescent="0.3">
      <c r="A497" t="s">
        <v>565</v>
      </c>
      <c r="B497">
        <v>32</v>
      </c>
      <c r="C497" t="s">
        <v>189</v>
      </c>
      <c r="D497" t="s">
        <v>48</v>
      </c>
      <c r="E497">
        <f t="shared" si="7"/>
        <v>0</v>
      </c>
      <c r="F497" t="s">
        <v>40</v>
      </c>
      <c r="G497">
        <v>499</v>
      </c>
      <c r="H497" t="s">
        <v>50</v>
      </c>
      <c r="I497">
        <v>2</v>
      </c>
      <c r="J497">
        <v>1</v>
      </c>
      <c r="K497" t="s">
        <v>56</v>
      </c>
      <c r="L497">
        <v>1</v>
      </c>
      <c r="M497">
        <v>1396</v>
      </c>
      <c r="N497">
        <v>3</v>
      </c>
      <c r="O497" t="s">
        <v>43</v>
      </c>
      <c r="P497">
        <v>36</v>
      </c>
      <c r="Q497">
        <v>3</v>
      </c>
      <c r="R497">
        <v>2</v>
      </c>
      <c r="S497" t="s">
        <v>136</v>
      </c>
      <c r="T497">
        <v>2</v>
      </c>
      <c r="U497" t="s">
        <v>104</v>
      </c>
      <c r="V497">
        <v>4078</v>
      </c>
      <c r="W497" t="s">
        <v>46</v>
      </c>
      <c r="X497">
        <v>20497</v>
      </c>
      <c r="Y497">
        <v>0</v>
      </c>
      <c r="Z497" t="s">
        <v>47</v>
      </c>
      <c r="AA497" t="s">
        <v>39</v>
      </c>
      <c r="AB497">
        <v>13</v>
      </c>
      <c r="AC497">
        <v>3</v>
      </c>
      <c r="AD497">
        <v>1</v>
      </c>
      <c r="AE497">
        <v>80</v>
      </c>
      <c r="AF497">
        <v>3</v>
      </c>
      <c r="AG497">
        <v>4</v>
      </c>
      <c r="AH497">
        <v>3</v>
      </c>
      <c r="AI497">
        <v>2</v>
      </c>
      <c r="AJ497">
        <v>3</v>
      </c>
      <c r="AK497">
        <v>2</v>
      </c>
      <c r="AL497">
        <v>1</v>
      </c>
    </row>
    <row r="498" spans="1:38" x14ac:dyDescent="0.3">
      <c r="A498" t="s">
        <v>566</v>
      </c>
      <c r="B498">
        <v>32</v>
      </c>
      <c r="C498" t="s">
        <v>189</v>
      </c>
      <c r="D498" t="s">
        <v>48</v>
      </c>
      <c r="E498">
        <f t="shared" si="7"/>
        <v>0</v>
      </c>
      <c r="F498" t="s">
        <v>40</v>
      </c>
      <c r="G498">
        <v>601</v>
      </c>
      <c r="H498" t="s">
        <v>50</v>
      </c>
      <c r="I498">
        <v>7</v>
      </c>
      <c r="J498">
        <v>5</v>
      </c>
      <c r="K498" t="s">
        <v>56</v>
      </c>
      <c r="L498">
        <v>1</v>
      </c>
      <c r="M498">
        <v>1446</v>
      </c>
      <c r="N498">
        <v>4</v>
      </c>
      <c r="O498" t="s">
        <v>43</v>
      </c>
      <c r="P498">
        <v>97</v>
      </c>
      <c r="Q498">
        <v>3</v>
      </c>
      <c r="R498">
        <v>2</v>
      </c>
      <c r="S498" t="s">
        <v>136</v>
      </c>
      <c r="T498">
        <v>4</v>
      </c>
      <c r="U498" t="s">
        <v>104</v>
      </c>
      <c r="V498">
        <v>9204</v>
      </c>
      <c r="W498" t="s">
        <v>162</v>
      </c>
      <c r="X498">
        <v>23343</v>
      </c>
      <c r="Y498">
        <v>4</v>
      </c>
      <c r="Z498" t="s">
        <v>47</v>
      </c>
      <c r="AA498" t="s">
        <v>48</v>
      </c>
      <c r="AB498">
        <v>12</v>
      </c>
      <c r="AC498">
        <v>3</v>
      </c>
      <c r="AD498">
        <v>3</v>
      </c>
      <c r="AE498">
        <v>80</v>
      </c>
      <c r="AF498">
        <v>1</v>
      </c>
      <c r="AG498">
        <v>7</v>
      </c>
      <c r="AH498">
        <v>3</v>
      </c>
      <c r="AI498">
        <v>2</v>
      </c>
      <c r="AJ498">
        <v>4</v>
      </c>
      <c r="AK498">
        <v>3</v>
      </c>
      <c r="AL498">
        <v>0</v>
      </c>
    </row>
    <row r="499" spans="1:38" x14ac:dyDescent="0.3">
      <c r="A499" t="s">
        <v>567</v>
      </c>
      <c r="B499">
        <v>32</v>
      </c>
      <c r="C499" t="s">
        <v>189</v>
      </c>
      <c r="D499" t="s">
        <v>48</v>
      </c>
      <c r="E499">
        <f t="shared" si="7"/>
        <v>0</v>
      </c>
      <c r="F499" t="s">
        <v>40</v>
      </c>
      <c r="G499">
        <v>495</v>
      </c>
      <c r="H499" t="s">
        <v>41</v>
      </c>
      <c r="I499">
        <v>10</v>
      </c>
      <c r="J499">
        <v>3</v>
      </c>
      <c r="K499" t="s">
        <v>51</v>
      </c>
      <c r="L499">
        <v>1</v>
      </c>
      <c r="M499">
        <v>1516</v>
      </c>
      <c r="N499">
        <v>3</v>
      </c>
      <c r="O499" t="s">
        <v>43</v>
      </c>
      <c r="P499">
        <v>64</v>
      </c>
      <c r="Q499">
        <v>3</v>
      </c>
      <c r="R499">
        <v>3</v>
      </c>
      <c r="S499" t="s">
        <v>440</v>
      </c>
      <c r="T499">
        <v>4</v>
      </c>
      <c r="U499" t="s">
        <v>45</v>
      </c>
      <c r="V499">
        <v>11244</v>
      </c>
      <c r="W499" t="s">
        <v>252</v>
      </c>
      <c r="X499">
        <v>21072</v>
      </c>
      <c r="Y499">
        <v>2</v>
      </c>
      <c r="Z499" t="s">
        <v>47</v>
      </c>
      <c r="AA499" t="s">
        <v>48</v>
      </c>
      <c r="AB499">
        <v>25</v>
      </c>
      <c r="AC499">
        <v>4</v>
      </c>
      <c r="AD499">
        <v>2</v>
      </c>
      <c r="AE499">
        <v>80</v>
      </c>
      <c r="AF499">
        <v>0</v>
      </c>
      <c r="AG499">
        <v>10</v>
      </c>
      <c r="AH499">
        <v>5</v>
      </c>
      <c r="AI499">
        <v>4</v>
      </c>
      <c r="AJ499">
        <v>5</v>
      </c>
      <c r="AK499">
        <v>2</v>
      </c>
      <c r="AL499">
        <v>0</v>
      </c>
    </row>
    <row r="500" spans="1:38" x14ac:dyDescent="0.3">
      <c r="A500" t="s">
        <v>568</v>
      </c>
      <c r="B500">
        <v>32</v>
      </c>
      <c r="C500" t="s">
        <v>189</v>
      </c>
      <c r="D500" t="s">
        <v>48</v>
      </c>
      <c r="E500">
        <f t="shared" si="7"/>
        <v>0</v>
      </c>
      <c r="F500" t="s">
        <v>40</v>
      </c>
      <c r="G500">
        <v>824</v>
      </c>
      <c r="H500" t="s">
        <v>41</v>
      </c>
      <c r="I500">
        <v>5</v>
      </c>
      <c r="J500">
        <v>2</v>
      </c>
      <c r="K500" t="s">
        <v>42</v>
      </c>
      <c r="L500">
        <v>1</v>
      </c>
      <c r="M500">
        <v>1555</v>
      </c>
      <c r="N500">
        <v>4</v>
      </c>
      <c r="O500" t="s">
        <v>52</v>
      </c>
      <c r="P500">
        <v>67</v>
      </c>
      <c r="Q500">
        <v>2</v>
      </c>
      <c r="R500">
        <v>2</v>
      </c>
      <c r="S500" t="s">
        <v>59</v>
      </c>
      <c r="T500">
        <v>2</v>
      </c>
      <c r="U500" t="s">
        <v>104</v>
      </c>
      <c r="V500">
        <v>5878</v>
      </c>
      <c r="W500" t="s">
        <v>162</v>
      </c>
      <c r="X500">
        <v>15624</v>
      </c>
      <c r="Y500">
        <v>3</v>
      </c>
      <c r="Z500" t="s">
        <v>47</v>
      </c>
      <c r="AA500" t="s">
        <v>48</v>
      </c>
      <c r="AB500">
        <v>12</v>
      </c>
      <c r="AC500">
        <v>3</v>
      </c>
      <c r="AD500">
        <v>1</v>
      </c>
      <c r="AE500">
        <v>80</v>
      </c>
      <c r="AF500">
        <v>1</v>
      </c>
      <c r="AG500">
        <v>12</v>
      </c>
      <c r="AH500">
        <v>2</v>
      </c>
      <c r="AI500">
        <v>3</v>
      </c>
      <c r="AJ500">
        <v>7</v>
      </c>
      <c r="AK500">
        <v>1</v>
      </c>
      <c r="AL500">
        <v>2</v>
      </c>
    </row>
    <row r="501" spans="1:38" x14ac:dyDescent="0.3">
      <c r="A501" t="s">
        <v>569</v>
      </c>
      <c r="B501">
        <v>32</v>
      </c>
      <c r="C501" t="s">
        <v>189</v>
      </c>
      <c r="D501" t="s">
        <v>48</v>
      </c>
      <c r="E501">
        <f t="shared" si="7"/>
        <v>0</v>
      </c>
      <c r="F501" t="s">
        <v>58</v>
      </c>
      <c r="G501">
        <v>1200</v>
      </c>
      <c r="H501" t="s">
        <v>41</v>
      </c>
      <c r="I501">
        <v>1</v>
      </c>
      <c r="J501">
        <v>4</v>
      </c>
      <c r="K501" t="s">
        <v>67</v>
      </c>
      <c r="L501">
        <v>1</v>
      </c>
      <c r="M501">
        <v>1574</v>
      </c>
      <c r="N501">
        <v>4</v>
      </c>
      <c r="O501" t="s">
        <v>43</v>
      </c>
      <c r="P501">
        <v>62</v>
      </c>
      <c r="Q501">
        <v>3</v>
      </c>
      <c r="R501">
        <v>2</v>
      </c>
      <c r="S501" t="s">
        <v>59</v>
      </c>
      <c r="T501">
        <v>1</v>
      </c>
      <c r="U501" t="s">
        <v>104</v>
      </c>
      <c r="V501">
        <v>4087</v>
      </c>
      <c r="W501" t="s">
        <v>46</v>
      </c>
      <c r="X501">
        <v>25174</v>
      </c>
      <c r="Y501">
        <v>4</v>
      </c>
      <c r="Z501" t="s">
        <v>47</v>
      </c>
      <c r="AA501" t="s">
        <v>48</v>
      </c>
      <c r="AB501">
        <v>14</v>
      </c>
      <c r="AC501">
        <v>3</v>
      </c>
      <c r="AD501">
        <v>2</v>
      </c>
      <c r="AE501">
        <v>80</v>
      </c>
      <c r="AF501">
        <v>1</v>
      </c>
      <c r="AG501">
        <v>9</v>
      </c>
      <c r="AH501">
        <v>3</v>
      </c>
      <c r="AI501">
        <v>2</v>
      </c>
      <c r="AJ501">
        <v>6</v>
      </c>
      <c r="AK501">
        <v>5</v>
      </c>
      <c r="AL501">
        <v>1</v>
      </c>
    </row>
    <row r="502" spans="1:38" x14ac:dyDescent="0.3">
      <c r="A502" t="s">
        <v>570</v>
      </c>
      <c r="B502">
        <v>32</v>
      </c>
      <c r="C502" t="s">
        <v>189</v>
      </c>
      <c r="D502" t="s">
        <v>48</v>
      </c>
      <c r="E502">
        <f t="shared" si="7"/>
        <v>0</v>
      </c>
      <c r="F502" t="s">
        <v>40</v>
      </c>
      <c r="G502">
        <v>634</v>
      </c>
      <c r="H502" t="s">
        <v>41</v>
      </c>
      <c r="I502">
        <v>5</v>
      </c>
      <c r="J502">
        <v>4</v>
      </c>
      <c r="K502" t="s">
        <v>72</v>
      </c>
      <c r="L502">
        <v>1</v>
      </c>
      <c r="M502">
        <v>1607</v>
      </c>
      <c r="N502">
        <v>2</v>
      </c>
      <c r="O502" t="s">
        <v>52</v>
      </c>
      <c r="P502">
        <v>35</v>
      </c>
      <c r="Q502">
        <v>4</v>
      </c>
      <c r="R502">
        <v>1</v>
      </c>
      <c r="S502" t="s">
        <v>59</v>
      </c>
      <c r="T502">
        <v>4</v>
      </c>
      <c r="U502" t="s">
        <v>104</v>
      </c>
      <c r="V502">
        <v>3312</v>
      </c>
      <c r="W502" t="s">
        <v>46</v>
      </c>
      <c r="X502">
        <v>18783</v>
      </c>
      <c r="Y502">
        <v>3</v>
      </c>
      <c r="Z502" t="s">
        <v>47</v>
      </c>
      <c r="AA502" t="s">
        <v>48</v>
      </c>
      <c r="AB502">
        <v>17</v>
      </c>
      <c r="AC502">
        <v>3</v>
      </c>
      <c r="AD502">
        <v>4</v>
      </c>
      <c r="AE502">
        <v>80</v>
      </c>
      <c r="AF502">
        <v>2</v>
      </c>
      <c r="AG502">
        <v>6</v>
      </c>
      <c r="AH502">
        <v>3</v>
      </c>
      <c r="AI502">
        <v>3</v>
      </c>
      <c r="AJ502">
        <v>3</v>
      </c>
      <c r="AK502">
        <v>2</v>
      </c>
      <c r="AL502">
        <v>0</v>
      </c>
    </row>
    <row r="503" spans="1:38" x14ac:dyDescent="0.3">
      <c r="A503" t="s">
        <v>571</v>
      </c>
      <c r="B503">
        <v>32</v>
      </c>
      <c r="C503" t="s">
        <v>189</v>
      </c>
      <c r="D503" t="s">
        <v>48</v>
      </c>
      <c r="E503">
        <f t="shared" si="7"/>
        <v>0</v>
      </c>
      <c r="F503" t="s">
        <v>40</v>
      </c>
      <c r="G503">
        <v>977</v>
      </c>
      <c r="H503" t="s">
        <v>41</v>
      </c>
      <c r="I503">
        <v>2</v>
      </c>
      <c r="J503">
        <v>3</v>
      </c>
      <c r="K503" t="s">
        <v>51</v>
      </c>
      <c r="L503">
        <v>1</v>
      </c>
      <c r="M503">
        <v>1671</v>
      </c>
      <c r="N503">
        <v>4</v>
      </c>
      <c r="O503" t="s">
        <v>43</v>
      </c>
      <c r="P503">
        <v>45</v>
      </c>
      <c r="Q503">
        <v>3</v>
      </c>
      <c r="R503">
        <v>2</v>
      </c>
      <c r="S503" t="s">
        <v>59</v>
      </c>
      <c r="T503">
        <v>2</v>
      </c>
      <c r="U503" t="s">
        <v>101</v>
      </c>
      <c r="V503">
        <v>5470</v>
      </c>
      <c r="W503" t="s">
        <v>162</v>
      </c>
      <c r="X503">
        <v>25518</v>
      </c>
      <c r="Y503">
        <v>0</v>
      </c>
      <c r="Z503" t="s">
        <v>47</v>
      </c>
      <c r="AA503" t="s">
        <v>48</v>
      </c>
      <c r="AB503">
        <v>13</v>
      </c>
      <c r="AC503">
        <v>3</v>
      </c>
      <c r="AD503">
        <v>3</v>
      </c>
      <c r="AE503">
        <v>80</v>
      </c>
      <c r="AF503">
        <v>2</v>
      </c>
      <c r="AG503">
        <v>10</v>
      </c>
      <c r="AH503">
        <v>4</v>
      </c>
      <c r="AI503">
        <v>2</v>
      </c>
      <c r="AJ503">
        <v>9</v>
      </c>
      <c r="AK503">
        <v>5</v>
      </c>
      <c r="AL503">
        <v>1</v>
      </c>
    </row>
    <row r="504" spans="1:38" x14ac:dyDescent="0.3">
      <c r="A504" t="s">
        <v>572</v>
      </c>
      <c r="B504">
        <v>32</v>
      </c>
      <c r="C504" t="s">
        <v>189</v>
      </c>
      <c r="D504" t="s">
        <v>39</v>
      </c>
      <c r="E504">
        <f t="shared" si="7"/>
        <v>1</v>
      </c>
      <c r="F504" t="s">
        <v>40</v>
      </c>
      <c r="G504">
        <v>1259</v>
      </c>
      <c r="H504" t="s">
        <v>41</v>
      </c>
      <c r="I504">
        <v>2</v>
      </c>
      <c r="J504">
        <v>4</v>
      </c>
      <c r="K504" t="s">
        <v>42</v>
      </c>
      <c r="L504">
        <v>1</v>
      </c>
      <c r="M504">
        <v>1692</v>
      </c>
      <c r="N504">
        <v>4</v>
      </c>
      <c r="O504" t="s">
        <v>43</v>
      </c>
      <c r="P504">
        <v>95</v>
      </c>
      <c r="Q504">
        <v>3</v>
      </c>
      <c r="R504">
        <v>1</v>
      </c>
      <c r="S504" t="s">
        <v>44</v>
      </c>
      <c r="T504">
        <v>2</v>
      </c>
      <c r="U504" t="s">
        <v>45</v>
      </c>
      <c r="V504">
        <v>1393</v>
      </c>
      <c r="W504" t="s">
        <v>46</v>
      </c>
      <c r="X504">
        <v>24852</v>
      </c>
      <c r="Y504">
        <v>1</v>
      </c>
      <c r="Z504" t="s">
        <v>47</v>
      </c>
      <c r="AA504" t="s">
        <v>48</v>
      </c>
      <c r="AB504">
        <v>12</v>
      </c>
      <c r="AC504">
        <v>3</v>
      </c>
      <c r="AD504">
        <v>1</v>
      </c>
      <c r="AE504">
        <v>80</v>
      </c>
      <c r="AF504">
        <v>0</v>
      </c>
      <c r="AG504">
        <v>1</v>
      </c>
      <c r="AH504">
        <v>2</v>
      </c>
      <c r="AI504">
        <v>3</v>
      </c>
      <c r="AJ504">
        <v>1</v>
      </c>
      <c r="AK504">
        <v>0</v>
      </c>
      <c r="AL504">
        <v>0</v>
      </c>
    </row>
    <row r="505" spans="1:38" x14ac:dyDescent="0.3">
      <c r="A505" t="s">
        <v>573</v>
      </c>
      <c r="B505">
        <v>32</v>
      </c>
      <c r="C505" t="s">
        <v>189</v>
      </c>
      <c r="D505" t="s">
        <v>48</v>
      </c>
      <c r="E505">
        <f t="shared" si="7"/>
        <v>0</v>
      </c>
      <c r="F505" t="s">
        <v>55</v>
      </c>
      <c r="G505">
        <v>585</v>
      </c>
      <c r="H505" t="s">
        <v>41</v>
      </c>
      <c r="I505">
        <v>10</v>
      </c>
      <c r="J505">
        <v>3</v>
      </c>
      <c r="K505" t="s">
        <v>42</v>
      </c>
      <c r="L505">
        <v>1</v>
      </c>
      <c r="M505">
        <v>1720</v>
      </c>
      <c r="N505">
        <v>1</v>
      </c>
      <c r="O505" t="s">
        <v>43</v>
      </c>
      <c r="P505">
        <v>56</v>
      </c>
      <c r="Q505">
        <v>3</v>
      </c>
      <c r="R505">
        <v>1</v>
      </c>
      <c r="S505" t="s">
        <v>59</v>
      </c>
      <c r="T505">
        <v>3</v>
      </c>
      <c r="U505" t="s">
        <v>104</v>
      </c>
      <c r="V505">
        <v>3433</v>
      </c>
      <c r="W505" t="s">
        <v>46</v>
      </c>
      <c r="X505">
        <v>17360</v>
      </c>
      <c r="Y505">
        <v>6</v>
      </c>
      <c r="Z505" t="s">
        <v>47</v>
      </c>
      <c r="AA505" t="s">
        <v>48</v>
      </c>
      <c r="AB505">
        <v>13</v>
      </c>
      <c r="AC505">
        <v>3</v>
      </c>
      <c r="AD505">
        <v>1</v>
      </c>
      <c r="AE505">
        <v>80</v>
      </c>
      <c r="AF505">
        <v>1</v>
      </c>
      <c r="AG505">
        <v>10</v>
      </c>
      <c r="AH505">
        <v>3</v>
      </c>
      <c r="AI505">
        <v>2</v>
      </c>
      <c r="AJ505">
        <v>5</v>
      </c>
      <c r="AK505">
        <v>2</v>
      </c>
      <c r="AL505">
        <v>1</v>
      </c>
    </row>
    <row r="506" spans="1:38" x14ac:dyDescent="0.3">
      <c r="A506" t="s">
        <v>574</v>
      </c>
      <c r="B506">
        <v>32</v>
      </c>
      <c r="C506" t="s">
        <v>189</v>
      </c>
      <c r="D506" t="s">
        <v>39</v>
      </c>
      <c r="E506">
        <f t="shared" si="7"/>
        <v>1</v>
      </c>
      <c r="F506" t="s">
        <v>40</v>
      </c>
      <c r="G506">
        <v>964</v>
      </c>
      <c r="H506" t="s">
        <v>50</v>
      </c>
      <c r="I506">
        <v>1</v>
      </c>
      <c r="J506">
        <v>2</v>
      </c>
      <c r="K506" t="s">
        <v>42</v>
      </c>
      <c r="L506">
        <v>1</v>
      </c>
      <c r="M506">
        <v>1734</v>
      </c>
      <c r="N506">
        <v>1</v>
      </c>
      <c r="O506" t="s">
        <v>43</v>
      </c>
      <c r="P506">
        <v>34</v>
      </c>
      <c r="Q506">
        <v>1</v>
      </c>
      <c r="R506">
        <v>2</v>
      </c>
      <c r="S506" t="s">
        <v>136</v>
      </c>
      <c r="T506">
        <v>2</v>
      </c>
      <c r="U506" t="s">
        <v>45</v>
      </c>
      <c r="V506">
        <v>6735</v>
      </c>
      <c r="W506" t="s">
        <v>162</v>
      </c>
      <c r="X506">
        <v>12147</v>
      </c>
      <c r="Y506">
        <v>6</v>
      </c>
      <c r="Z506" t="s">
        <v>47</v>
      </c>
      <c r="AA506" t="s">
        <v>48</v>
      </c>
      <c r="AB506">
        <v>15</v>
      </c>
      <c r="AC506">
        <v>3</v>
      </c>
      <c r="AD506">
        <v>2</v>
      </c>
      <c r="AE506">
        <v>80</v>
      </c>
      <c r="AF506">
        <v>0</v>
      </c>
      <c r="AG506">
        <v>10</v>
      </c>
      <c r="AH506">
        <v>2</v>
      </c>
      <c r="AI506">
        <v>3</v>
      </c>
      <c r="AJ506">
        <v>0</v>
      </c>
      <c r="AK506">
        <v>0</v>
      </c>
      <c r="AL506">
        <v>0</v>
      </c>
    </row>
    <row r="507" spans="1:38" x14ac:dyDescent="0.3">
      <c r="A507" t="s">
        <v>575</v>
      </c>
      <c r="B507">
        <v>32</v>
      </c>
      <c r="C507" t="s">
        <v>189</v>
      </c>
      <c r="D507" t="s">
        <v>48</v>
      </c>
      <c r="E507">
        <f t="shared" si="7"/>
        <v>0</v>
      </c>
      <c r="F507" t="s">
        <v>40</v>
      </c>
      <c r="G507">
        <v>371</v>
      </c>
      <c r="H507" t="s">
        <v>50</v>
      </c>
      <c r="I507">
        <v>19</v>
      </c>
      <c r="J507">
        <v>3</v>
      </c>
      <c r="K507" t="s">
        <v>42</v>
      </c>
      <c r="L507">
        <v>1</v>
      </c>
      <c r="M507">
        <v>1739</v>
      </c>
      <c r="N507">
        <v>4</v>
      </c>
      <c r="O507" t="s">
        <v>43</v>
      </c>
      <c r="P507">
        <v>80</v>
      </c>
      <c r="Q507">
        <v>1</v>
      </c>
      <c r="R507">
        <v>3</v>
      </c>
      <c r="S507" t="s">
        <v>136</v>
      </c>
      <c r="T507">
        <v>3</v>
      </c>
      <c r="U507" t="s">
        <v>104</v>
      </c>
      <c r="V507">
        <v>9610</v>
      </c>
      <c r="W507" t="s">
        <v>162</v>
      </c>
      <c r="X507">
        <v>3840</v>
      </c>
      <c r="Y507">
        <v>3</v>
      </c>
      <c r="Z507" t="s">
        <v>47</v>
      </c>
      <c r="AA507" t="s">
        <v>48</v>
      </c>
      <c r="AB507">
        <v>13</v>
      </c>
      <c r="AC507">
        <v>3</v>
      </c>
      <c r="AD507">
        <v>3</v>
      </c>
      <c r="AE507">
        <v>80</v>
      </c>
      <c r="AF507">
        <v>1</v>
      </c>
      <c r="AG507">
        <v>10</v>
      </c>
      <c r="AH507">
        <v>2</v>
      </c>
      <c r="AI507">
        <v>1</v>
      </c>
      <c r="AJ507">
        <v>4</v>
      </c>
      <c r="AK507">
        <v>3</v>
      </c>
      <c r="AL507">
        <v>0</v>
      </c>
    </row>
    <row r="508" spans="1:38" x14ac:dyDescent="0.3">
      <c r="A508" t="s">
        <v>576</v>
      </c>
      <c r="B508">
        <v>32</v>
      </c>
      <c r="C508" t="s">
        <v>189</v>
      </c>
      <c r="D508" t="s">
        <v>48</v>
      </c>
      <c r="E508">
        <f t="shared" si="7"/>
        <v>0</v>
      </c>
      <c r="F508" t="s">
        <v>58</v>
      </c>
      <c r="G508">
        <v>953</v>
      </c>
      <c r="H508" t="s">
        <v>41</v>
      </c>
      <c r="I508">
        <v>5</v>
      </c>
      <c r="J508">
        <v>4</v>
      </c>
      <c r="K508" t="s">
        <v>67</v>
      </c>
      <c r="L508">
        <v>1</v>
      </c>
      <c r="M508">
        <v>1764</v>
      </c>
      <c r="N508">
        <v>2</v>
      </c>
      <c r="O508" t="s">
        <v>43</v>
      </c>
      <c r="P508">
        <v>65</v>
      </c>
      <c r="Q508">
        <v>3</v>
      </c>
      <c r="R508">
        <v>1</v>
      </c>
      <c r="S508" t="s">
        <v>59</v>
      </c>
      <c r="T508">
        <v>2</v>
      </c>
      <c r="U508" t="s">
        <v>45</v>
      </c>
      <c r="V508">
        <v>2718</v>
      </c>
      <c r="W508" t="s">
        <v>46</v>
      </c>
      <c r="X508">
        <v>17674</v>
      </c>
      <c r="Y508">
        <v>2</v>
      </c>
      <c r="Z508" t="s">
        <v>47</v>
      </c>
      <c r="AA508" t="s">
        <v>48</v>
      </c>
      <c r="AB508">
        <v>14</v>
      </c>
      <c r="AC508">
        <v>3</v>
      </c>
      <c r="AD508">
        <v>2</v>
      </c>
      <c r="AE508">
        <v>80</v>
      </c>
      <c r="AF508">
        <v>0</v>
      </c>
      <c r="AG508">
        <v>12</v>
      </c>
      <c r="AH508">
        <v>3</v>
      </c>
      <c r="AI508">
        <v>3</v>
      </c>
      <c r="AJ508">
        <v>7</v>
      </c>
      <c r="AK508">
        <v>7</v>
      </c>
      <c r="AL508">
        <v>0</v>
      </c>
    </row>
    <row r="509" spans="1:38" x14ac:dyDescent="0.3">
      <c r="A509" t="s">
        <v>577</v>
      </c>
      <c r="B509">
        <v>32</v>
      </c>
      <c r="C509" t="s">
        <v>189</v>
      </c>
      <c r="D509" t="s">
        <v>48</v>
      </c>
      <c r="E509">
        <f t="shared" si="7"/>
        <v>0</v>
      </c>
      <c r="F509" t="s">
        <v>55</v>
      </c>
      <c r="G509">
        <v>1318</v>
      </c>
      <c r="H509" t="s">
        <v>50</v>
      </c>
      <c r="I509">
        <v>10</v>
      </c>
      <c r="J509">
        <v>4</v>
      </c>
      <c r="K509" t="s">
        <v>56</v>
      </c>
      <c r="L509">
        <v>1</v>
      </c>
      <c r="M509">
        <v>1853</v>
      </c>
      <c r="N509">
        <v>4</v>
      </c>
      <c r="O509" t="s">
        <v>43</v>
      </c>
      <c r="P509">
        <v>79</v>
      </c>
      <c r="Q509">
        <v>3</v>
      </c>
      <c r="R509">
        <v>2</v>
      </c>
      <c r="S509" t="s">
        <v>136</v>
      </c>
      <c r="T509">
        <v>4</v>
      </c>
      <c r="U509" t="s">
        <v>45</v>
      </c>
      <c r="V509">
        <v>4648</v>
      </c>
      <c r="W509" t="s">
        <v>46</v>
      </c>
      <c r="X509">
        <v>26075</v>
      </c>
      <c r="Y509">
        <v>8</v>
      </c>
      <c r="Z509" t="s">
        <v>47</v>
      </c>
      <c r="AA509" t="s">
        <v>48</v>
      </c>
      <c r="AB509">
        <v>13</v>
      </c>
      <c r="AC509">
        <v>3</v>
      </c>
      <c r="AD509">
        <v>3</v>
      </c>
      <c r="AE509">
        <v>80</v>
      </c>
      <c r="AF509">
        <v>0</v>
      </c>
      <c r="AG509">
        <v>4</v>
      </c>
      <c r="AH509">
        <v>2</v>
      </c>
      <c r="AI509">
        <v>4</v>
      </c>
      <c r="AJ509">
        <v>0</v>
      </c>
      <c r="AK509">
        <v>0</v>
      </c>
      <c r="AL509">
        <v>0</v>
      </c>
    </row>
    <row r="510" spans="1:38" x14ac:dyDescent="0.3">
      <c r="A510" t="s">
        <v>578</v>
      </c>
      <c r="B510">
        <v>32</v>
      </c>
      <c r="C510" t="s">
        <v>189</v>
      </c>
      <c r="D510" t="s">
        <v>39</v>
      </c>
      <c r="E510">
        <f t="shared" si="7"/>
        <v>1</v>
      </c>
      <c r="F510" t="s">
        <v>40</v>
      </c>
      <c r="G510">
        <v>414</v>
      </c>
      <c r="H510" t="s">
        <v>50</v>
      </c>
      <c r="I510">
        <v>2</v>
      </c>
      <c r="J510">
        <v>4</v>
      </c>
      <c r="K510" t="s">
        <v>56</v>
      </c>
      <c r="L510">
        <v>1</v>
      </c>
      <c r="M510">
        <v>1862</v>
      </c>
      <c r="N510">
        <v>3</v>
      </c>
      <c r="O510" t="s">
        <v>43</v>
      </c>
      <c r="P510">
        <v>82</v>
      </c>
      <c r="Q510">
        <v>2</v>
      </c>
      <c r="R510">
        <v>2</v>
      </c>
      <c r="S510" t="s">
        <v>136</v>
      </c>
      <c r="T510">
        <v>2</v>
      </c>
      <c r="U510" t="s">
        <v>45</v>
      </c>
      <c r="V510">
        <v>9907</v>
      </c>
      <c r="W510" t="s">
        <v>162</v>
      </c>
      <c r="X510">
        <v>26186</v>
      </c>
      <c r="Y510">
        <v>7</v>
      </c>
      <c r="Z510" t="s">
        <v>47</v>
      </c>
      <c r="AA510" t="s">
        <v>39</v>
      </c>
      <c r="AB510">
        <v>12</v>
      </c>
      <c r="AC510">
        <v>3</v>
      </c>
      <c r="AD510">
        <v>3</v>
      </c>
      <c r="AE510">
        <v>80</v>
      </c>
      <c r="AF510">
        <v>0</v>
      </c>
      <c r="AG510">
        <v>7</v>
      </c>
      <c r="AH510">
        <v>3</v>
      </c>
      <c r="AI510">
        <v>2</v>
      </c>
      <c r="AJ510">
        <v>2</v>
      </c>
      <c r="AK510">
        <v>2</v>
      </c>
      <c r="AL510">
        <v>2</v>
      </c>
    </row>
    <row r="511" spans="1:38" x14ac:dyDescent="0.3">
      <c r="A511" t="s">
        <v>579</v>
      </c>
      <c r="B511">
        <v>32</v>
      </c>
      <c r="C511" t="s">
        <v>189</v>
      </c>
      <c r="D511" t="s">
        <v>39</v>
      </c>
      <c r="E511">
        <f t="shared" si="7"/>
        <v>1</v>
      </c>
      <c r="F511" t="s">
        <v>55</v>
      </c>
      <c r="G511">
        <v>238</v>
      </c>
      <c r="H511" t="s">
        <v>41</v>
      </c>
      <c r="I511">
        <v>5</v>
      </c>
      <c r="J511">
        <v>2</v>
      </c>
      <c r="K511" t="s">
        <v>42</v>
      </c>
      <c r="L511">
        <v>1</v>
      </c>
      <c r="M511">
        <v>1939</v>
      </c>
      <c r="N511">
        <v>1</v>
      </c>
      <c r="O511" t="s">
        <v>52</v>
      </c>
      <c r="P511">
        <v>47</v>
      </c>
      <c r="Q511">
        <v>4</v>
      </c>
      <c r="R511">
        <v>1</v>
      </c>
      <c r="S511" t="s">
        <v>59</v>
      </c>
      <c r="T511">
        <v>3</v>
      </c>
      <c r="U511" t="s">
        <v>45</v>
      </c>
      <c r="V511">
        <v>2432</v>
      </c>
      <c r="W511" t="s">
        <v>46</v>
      </c>
      <c r="X511">
        <v>15318</v>
      </c>
      <c r="Y511">
        <v>3</v>
      </c>
      <c r="Z511" t="s">
        <v>47</v>
      </c>
      <c r="AA511" t="s">
        <v>39</v>
      </c>
      <c r="AB511">
        <v>14</v>
      </c>
      <c r="AC511">
        <v>3</v>
      </c>
      <c r="AD511">
        <v>1</v>
      </c>
      <c r="AE511">
        <v>80</v>
      </c>
      <c r="AF511">
        <v>0</v>
      </c>
      <c r="AG511">
        <v>8</v>
      </c>
      <c r="AH511">
        <v>2</v>
      </c>
      <c r="AI511">
        <v>3</v>
      </c>
      <c r="AJ511">
        <v>4</v>
      </c>
      <c r="AK511">
        <v>1</v>
      </c>
      <c r="AL511">
        <v>0</v>
      </c>
    </row>
    <row r="512" spans="1:38" x14ac:dyDescent="0.3">
      <c r="A512" t="s">
        <v>580</v>
      </c>
      <c r="B512">
        <v>32</v>
      </c>
      <c r="C512" t="s">
        <v>189</v>
      </c>
      <c r="D512" t="s">
        <v>48</v>
      </c>
      <c r="E512">
        <f t="shared" si="7"/>
        <v>0</v>
      </c>
      <c r="F512" t="s">
        <v>58</v>
      </c>
      <c r="G512">
        <v>1146</v>
      </c>
      <c r="H512" t="s">
        <v>41</v>
      </c>
      <c r="I512">
        <v>15</v>
      </c>
      <c r="J512">
        <v>4</v>
      </c>
      <c r="K512" t="s">
        <v>51</v>
      </c>
      <c r="L512">
        <v>1</v>
      </c>
      <c r="M512">
        <v>1955</v>
      </c>
      <c r="N512">
        <v>3</v>
      </c>
      <c r="O512" t="s">
        <v>52</v>
      </c>
      <c r="P512">
        <v>34</v>
      </c>
      <c r="Q512">
        <v>3</v>
      </c>
      <c r="R512">
        <v>2</v>
      </c>
      <c r="S512" t="s">
        <v>160</v>
      </c>
      <c r="T512">
        <v>4</v>
      </c>
      <c r="U512" t="s">
        <v>101</v>
      </c>
      <c r="V512">
        <v>6667</v>
      </c>
      <c r="W512" t="s">
        <v>162</v>
      </c>
      <c r="X512">
        <v>16542</v>
      </c>
      <c r="Y512">
        <v>5</v>
      </c>
      <c r="Z512" t="s">
        <v>47</v>
      </c>
      <c r="AA512" t="s">
        <v>48</v>
      </c>
      <c r="AB512">
        <v>18</v>
      </c>
      <c r="AC512">
        <v>3</v>
      </c>
      <c r="AD512">
        <v>2</v>
      </c>
      <c r="AE512">
        <v>80</v>
      </c>
      <c r="AF512">
        <v>1</v>
      </c>
      <c r="AG512">
        <v>9</v>
      </c>
      <c r="AH512">
        <v>6</v>
      </c>
      <c r="AI512">
        <v>3</v>
      </c>
      <c r="AJ512">
        <v>5</v>
      </c>
      <c r="AK512">
        <v>1</v>
      </c>
      <c r="AL512">
        <v>1</v>
      </c>
    </row>
    <row r="513" spans="1:38" x14ac:dyDescent="0.3">
      <c r="A513" t="s">
        <v>581</v>
      </c>
      <c r="B513">
        <v>32</v>
      </c>
      <c r="C513" t="s">
        <v>189</v>
      </c>
      <c r="D513" t="s">
        <v>48</v>
      </c>
      <c r="E513">
        <f t="shared" si="7"/>
        <v>0</v>
      </c>
      <c r="F513" t="s">
        <v>40</v>
      </c>
      <c r="G513">
        <v>1373</v>
      </c>
      <c r="H513" t="s">
        <v>41</v>
      </c>
      <c r="I513">
        <v>5</v>
      </c>
      <c r="J513">
        <v>4</v>
      </c>
      <c r="K513" t="s">
        <v>42</v>
      </c>
      <c r="L513">
        <v>1</v>
      </c>
      <c r="M513">
        <v>1966</v>
      </c>
      <c r="N513">
        <v>4</v>
      </c>
      <c r="O513" t="s">
        <v>43</v>
      </c>
      <c r="P513">
        <v>56</v>
      </c>
      <c r="Q513">
        <v>2</v>
      </c>
      <c r="R513">
        <v>2</v>
      </c>
      <c r="S513" t="s">
        <v>111</v>
      </c>
      <c r="T513">
        <v>4</v>
      </c>
      <c r="U513" t="s">
        <v>45</v>
      </c>
      <c r="V513">
        <v>9679</v>
      </c>
      <c r="W513" t="s">
        <v>162</v>
      </c>
      <c r="X513">
        <v>10138</v>
      </c>
      <c r="Y513">
        <v>8</v>
      </c>
      <c r="Z513" t="s">
        <v>47</v>
      </c>
      <c r="AA513" t="s">
        <v>48</v>
      </c>
      <c r="AB513">
        <v>24</v>
      </c>
      <c r="AC513">
        <v>4</v>
      </c>
      <c r="AD513">
        <v>2</v>
      </c>
      <c r="AE513">
        <v>80</v>
      </c>
      <c r="AF513">
        <v>0</v>
      </c>
      <c r="AG513">
        <v>8</v>
      </c>
      <c r="AH513">
        <v>1</v>
      </c>
      <c r="AI513">
        <v>3</v>
      </c>
      <c r="AJ513">
        <v>1</v>
      </c>
      <c r="AK513">
        <v>0</v>
      </c>
      <c r="AL513">
        <v>0</v>
      </c>
    </row>
    <row r="514" spans="1:38" x14ac:dyDescent="0.3">
      <c r="A514" t="s">
        <v>582</v>
      </c>
      <c r="B514">
        <v>32</v>
      </c>
      <c r="C514" t="s">
        <v>189</v>
      </c>
      <c r="D514" t="s">
        <v>48</v>
      </c>
      <c r="E514">
        <f t="shared" si="7"/>
        <v>0</v>
      </c>
      <c r="F514" t="s">
        <v>40</v>
      </c>
      <c r="G514">
        <v>267</v>
      </c>
      <c r="H514" t="s">
        <v>41</v>
      </c>
      <c r="I514">
        <v>29</v>
      </c>
      <c r="J514">
        <v>4</v>
      </c>
      <c r="K514" t="s">
        <v>42</v>
      </c>
      <c r="L514">
        <v>1</v>
      </c>
      <c r="M514">
        <v>2010</v>
      </c>
      <c r="N514">
        <v>3</v>
      </c>
      <c r="O514" t="s">
        <v>52</v>
      </c>
      <c r="P514">
        <v>49</v>
      </c>
      <c r="Q514">
        <v>2</v>
      </c>
      <c r="R514">
        <v>1</v>
      </c>
      <c r="S514" t="s">
        <v>44</v>
      </c>
      <c r="T514">
        <v>2</v>
      </c>
      <c r="U514" t="s">
        <v>45</v>
      </c>
      <c r="V514">
        <v>2837</v>
      </c>
      <c r="W514" t="s">
        <v>46</v>
      </c>
      <c r="X514">
        <v>15919</v>
      </c>
      <c r="Y514">
        <v>1</v>
      </c>
      <c r="Z514" t="s">
        <v>47</v>
      </c>
      <c r="AA514" t="s">
        <v>48</v>
      </c>
      <c r="AB514">
        <v>13</v>
      </c>
      <c r="AC514">
        <v>3</v>
      </c>
      <c r="AD514">
        <v>3</v>
      </c>
      <c r="AE514">
        <v>80</v>
      </c>
      <c r="AF514">
        <v>0</v>
      </c>
      <c r="AG514">
        <v>6</v>
      </c>
      <c r="AH514">
        <v>3</v>
      </c>
      <c r="AI514">
        <v>3</v>
      </c>
      <c r="AJ514">
        <v>6</v>
      </c>
      <c r="AK514">
        <v>2</v>
      </c>
      <c r="AL514">
        <v>4</v>
      </c>
    </row>
    <row r="515" spans="1:38" x14ac:dyDescent="0.3">
      <c r="A515" t="s">
        <v>583</v>
      </c>
      <c r="B515">
        <v>32</v>
      </c>
      <c r="C515" t="s">
        <v>189</v>
      </c>
      <c r="D515" t="s">
        <v>48</v>
      </c>
      <c r="E515">
        <f t="shared" ref="E515:E578" si="8">IF(D515="Yes",1,0)</f>
        <v>0</v>
      </c>
      <c r="F515" t="s">
        <v>40</v>
      </c>
      <c r="G515">
        <v>234</v>
      </c>
      <c r="H515" t="s">
        <v>50</v>
      </c>
      <c r="I515">
        <v>1</v>
      </c>
      <c r="J515">
        <v>4</v>
      </c>
      <c r="K515" t="s">
        <v>51</v>
      </c>
      <c r="L515">
        <v>1</v>
      </c>
      <c r="M515">
        <v>2013</v>
      </c>
      <c r="N515">
        <v>2</v>
      </c>
      <c r="O515" t="s">
        <v>43</v>
      </c>
      <c r="P515">
        <v>68</v>
      </c>
      <c r="Q515">
        <v>2</v>
      </c>
      <c r="R515">
        <v>1</v>
      </c>
      <c r="S515" t="s">
        <v>53</v>
      </c>
      <c r="T515">
        <v>2</v>
      </c>
      <c r="U515" t="s">
        <v>104</v>
      </c>
      <c r="V515">
        <v>2269</v>
      </c>
      <c r="W515" t="s">
        <v>46</v>
      </c>
      <c r="X515">
        <v>18024</v>
      </c>
      <c r="Y515">
        <v>0</v>
      </c>
      <c r="Z515" t="s">
        <v>47</v>
      </c>
      <c r="AA515" t="s">
        <v>48</v>
      </c>
      <c r="AB515">
        <v>14</v>
      </c>
      <c r="AC515">
        <v>3</v>
      </c>
      <c r="AD515">
        <v>2</v>
      </c>
      <c r="AE515">
        <v>80</v>
      </c>
      <c r="AF515">
        <v>1</v>
      </c>
      <c r="AG515">
        <v>3</v>
      </c>
      <c r="AH515">
        <v>2</v>
      </c>
      <c r="AI515">
        <v>3</v>
      </c>
      <c r="AJ515">
        <v>2</v>
      </c>
      <c r="AK515">
        <v>2</v>
      </c>
      <c r="AL515">
        <v>2</v>
      </c>
    </row>
    <row r="516" spans="1:38" x14ac:dyDescent="0.3">
      <c r="A516" t="s">
        <v>584</v>
      </c>
      <c r="B516">
        <v>32</v>
      </c>
      <c r="C516" t="s">
        <v>189</v>
      </c>
      <c r="D516" t="s">
        <v>48</v>
      </c>
      <c r="E516">
        <f t="shared" si="8"/>
        <v>0</v>
      </c>
      <c r="F516" t="s">
        <v>40</v>
      </c>
      <c r="G516">
        <v>801</v>
      </c>
      <c r="H516" t="s">
        <v>50</v>
      </c>
      <c r="I516">
        <v>1</v>
      </c>
      <c r="J516">
        <v>4</v>
      </c>
      <c r="K516" t="s">
        <v>56</v>
      </c>
      <c r="L516">
        <v>1</v>
      </c>
      <c r="M516">
        <v>2016</v>
      </c>
      <c r="N516">
        <v>3</v>
      </c>
      <c r="O516" t="s">
        <v>52</v>
      </c>
      <c r="P516">
        <v>48</v>
      </c>
      <c r="Q516">
        <v>3</v>
      </c>
      <c r="R516">
        <v>3</v>
      </c>
      <c r="S516" t="s">
        <v>136</v>
      </c>
      <c r="T516">
        <v>4</v>
      </c>
      <c r="U516" t="s">
        <v>104</v>
      </c>
      <c r="V516">
        <v>10422</v>
      </c>
      <c r="W516" t="s">
        <v>252</v>
      </c>
      <c r="X516">
        <v>24032</v>
      </c>
      <c r="Y516">
        <v>1</v>
      </c>
      <c r="Z516" t="s">
        <v>47</v>
      </c>
      <c r="AA516" t="s">
        <v>48</v>
      </c>
      <c r="AB516">
        <v>19</v>
      </c>
      <c r="AC516">
        <v>3</v>
      </c>
      <c r="AD516">
        <v>3</v>
      </c>
      <c r="AE516">
        <v>80</v>
      </c>
      <c r="AF516">
        <v>2</v>
      </c>
      <c r="AG516">
        <v>14</v>
      </c>
      <c r="AH516">
        <v>3</v>
      </c>
      <c r="AI516">
        <v>3</v>
      </c>
      <c r="AJ516">
        <v>14</v>
      </c>
      <c r="AK516">
        <v>10</v>
      </c>
      <c r="AL516">
        <v>5</v>
      </c>
    </row>
    <row r="517" spans="1:38" x14ac:dyDescent="0.3">
      <c r="A517" t="s">
        <v>585</v>
      </c>
      <c r="B517">
        <v>32</v>
      </c>
      <c r="C517" t="s">
        <v>189</v>
      </c>
      <c r="D517" t="s">
        <v>48</v>
      </c>
      <c r="E517">
        <f t="shared" si="8"/>
        <v>0</v>
      </c>
      <c r="F517" t="s">
        <v>40</v>
      </c>
      <c r="G517">
        <v>529</v>
      </c>
      <c r="H517" t="s">
        <v>41</v>
      </c>
      <c r="I517">
        <v>2</v>
      </c>
      <c r="J517">
        <v>3</v>
      </c>
      <c r="K517" t="s">
        <v>67</v>
      </c>
      <c r="L517">
        <v>1</v>
      </c>
      <c r="M517">
        <v>2038</v>
      </c>
      <c r="N517">
        <v>4</v>
      </c>
      <c r="O517" t="s">
        <v>43</v>
      </c>
      <c r="P517">
        <v>78</v>
      </c>
      <c r="Q517">
        <v>3</v>
      </c>
      <c r="R517">
        <v>1</v>
      </c>
      <c r="S517" t="s">
        <v>59</v>
      </c>
      <c r="T517">
        <v>1</v>
      </c>
      <c r="U517" t="s">
        <v>45</v>
      </c>
      <c r="V517">
        <v>2439</v>
      </c>
      <c r="W517" t="s">
        <v>46</v>
      </c>
      <c r="X517">
        <v>11288</v>
      </c>
      <c r="Y517">
        <v>1</v>
      </c>
      <c r="Z517" t="s">
        <v>47</v>
      </c>
      <c r="AA517" t="s">
        <v>48</v>
      </c>
      <c r="AB517">
        <v>14</v>
      </c>
      <c r="AC517">
        <v>3</v>
      </c>
      <c r="AD517">
        <v>4</v>
      </c>
      <c r="AE517">
        <v>80</v>
      </c>
      <c r="AF517">
        <v>0</v>
      </c>
      <c r="AG517">
        <v>4</v>
      </c>
      <c r="AH517">
        <v>4</v>
      </c>
      <c r="AI517">
        <v>3</v>
      </c>
      <c r="AJ517">
        <v>4</v>
      </c>
      <c r="AK517">
        <v>2</v>
      </c>
      <c r="AL517">
        <v>1</v>
      </c>
    </row>
    <row r="518" spans="1:38" x14ac:dyDescent="0.3">
      <c r="A518" t="s">
        <v>586</v>
      </c>
      <c r="B518">
        <v>33</v>
      </c>
      <c r="C518" t="s">
        <v>189</v>
      </c>
      <c r="D518" t="s">
        <v>48</v>
      </c>
      <c r="E518">
        <f t="shared" si="8"/>
        <v>0</v>
      </c>
      <c r="F518" t="s">
        <v>55</v>
      </c>
      <c r="G518">
        <v>1392</v>
      </c>
      <c r="H518" t="s">
        <v>41</v>
      </c>
      <c r="I518">
        <v>3</v>
      </c>
      <c r="J518">
        <v>4</v>
      </c>
      <c r="K518" t="s">
        <v>42</v>
      </c>
      <c r="L518">
        <v>1</v>
      </c>
      <c r="M518">
        <v>5</v>
      </c>
      <c r="N518">
        <v>4</v>
      </c>
      <c r="O518" t="s">
        <v>52</v>
      </c>
      <c r="P518">
        <v>56</v>
      </c>
      <c r="Q518">
        <v>3</v>
      </c>
      <c r="R518">
        <v>1</v>
      </c>
      <c r="S518" t="s">
        <v>59</v>
      </c>
      <c r="T518">
        <v>3</v>
      </c>
      <c r="U518" t="s">
        <v>104</v>
      </c>
      <c r="V518">
        <v>2909</v>
      </c>
      <c r="W518" t="s">
        <v>46</v>
      </c>
      <c r="X518">
        <v>23159</v>
      </c>
      <c r="Y518">
        <v>1</v>
      </c>
      <c r="Z518" t="s">
        <v>47</v>
      </c>
      <c r="AA518" t="s">
        <v>39</v>
      </c>
      <c r="AB518">
        <v>11</v>
      </c>
      <c r="AC518">
        <v>3</v>
      </c>
      <c r="AD518">
        <v>3</v>
      </c>
      <c r="AE518">
        <v>80</v>
      </c>
      <c r="AF518">
        <v>0</v>
      </c>
      <c r="AG518">
        <v>8</v>
      </c>
      <c r="AH518">
        <v>3</v>
      </c>
      <c r="AI518">
        <v>3</v>
      </c>
      <c r="AJ518">
        <v>8</v>
      </c>
      <c r="AK518">
        <v>7</v>
      </c>
      <c r="AL518">
        <v>3</v>
      </c>
    </row>
    <row r="519" spans="1:38" x14ac:dyDescent="0.3">
      <c r="A519" t="s">
        <v>587</v>
      </c>
      <c r="B519">
        <v>33</v>
      </c>
      <c r="C519" t="s">
        <v>189</v>
      </c>
      <c r="D519" t="s">
        <v>48</v>
      </c>
      <c r="E519">
        <f t="shared" si="8"/>
        <v>0</v>
      </c>
      <c r="F519" t="s">
        <v>40</v>
      </c>
      <c r="G519">
        <v>924</v>
      </c>
      <c r="H519" t="s">
        <v>41</v>
      </c>
      <c r="I519">
        <v>2</v>
      </c>
      <c r="J519">
        <v>3</v>
      </c>
      <c r="K519" t="s">
        <v>51</v>
      </c>
      <c r="L519">
        <v>1</v>
      </c>
      <c r="M519">
        <v>39</v>
      </c>
      <c r="N519">
        <v>3</v>
      </c>
      <c r="O519" t="s">
        <v>43</v>
      </c>
      <c r="P519">
        <v>78</v>
      </c>
      <c r="Q519">
        <v>3</v>
      </c>
      <c r="R519">
        <v>1</v>
      </c>
      <c r="S519" t="s">
        <v>44</v>
      </c>
      <c r="T519">
        <v>4</v>
      </c>
      <c r="U519" t="s">
        <v>45</v>
      </c>
      <c r="V519">
        <v>2496</v>
      </c>
      <c r="W519" t="s">
        <v>46</v>
      </c>
      <c r="X519">
        <v>6670</v>
      </c>
      <c r="Y519">
        <v>4</v>
      </c>
      <c r="Z519" t="s">
        <v>47</v>
      </c>
      <c r="AA519" t="s">
        <v>48</v>
      </c>
      <c r="AB519">
        <v>11</v>
      </c>
      <c r="AC519">
        <v>3</v>
      </c>
      <c r="AD519">
        <v>4</v>
      </c>
      <c r="AE519">
        <v>80</v>
      </c>
      <c r="AF519">
        <v>0</v>
      </c>
      <c r="AG519">
        <v>7</v>
      </c>
      <c r="AH519">
        <v>3</v>
      </c>
      <c r="AI519">
        <v>3</v>
      </c>
      <c r="AJ519">
        <v>1</v>
      </c>
      <c r="AK519">
        <v>1</v>
      </c>
      <c r="AL519">
        <v>0</v>
      </c>
    </row>
    <row r="520" spans="1:38" x14ac:dyDescent="0.3">
      <c r="A520" t="s">
        <v>588</v>
      </c>
      <c r="B520">
        <v>33</v>
      </c>
      <c r="C520" t="s">
        <v>189</v>
      </c>
      <c r="D520" t="s">
        <v>48</v>
      </c>
      <c r="E520">
        <f t="shared" si="8"/>
        <v>0</v>
      </c>
      <c r="F520" t="s">
        <v>55</v>
      </c>
      <c r="G520">
        <v>1141</v>
      </c>
      <c r="H520" t="s">
        <v>50</v>
      </c>
      <c r="I520">
        <v>1</v>
      </c>
      <c r="J520">
        <v>3</v>
      </c>
      <c r="K520" t="s">
        <v>42</v>
      </c>
      <c r="L520">
        <v>1</v>
      </c>
      <c r="M520">
        <v>52</v>
      </c>
      <c r="N520">
        <v>3</v>
      </c>
      <c r="O520" t="s">
        <v>52</v>
      </c>
      <c r="P520">
        <v>42</v>
      </c>
      <c r="Q520">
        <v>4</v>
      </c>
      <c r="R520">
        <v>2</v>
      </c>
      <c r="S520" t="s">
        <v>136</v>
      </c>
      <c r="T520">
        <v>1</v>
      </c>
      <c r="U520" t="s">
        <v>104</v>
      </c>
      <c r="V520">
        <v>5376</v>
      </c>
      <c r="W520" t="s">
        <v>162</v>
      </c>
      <c r="X520">
        <v>3193</v>
      </c>
      <c r="Y520">
        <v>2</v>
      </c>
      <c r="Z520" t="s">
        <v>47</v>
      </c>
      <c r="AA520" t="s">
        <v>48</v>
      </c>
      <c r="AB520">
        <v>19</v>
      </c>
      <c r="AC520">
        <v>3</v>
      </c>
      <c r="AD520">
        <v>1</v>
      </c>
      <c r="AE520">
        <v>80</v>
      </c>
      <c r="AF520">
        <v>2</v>
      </c>
      <c r="AG520">
        <v>10</v>
      </c>
      <c r="AH520">
        <v>3</v>
      </c>
      <c r="AI520">
        <v>3</v>
      </c>
      <c r="AJ520">
        <v>5</v>
      </c>
      <c r="AK520">
        <v>3</v>
      </c>
      <c r="AL520">
        <v>1</v>
      </c>
    </row>
    <row r="521" spans="1:38" x14ac:dyDescent="0.3">
      <c r="A521" t="s">
        <v>589</v>
      </c>
      <c r="B521">
        <v>33</v>
      </c>
      <c r="C521" t="s">
        <v>189</v>
      </c>
      <c r="D521" t="s">
        <v>48</v>
      </c>
      <c r="E521">
        <f t="shared" si="8"/>
        <v>0</v>
      </c>
      <c r="F521" t="s">
        <v>55</v>
      </c>
      <c r="G521">
        <v>515</v>
      </c>
      <c r="H521" t="s">
        <v>41</v>
      </c>
      <c r="I521">
        <v>1</v>
      </c>
      <c r="J521">
        <v>2</v>
      </c>
      <c r="K521" t="s">
        <v>42</v>
      </c>
      <c r="L521">
        <v>1</v>
      </c>
      <c r="M521">
        <v>73</v>
      </c>
      <c r="N521">
        <v>1</v>
      </c>
      <c r="O521" t="s">
        <v>52</v>
      </c>
      <c r="P521">
        <v>98</v>
      </c>
      <c r="Q521">
        <v>3</v>
      </c>
      <c r="R521">
        <v>3</v>
      </c>
      <c r="S521" t="s">
        <v>251</v>
      </c>
      <c r="T521">
        <v>4</v>
      </c>
      <c r="U521" t="s">
        <v>45</v>
      </c>
      <c r="V521">
        <v>13458</v>
      </c>
      <c r="W521" t="s">
        <v>252</v>
      </c>
      <c r="X521">
        <v>15146</v>
      </c>
      <c r="Y521">
        <v>1</v>
      </c>
      <c r="Z521" t="s">
        <v>47</v>
      </c>
      <c r="AA521" t="s">
        <v>39</v>
      </c>
      <c r="AB521">
        <v>12</v>
      </c>
      <c r="AC521">
        <v>3</v>
      </c>
      <c r="AD521">
        <v>3</v>
      </c>
      <c r="AE521">
        <v>80</v>
      </c>
      <c r="AF521">
        <v>0</v>
      </c>
      <c r="AG521">
        <v>15</v>
      </c>
      <c r="AH521">
        <v>1</v>
      </c>
      <c r="AI521">
        <v>3</v>
      </c>
      <c r="AJ521">
        <v>15</v>
      </c>
      <c r="AK521">
        <v>14</v>
      </c>
      <c r="AL521">
        <v>8</v>
      </c>
    </row>
    <row r="522" spans="1:38" x14ac:dyDescent="0.3">
      <c r="A522" t="s">
        <v>590</v>
      </c>
      <c r="B522">
        <v>33</v>
      </c>
      <c r="C522" t="s">
        <v>189</v>
      </c>
      <c r="D522" t="s">
        <v>48</v>
      </c>
      <c r="E522">
        <f t="shared" si="8"/>
        <v>0</v>
      </c>
      <c r="F522" t="s">
        <v>58</v>
      </c>
      <c r="G522">
        <v>750</v>
      </c>
      <c r="H522" t="s">
        <v>50</v>
      </c>
      <c r="I522">
        <v>22</v>
      </c>
      <c r="J522">
        <v>2</v>
      </c>
      <c r="K522" t="s">
        <v>56</v>
      </c>
      <c r="L522">
        <v>1</v>
      </c>
      <c r="M522">
        <v>160</v>
      </c>
      <c r="N522">
        <v>3</v>
      </c>
      <c r="O522" t="s">
        <v>43</v>
      </c>
      <c r="P522">
        <v>95</v>
      </c>
      <c r="Q522">
        <v>3</v>
      </c>
      <c r="R522">
        <v>2</v>
      </c>
      <c r="S522" t="s">
        <v>136</v>
      </c>
      <c r="T522">
        <v>2</v>
      </c>
      <c r="U522" t="s">
        <v>104</v>
      </c>
      <c r="V522">
        <v>6146</v>
      </c>
      <c r="W522" t="s">
        <v>162</v>
      </c>
      <c r="X522">
        <v>15480</v>
      </c>
      <c r="Y522">
        <v>0</v>
      </c>
      <c r="Z522" t="s">
        <v>47</v>
      </c>
      <c r="AA522" t="s">
        <v>48</v>
      </c>
      <c r="AB522">
        <v>13</v>
      </c>
      <c r="AC522">
        <v>3</v>
      </c>
      <c r="AD522">
        <v>1</v>
      </c>
      <c r="AE522">
        <v>80</v>
      </c>
      <c r="AF522">
        <v>1</v>
      </c>
      <c r="AG522">
        <v>8</v>
      </c>
      <c r="AH522">
        <v>2</v>
      </c>
      <c r="AI522">
        <v>4</v>
      </c>
      <c r="AJ522">
        <v>7</v>
      </c>
      <c r="AK522">
        <v>7</v>
      </c>
      <c r="AL522">
        <v>0</v>
      </c>
    </row>
    <row r="523" spans="1:38" x14ac:dyDescent="0.3">
      <c r="A523" t="s">
        <v>591</v>
      </c>
      <c r="B523">
        <v>33</v>
      </c>
      <c r="C523" t="s">
        <v>189</v>
      </c>
      <c r="D523" t="s">
        <v>48</v>
      </c>
      <c r="E523">
        <f t="shared" si="8"/>
        <v>0</v>
      </c>
      <c r="F523" t="s">
        <v>40</v>
      </c>
      <c r="G523">
        <v>134</v>
      </c>
      <c r="H523" t="s">
        <v>41</v>
      </c>
      <c r="I523">
        <v>2</v>
      </c>
      <c r="J523">
        <v>3</v>
      </c>
      <c r="K523" t="s">
        <v>42</v>
      </c>
      <c r="L523">
        <v>1</v>
      </c>
      <c r="M523">
        <v>242</v>
      </c>
      <c r="N523">
        <v>3</v>
      </c>
      <c r="O523" t="s">
        <v>43</v>
      </c>
      <c r="P523">
        <v>90</v>
      </c>
      <c r="Q523">
        <v>3</v>
      </c>
      <c r="R523">
        <v>1</v>
      </c>
      <c r="S523" t="s">
        <v>59</v>
      </c>
      <c r="T523">
        <v>4</v>
      </c>
      <c r="U523" t="s">
        <v>45</v>
      </c>
      <c r="V523">
        <v>2500</v>
      </c>
      <c r="W523" t="s">
        <v>46</v>
      </c>
      <c r="X523">
        <v>10515</v>
      </c>
      <c r="Y523">
        <v>0</v>
      </c>
      <c r="Z523" t="s">
        <v>47</v>
      </c>
      <c r="AA523" t="s">
        <v>48</v>
      </c>
      <c r="AB523">
        <v>14</v>
      </c>
      <c r="AC523">
        <v>3</v>
      </c>
      <c r="AD523">
        <v>1</v>
      </c>
      <c r="AE523">
        <v>80</v>
      </c>
      <c r="AF523">
        <v>0</v>
      </c>
      <c r="AG523">
        <v>4</v>
      </c>
      <c r="AH523">
        <v>2</v>
      </c>
      <c r="AI523">
        <v>4</v>
      </c>
      <c r="AJ523">
        <v>3</v>
      </c>
      <c r="AK523">
        <v>1</v>
      </c>
      <c r="AL523">
        <v>0</v>
      </c>
    </row>
    <row r="524" spans="1:38" x14ac:dyDescent="0.3">
      <c r="A524" t="s">
        <v>592</v>
      </c>
      <c r="B524">
        <v>33</v>
      </c>
      <c r="C524" t="s">
        <v>189</v>
      </c>
      <c r="D524" t="s">
        <v>48</v>
      </c>
      <c r="E524">
        <f t="shared" si="8"/>
        <v>0</v>
      </c>
      <c r="F524" t="s">
        <v>40</v>
      </c>
      <c r="G524">
        <v>931</v>
      </c>
      <c r="H524" t="s">
        <v>41</v>
      </c>
      <c r="I524">
        <v>14</v>
      </c>
      <c r="J524">
        <v>3</v>
      </c>
      <c r="K524" t="s">
        <v>51</v>
      </c>
      <c r="L524">
        <v>1</v>
      </c>
      <c r="M524">
        <v>252</v>
      </c>
      <c r="N524">
        <v>4</v>
      </c>
      <c r="O524" t="s">
        <v>52</v>
      </c>
      <c r="P524">
        <v>72</v>
      </c>
      <c r="Q524">
        <v>3</v>
      </c>
      <c r="R524">
        <v>1</v>
      </c>
      <c r="S524" t="s">
        <v>59</v>
      </c>
      <c r="T524">
        <v>2</v>
      </c>
      <c r="U524" t="s">
        <v>104</v>
      </c>
      <c r="V524">
        <v>2756</v>
      </c>
      <c r="W524" t="s">
        <v>46</v>
      </c>
      <c r="X524">
        <v>4673</v>
      </c>
      <c r="Y524">
        <v>1</v>
      </c>
      <c r="Z524" t="s">
        <v>47</v>
      </c>
      <c r="AA524" t="s">
        <v>48</v>
      </c>
      <c r="AB524">
        <v>13</v>
      </c>
      <c r="AC524">
        <v>3</v>
      </c>
      <c r="AD524">
        <v>4</v>
      </c>
      <c r="AE524">
        <v>80</v>
      </c>
      <c r="AF524">
        <v>1</v>
      </c>
      <c r="AG524">
        <v>8</v>
      </c>
      <c r="AH524">
        <v>5</v>
      </c>
      <c r="AI524">
        <v>3</v>
      </c>
      <c r="AJ524">
        <v>8</v>
      </c>
      <c r="AK524">
        <v>7</v>
      </c>
      <c r="AL524">
        <v>1</v>
      </c>
    </row>
    <row r="525" spans="1:38" x14ac:dyDescent="0.3">
      <c r="A525" t="s">
        <v>593</v>
      </c>
      <c r="B525">
        <v>33</v>
      </c>
      <c r="C525" t="s">
        <v>189</v>
      </c>
      <c r="D525" t="s">
        <v>48</v>
      </c>
      <c r="E525">
        <f t="shared" si="8"/>
        <v>0</v>
      </c>
      <c r="F525" t="s">
        <v>40</v>
      </c>
      <c r="G525">
        <v>147</v>
      </c>
      <c r="H525" t="s">
        <v>41</v>
      </c>
      <c r="I525">
        <v>4</v>
      </c>
      <c r="J525">
        <v>4</v>
      </c>
      <c r="K525" t="s">
        <v>51</v>
      </c>
      <c r="L525">
        <v>1</v>
      </c>
      <c r="M525">
        <v>305</v>
      </c>
      <c r="N525">
        <v>3</v>
      </c>
      <c r="O525" t="s">
        <v>52</v>
      </c>
      <c r="P525">
        <v>47</v>
      </c>
      <c r="Q525">
        <v>2</v>
      </c>
      <c r="R525">
        <v>1</v>
      </c>
      <c r="S525" t="s">
        <v>59</v>
      </c>
      <c r="T525">
        <v>2</v>
      </c>
      <c r="U525" t="s">
        <v>104</v>
      </c>
      <c r="V525">
        <v>2622</v>
      </c>
      <c r="W525" t="s">
        <v>46</v>
      </c>
      <c r="X525">
        <v>13248</v>
      </c>
      <c r="Y525">
        <v>6</v>
      </c>
      <c r="Z525" t="s">
        <v>47</v>
      </c>
      <c r="AA525" t="s">
        <v>48</v>
      </c>
      <c r="AB525">
        <v>21</v>
      </c>
      <c r="AC525">
        <v>4</v>
      </c>
      <c r="AD525">
        <v>4</v>
      </c>
      <c r="AE525">
        <v>80</v>
      </c>
      <c r="AF525">
        <v>0</v>
      </c>
      <c r="AG525">
        <v>7</v>
      </c>
      <c r="AH525">
        <v>3</v>
      </c>
      <c r="AI525">
        <v>3</v>
      </c>
      <c r="AJ525">
        <v>3</v>
      </c>
      <c r="AK525">
        <v>2</v>
      </c>
      <c r="AL525">
        <v>1</v>
      </c>
    </row>
    <row r="526" spans="1:38" x14ac:dyDescent="0.3">
      <c r="A526" t="s">
        <v>594</v>
      </c>
      <c r="B526">
        <v>33</v>
      </c>
      <c r="C526" t="s">
        <v>189</v>
      </c>
      <c r="D526" t="s">
        <v>39</v>
      </c>
      <c r="E526">
        <f t="shared" si="8"/>
        <v>1</v>
      </c>
      <c r="F526" t="s">
        <v>40</v>
      </c>
      <c r="G526">
        <v>813</v>
      </c>
      <c r="H526" t="s">
        <v>41</v>
      </c>
      <c r="I526">
        <v>14</v>
      </c>
      <c r="J526">
        <v>3</v>
      </c>
      <c r="K526" t="s">
        <v>51</v>
      </c>
      <c r="L526">
        <v>1</v>
      </c>
      <c r="M526">
        <v>325</v>
      </c>
      <c r="N526">
        <v>3</v>
      </c>
      <c r="O526" t="s">
        <v>43</v>
      </c>
      <c r="P526">
        <v>58</v>
      </c>
      <c r="Q526">
        <v>3</v>
      </c>
      <c r="R526">
        <v>1</v>
      </c>
      <c r="S526" t="s">
        <v>44</v>
      </c>
      <c r="T526">
        <v>4</v>
      </c>
      <c r="U526" t="s">
        <v>104</v>
      </c>
      <c r="V526">
        <v>2436</v>
      </c>
      <c r="W526" t="s">
        <v>46</v>
      </c>
      <c r="X526">
        <v>22149</v>
      </c>
      <c r="Y526">
        <v>5</v>
      </c>
      <c r="Z526" t="s">
        <v>47</v>
      </c>
      <c r="AA526" t="s">
        <v>39</v>
      </c>
      <c r="AB526">
        <v>13</v>
      </c>
      <c r="AC526">
        <v>3</v>
      </c>
      <c r="AD526">
        <v>3</v>
      </c>
      <c r="AE526">
        <v>80</v>
      </c>
      <c r="AF526">
        <v>1</v>
      </c>
      <c r="AG526">
        <v>8</v>
      </c>
      <c r="AH526">
        <v>2</v>
      </c>
      <c r="AI526">
        <v>1</v>
      </c>
      <c r="AJ526">
        <v>5</v>
      </c>
      <c r="AK526">
        <v>4</v>
      </c>
      <c r="AL526">
        <v>0</v>
      </c>
    </row>
    <row r="527" spans="1:38" x14ac:dyDescent="0.3">
      <c r="A527" t="s">
        <v>595</v>
      </c>
      <c r="B527">
        <v>33</v>
      </c>
      <c r="C527" t="s">
        <v>189</v>
      </c>
      <c r="D527" t="s">
        <v>39</v>
      </c>
      <c r="E527">
        <f t="shared" si="8"/>
        <v>1</v>
      </c>
      <c r="F527" t="s">
        <v>40</v>
      </c>
      <c r="G527">
        <v>465</v>
      </c>
      <c r="H527" t="s">
        <v>41</v>
      </c>
      <c r="I527">
        <v>2</v>
      </c>
      <c r="J527">
        <v>2</v>
      </c>
      <c r="K527" t="s">
        <v>42</v>
      </c>
      <c r="L527">
        <v>1</v>
      </c>
      <c r="M527">
        <v>328</v>
      </c>
      <c r="N527">
        <v>1</v>
      </c>
      <c r="O527" t="s">
        <v>52</v>
      </c>
      <c r="P527">
        <v>39</v>
      </c>
      <c r="Q527">
        <v>3</v>
      </c>
      <c r="R527">
        <v>1</v>
      </c>
      <c r="S527" t="s">
        <v>44</v>
      </c>
      <c r="T527">
        <v>1</v>
      </c>
      <c r="U527" t="s">
        <v>104</v>
      </c>
      <c r="V527">
        <v>2707</v>
      </c>
      <c r="W527" t="s">
        <v>46</v>
      </c>
      <c r="X527">
        <v>21509</v>
      </c>
      <c r="Y527">
        <v>7</v>
      </c>
      <c r="Z527" t="s">
        <v>47</v>
      </c>
      <c r="AA527" t="s">
        <v>48</v>
      </c>
      <c r="AB527">
        <v>20</v>
      </c>
      <c r="AC527">
        <v>4</v>
      </c>
      <c r="AD527">
        <v>1</v>
      </c>
      <c r="AE527">
        <v>80</v>
      </c>
      <c r="AF527">
        <v>0</v>
      </c>
      <c r="AG527">
        <v>13</v>
      </c>
      <c r="AH527">
        <v>3</v>
      </c>
      <c r="AI527">
        <v>4</v>
      </c>
      <c r="AJ527">
        <v>9</v>
      </c>
      <c r="AK527">
        <v>7</v>
      </c>
      <c r="AL527">
        <v>1</v>
      </c>
    </row>
    <row r="528" spans="1:38" x14ac:dyDescent="0.3">
      <c r="A528" t="s">
        <v>596</v>
      </c>
      <c r="B528">
        <v>33</v>
      </c>
      <c r="C528" t="s">
        <v>189</v>
      </c>
      <c r="D528" t="s">
        <v>48</v>
      </c>
      <c r="E528">
        <f t="shared" si="8"/>
        <v>0</v>
      </c>
      <c r="F528" t="s">
        <v>40</v>
      </c>
      <c r="G528">
        <v>832</v>
      </c>
      <c r="H528" t="s">
        <v>41</v>
      </c>
      <c r="I528">
        <v>5</v>
      </c>
      <c r="J528">
        <v>4</v>
      </c>
      <c r="K528" t="s">
        <v>42</v>
      </c>
      <c r="L528">
        <v>1</v>
      </c>
      <c r="M528">
        <v>338</v>
      </c>
      <c r="N528">
        <v>3</v>
      </c>
      <c r="O528" t="s">
        <v>52</v>
      </c>
      <c r="P528">
        <v>63</v>
      </c>
      <c r="Q528">
        <v>2</v>
      </c>
      <c r="R528">
        <v>1</v>
      </c>
      <c r="S528" t="s">
        <v>59</v>
      </c>
      <c r="T528">
        <v>4</v>
      </c>
      <c r="U528" t="s">
        <v>104</v>
      </c>
      <c r="V528">
        <v>2911</v>
      </c>
      <c r="W528" t="s">
        <v>46</v>
      </c>
      <c r="X528">
        <v>14776</v>
      </c>
      <c r="Y528">
        <v>1</v>
      </c>
      <c r="Z528" t="s">
        <v>47</v>
      </c>
      <c r="AA528" t="s">
        <v>48</v>
      </c>
      <c r="AB528">
        <v>13</v>
      </c>
      <c r="AC528">
        <v>3</v>
      </c>
      <c r="AD528">
        <v>3</v>
      </c>
      <c r="AE528">
        <v>80</v>
      </c>
      <c r="AF528">
        <v>1</v>
      </c>
      <c r="AG528">
        <v>2</v>
      </c>
      <c r="AH528">
        <v>2</v>
      </c>
      <c r="AI528">
        <v>2</v>
      </c>
      <c r="AJ528">
        <v>2</v>
      </c>
      <c r="AK528">
        <v>2</v>
      </c>
      <c r="AL528">
        <v>0</v>
      </c>
    </row>
    <row r="529" spans="1:38" x14ac:dyDescent="0.3">
      <c r="A529" t="s">
        <v>597</v>
      </c>
      <c r="B529">
        <v>33</v>
      </c>
      <c r="C529" t="s">
        <v>189</v>
      </c>
      <c r="D529" t="s">
        <v>48</v>
      </c>
      <c r="E529">
        <f t="shared" si="8"/>
        <v>0</v>
      </c>
      <c r="F529" t="s">
        <v>55</v>
      </c>
      <c r="G529">
        <v>553</v>
      </c>
      <c r="H529" t="s">
        <v>41</v>
      </c>
      <c r="I529">
        <v>5</v>
      </c>
      <c r="J529">
        <v>4</v>
      </c>
      <c r="K529" t="s">
        <v>42</v>
      </c>
      <c r="L529">
        <v>1</v>
      </c>
      <c r="M529">
        <v>428</v>
      </c>
      <c r="N529">
        <v>4</v>
      </c>
      <c r="O529" t="s">
        <v>52</v>
      </c>
      <c r="P529">
        <v>74</v>
      </c>
      <c r="Q529">
        <v>3</v>
      </c>
      <c r="R529">
        <v>3</v>
      </c>
      <c r="S529" t="s">
        <v>440</v>
      </c>
      <c r="T529">
        <v>2</v>
      </c>
      <c r="U529" t="s">
        <v>104</v>
      </c>
      <c r="V529">
        <v>11878</v>
      </c>
      <c r="W529" t="s">
        <v>252</v>
      </c>
      <c r="X529">
        <v>23364</v>
      </c>
      <c r="Y529">
        <v>6</v>
      </c>
      <c r="Z529" t="s">
        <v>47</v>
      </c>
      <c r="AA529" t="s">
        <v>48</v>
      </c>
      <c r="AB529">
        <v>11</v>
      </c>
      <c r="AC529">
        <v>3</v>
      </c>
      <c r="AD529">
        <v>2</v>
      </c>
      <c r="AE529">
        <v>80</v>
      </c>
      <c r="AF529">
        <v>2</v>
      </c>
      <c r="AG529">
        <v>12</v>
      </c>
      <c r="AH529">
        <v>2</v>
      </c>
      <c r="AI529">
        <v>3</v>
      </c>
      <c r="AJ529">
        <v>10</v>
      </c>
      <c r="AK529">
        <v>6</v>
      </c>
      <c r="AL529">
        <v>8</v>
      </c>
    </row>
    <row r="530" spans="1:38" x14ac:dyDescent="0.3">
      <c r="A530" t="s">
        <v>598</v>
      </c>
      <c r="B530">
        <v>33</v>
      </c>
      <c r="C530" t="s">
        <v>189</v>
      </c>
      <c r="D530" t="s">
        <v>48</v>
      </c>
      <c r="E530">
        <f t="shared" si="8"/>
        <v>0</v>
      </c>
      <c r="F530" t="s">
        <v>55</v>
      </c>
      <c r="G530">
        <v>508</v>
      </c>
      <c r="H530" t="s">
        <v>50</v>
      </c>
      <c r="I530">
        <v>10</v>
      </c>
      <c r="J530">
        <v>3</v>
      </c>
      <c r="K530" t="s">
        <v>56</v>
      </c>
      <c r="L530">
        <v>1</v>
      </c>
      <c r="M530">
        <v>446</v>
      </c>
      <c r="N530">
        <v>2</v>
      </c>
      <c r="O530" t="s">
        <v>43</v>
      </c>
      <c r="P530">
        <v>46</v>
      </c>
      <c r="Q530">
        <v>2</v>
      </c>
      <c r="R530">
        <v>2</v>
      </c>
      <c r="S530" t="s">
        <v>136</v>
      </c>
      <c r="T530">
        <v>4</v>
      </c>
      <c r="U530" t="s">
        <v>45</v>
      </c>
      <c r="V530">
        <v>4682</v>
      </c>
      <c r="W530" t="s">
        <v>46</v>
      </c>
      <c r="X530">
        <v>4317</v>
      </c>
      <c r="Y530">
        <v>3</v>
      </c>
      <c r="Z530" t="s">
        <v>47</v>
      </c>
      <c r="AA530" t="s">
        <v>48</v>
      </c>
      <c r="AB530">
        <v>14</v>
      </c>
      <c r="AC530">
        <v>3</v>
      </c>
      <c r="AD530">
        <v>3</v>
      </c>
      <c r="AE530">
        <v>80</v>
      </c>
      <c r="AF530">
        <v>0</v>
      </c>
      <c r="AG530">
        <v>9</v>
      </c>
      <c r="AH530">
        <v>6</v>
      </c>
      <c r="AI530">
        <v>2</v>
      </c>
      <c r="AJ530">
        <v>7</v>
      </c>
      <c r="AK530">
        <v>7</v>
      </c>
      <c r="AL530">
        <v>0</v>
      </c>
    </row>
    <row r="531" spans="1:38" x14ac:dyDescent="0.3">
      <c r="A531" t="s">
        <v>599</v>
      </c>
      <c r="B531">
        <v>33</v>
      </c>
      <c r="C531" t="s">
        <v>189</v>
      </c>
      <c r="D531" t="s">
        <v>39</v>
      </c>
      <c r="E531">
        <f t="shared" si="8"/>
        <v>1</v>
      </c>
      <c r="F531" t="s">
        <v>40</v>
      </c>
      <c r="G531">
        <v>350</v>
      </c>
      <c r="H531" t="s">
        <v>50</v>
      </c>
      <c r="I531">
        <v>5</v>
      </c>
      <c r="J531">
        <v>3</v>
      </c>
      <c r="K531" t="s">
        <v>56</v>
      </c>
      <c r="L531">
        <v>1</v>
      </c>
      <c r="M531">
        <v>485</v>
      </c>
      <c r="N531">
        <v>4</v>
      </c>
      <c r="O531" t="s">
        <v>52</v>
      </c>
      <c r="P531">
        <v>34</v>
      </c>
      <c r="Q531">
        <v>3</v>
      </c>
      <c r="R531">
        <v>1</v>
      </c>
      <c r="S531" t="s">
        <v>53</v>
      </c>
      <c r="T531">
        <v>3</v>
      </c>
      <c r="U531" t="s">
        <v>45</v>
      </c>
      <c r="V531">
        <v>2851</v>
      </c>
      <c r="W531" t="s">
        <v>46</v>
      </c>
      <c r="X531">
        <v>9150</v>
      </c>
      <c r="Y531">
        <v>1</v>
      </c>
      <c r="Z531" t="s">
        <v>47</v>
      </c>
      <c r="AA531" t="s">
        <v>39</v>
      </c>
      <c r="AB531">
        <v>13</v>
      </c>
      <c r="AC531">
        <v>3</v>
      </c>
      <c r="AD531">
        <v>2</v>
      </c>
      <c r="AE531">
        <v>80</v>
      </c>
      <c r="AF531">
        <v>0</v>
      </c>
      <c r="AG531">
        <v>1</v>
      </c>
      <c r="AH531">
        <v>2</v>
      </c>
      <c r="AI531">
        <v>3</v>
      </c>
      <c r="AJ531">
        <v>1</v>
      </c>
      <c r="AK531">
        <v>0</v>
      </c>
      <c r="AL531">
        <v>0</v>
      </c>
    </row>
    <row r="532" spans="1:38" x14ac:dyDescent="0.3">
      <c r="A532" t="s">
        <v>600</v>
      </c>
      <c r="B532">
        <v>33</v>
      </c>
      <c r="C532" t="s">
        <v>189</v>
      </c>
      <c r="D532" t="s">
        <v>39</v>
      </c>
      <c r="E532">
        <f t="shared" si="8"/>
        <v>1</v>
      </c>
      <c r="F532" t="s">
        <v>40</v>
      </c>
      <c r="G532">
        <v>1277</v>
      </c>
      <c r="H532" t="s">
        <v>41</v>
      </c>
      <c r="I532">
        <v>15</v>
      </c>
      <c r="J532">
        <v>1</v>
      </c>
      <c r="K532" t="s">
        <v>51</v>
      </c>
      <c r="L532">
        <v>1</v>
      </c>
      <c r="M532">
        <v>582</v>
      </c>
      <c r="N532">
        <v>2</v>
      </c>
      <c r="O532" t="s">
        <v>43</v>
      </c>
      <c r="P532">
        <v>56</v>
      </c>
      <c r="Q532">
        <v>3</v>
      </c>
      <c r="R532">
        <v>3</v>
      </c>
      <c r="S532" t="s">
        <v>440</v>
      </c>
      <c r="T532">
        <v>3</v>
      </c>
      <c r="U532" t="s">
        <v>104</v>
      </c>
      <c r="V532">
        <v>13610</v>
      </c>
      <c r="W532" t="s">
        <v>252</v>
      </c>
      <c r="X532">
        <v>24619</v>
      </c>
      <c r="Y532">
        <v>7</v>
      </c>
      <c r="Z532" t="s">
        <v>47</v>
      </c>
      <c r="AA532" t="s">
        <v>39</v>
      </c>
      <c r="AB532">
        <v>12</v>
      </c>
      <c r="AC532">
        <v>3</v>
      </c>
      <c r="AD532">
        <v>4</v>
      </c>
      <c r="AE532">
        <v>80</v>
      </c>
      <c r="AF532">
        <v>0</v>
      </c>
      <c r="AG532">
        <v>15</v>
      </c>
      <c r="AH532">
        <v>2</v>
      </c>
      <c r="AI532">
        <v>4</v>
      </c>
      <c r="AJ532">
        <v>7</v>
      </c>
      <c r="AK532">
        <v>6</v>
      </c>
      <c r="AL532">
        <v>7</v>
      </c>
    </row>
    <row r="533" spans="1:38" x14ac:dyDescent="0.3">
      <c r="A533" t="s">
        <v>601</v>
      </c>
      <c r="B533">
        <v>33</v>
      </c>
      <c r="C533" t="s">
        <v>189</v>
      </c>
      <c r="D533" t="s">
        <v>39</v>
      </c>
      <c r="E533">
        <f t="shared" si="8"/>
        <v>1</v>
      </c>
      <c r="F533" t="s">
        <v>40</v>
      </c>
      <c r="G533">
        <v>587</v>
      </c>
      <c r="H533" t="s">
        <v>41</v>
      </c>
      <c r="I533">
        <v>10</v>
      </c>
      <c r="J533">
        <v>1</v>
      </c>
      <c r="K533" t="s">
        <v>51</v>
      </c>
      <c r="L533">
        <v>1</v>
      </c>
      <c r="M533">
        <v>584</v>
      </c>
      <c r="N533">
        <v>1</v>
      </c>
      <c r="O533" t="s">
        <v>43</v>
      </c>
      <c r="P533">
        <v>38</v>
      </c>
      <c r="Q533">
        <v>1</v>
      </c>
      <c r="R533">
        <v>1</v>
      </c>
      <c r="S533" t="s">
        <v>44</v>
      </c>
      <c r="T533">
        <v>4</v>
      </c>
      <c r="U533" t="s">
        <v>101</v>
      </c>
      <c r="V533">
        <v>3408</v>
      </c>
      <c r="W533" t="s">
        <v>46</v>
      </c>
      <c r="X533">
        <v>6705</v>
      </c>
      <c r="Y533">
        <v>7</v>
      </c>
      <c r="Z533" t="s">
        <v>47</v>
      </c>
      <c r="AA533" t="s">
        <v>48</v>
      </c>
      <c r="AB533">
        <v>13</v>
      </c>
      <c r="AC533">
        <v>3</v>
      </c>
      <c r="AD533">
        <v>1</v>
      </c>
      <c r="AE533">
        <v>80</v>
      </c>
      <c r="AF533">
        <v>3</v>
      </c>
      <c r="AG533">
        <v>8</v>
      </c>
      <c r="AH533">
        <v>2</v>
      </c>
      <c r="AI533">
        <v>3</v>
      </c>
      <c r="AJ533">
        <v>4</v>
      </c>
      <c r="AK533">
        <v>3</v>
      </c>
      <c r="AL533">
        <v>1</v>
      </c>
    </row>
    <row r="534" spans="1:38" x14ac:dyDescent="0.3">
      <c r="A534" t="s">
        <v>602</v>
      </c>
      <c r="B534">
        <v>33</v>
      </c>
      <c r="C534" t="s">
        <v>189</v>
      </c>
      <c r="D534" t="s">
        <v>48</v>
      </c>
      <c r="E534">
        <f t="shared" si="8"/>
        <v>0</v>
      </c>
      <c r="F534" t="s">
        <v>40</v>
      </c>
      <c r="G534">
        <v>922</v>
      </c>
      <c r="H534" t="s">
        <v>41</v>
      </c>
      <c r="I534">
        <v>1</v>
      </c>
      <c r="J534">
        <v>5</v>
      </c>
      <c r="K534" t="s">
        <v>51</v>
      </c>
      <c r="L534">
        <v>1</v>
      </c>
      <c r="M534">
        <v>612</v>
      </c>
      <c r="N534">
        <v>1</v>
      </c>
      <c r="O534" t="s">
        <v>52</v>
      </c>
      <c r="P534">
        <v>95</v>
      </c>
      <c r="Q534">
        <v>4</v>
      </c>
      <c r="R534">
        <v>4</v>
      </c>
      <c r="S534" t="s">
        <v>251</v>
      </c>
      <c r="T534">
        <v>3</v>
      </c>
      <c r="U534" t="s">
        <v>101</v>
      </c>
      <c r="V534">
        <v>16184</v>
      </c>
      <c r="W534" t="s">
        <v>366</v>
      </c>
      <c r="X534">
        <v>22578</v>
      </c>
      <c r="Y534">
        <v>4</v>
      </c>
      <c r="Z534" t="s">
        <v>47</v>
      </c>
      <c r="AA534" t="s">
        <v>48</v>
      </c>
      <c r="AB534">
        <v>19</v>
      </c>
      <c r="AC534">
        <v>3</v>
      </c>
      <c r="AD534">
        <v>3</v>
      </c>
      <c r="AE534">
        <v>80</v>
      </c>
      <c r="AF534">
        <v>1</v>
      </c>
      <c r="AG534">
        <v>10</v>
      </c>
      <c r="AH534">
        <v>2</v>
      </c>
      <c r="AI534">
        <v>3</v>
      </c>
      <c r="AJ534">
        <v>6</v>
      </c>
      <c r="AK534">
        <v>1</v>
      </c>
      <c r="AL534">
        <v>0</v>
      </c>
    </row>
    <row r="535" spans="1:38" x14ac:dyDescent="0.3">
      <c r="A535" t="s">
        <v>603</v>
      </c>
      <c r="B535">
        <v>33</v>
      </c>
      <c r="C535" t="s">
        <v>189</v>
      </c>
      <c r="D535" t="s">
        <v>48</v>
      </c>
      <c r="E535">
        <f t="shared" si="8"/>
        <v>0</v>
      </c>
      <c r="F535" t="s">
        <v>40</v>
      </c>
      <c r="G535">
        <v>1216</v>
      </c>
      <c r="H535" t="s">
        <v>50</v>
      </c>
      <c r="I535">
        <v>8</v>
      </c>
      <c r="J535">
        <v>4</v>
      </c>
      <c r="K535" t="s">
        <v>56</v>
      </c>
      <c r="L535">
        <v>1</v>
      </c>
      <c r="M535">
        <v>677</v>
      </c>
      <c r="N535">
        <v>3</v>
      </c>
      <c r="O535" t="s">
        <v>43</v>
      </c>
      <c r="P535">
        <v>39</v>
      </c>
      <c r="Q535">
        <v>3</v>
      </c>
      <c r="R535">
        <v>2</v>
      </c>
      <c r="S535" t="s">
        <v>136</v>
      </c>
      <c r="T535">
        <v>3</v>
      </c>
      <c r="U535" t="s">
        <v>101</v>
      </c>
      <c r="V535">
        <v>7104</v>
      </c>
      <c r="W535" t="s">
        <v>162</v>
      </c>
      <c r="X535">
        <v>20431</v>
      </c>
      <c r="Y535">
        <v>0</v>
      </c>
      <c r="Z535" t="s">
        <v>47</v>
      </c>
      <c r="AA535" t="s">
        <v>48</v>
      </c>
      <c r="AB535">
        <v>12</v>
      </c>
      <c r="AC535">
        <v>3</v>
      </c>
      <c r="AD535">
        <v>4</v>
      </c>
      <c r="AE535">
        <v>80</v>
      </c>
      <c r="AF535">
        <v>0</v>
      </c>
      <c r="AG535">
        <v>6</v>
      </c>
      <c r="AH535">
        <v>3</v>
      </c>
      <c r="AI535">
        <v>3</v>
      </c>
      <c r="AJ535">
        <v>5</v>
      </c>
      <c r="AK535">
        <v>0</v>
      </c>
      <c r="AL535">
        <v>1</v>
      </c>
    </row>
    <row r="536" spans="1:38" x14ac:dyDescent="0.3">
      <c r="A536" t="s">
        <v>604</v>
      </c>
      <c r="B536">
        <v>33</v>
      </c>
      <c r="C536" t="s">
        <v>189</v>
      </c>
      <c r="D536" t="s">
        <v>48</v>
      </c>
      <c r="E536">
        <f t="shared" si="8"/>
        <v>0</v>
      </c>
      <c r="F536" t="s">
        <v>55</v>
      </c>
      <c r="G536">
        <v>1296</v>
      </c>
      <c r="H536" t="s">
        <v>41</v>
      </c>
      <c r="I536">
        <v>6</v>
      </c>
      <c r="J536">
        <v>3</v>
      </c>
      <c r="K536" t="s">
        <v>42</v>
      </c>
      <c r="L536">
        <v>1</v>
      </c>
      <c r="M536">
        <v>692</v>
      </c>
      <c r="N536">
        <v>3</v>
      </c>
      <c r="O536" t="s">
        <v>43</v>
      </c>
      <c r="P536">
        <v>30</v>
      </c>
      <c r="Q536">
        <v>3</v>
      </c>
      <c r="R536">
        <v>2</v>
      </c>
      <c r="S536" t="s">
        <v>160</v>
      </c>
      <c r="T536">
        <v>4</v>
      </c>
      <c r="U536" t="s">
        <v>101</v>
      </c>
      <c r="V536">
        <v>7725</v>
      </c>
      <c r="W536" t="s">
        <v>162</v>
      </c>
      <c r="X536">
        <v>5335</v>
      </c>
      <c r="Y536">
        <v>3</v>
      </c>
      <c r="Z536" t="s">
        <v>47</v>
      </c>
      <c r="AA536" t="s">
        <v>48</v>
      </c>
      <c r="AB536">
        <v>23</v>
      </c>
      <c r="AC536">
        <v>4</v>
      </c>
      <c r="AD536">
        <v>3</v>
      </c>
      <c r="AE536">
        <v>80</v>
      </c>
      <c r="AF536">
        <v>1</v>
      </c>
      <c r="AG536">
        <v>15</v>
      </c>
      <c r="AH536">
        <v>2</v>
      </c>
      <c r="AI536">
        <v>1</v>
      </c>
      <c r="AJ536">
        <v>13</v>
      </c>
      <c r="AK536">
        <v>11</v>
      </c>
      <c r="AL536">
        <v>4</v>
      </c>
    </row>
    <row r="537" spans="1:38" x14ac:dyDescent="0.3">
      <c r="A537" t="s">
        <v>605</v>
      </c>
      <c r="B537">
        <v>33</v>
      </c>
      <c r="C537" t="s">
        <v>189</v>
      </c>
      <c r="D537" t="s">
        <v>39</v>
      </c>
      <c r="E537">
        <f t="shared" si="8"/>
        <v>1</v>
      </c>
      <c r="F537" t="s">
        <v>55</v>
      </c>
      <c r="G537">
        <v>1076</v>
      </c>
      <c r="H537" t="s">
        <v>41</v>
      </c>
      <c r="I537">
        <v>3</v>
      </c>
      <c r="J537">
        <v>3</v>
      </c>
      <c r="K537" t="s">
        <v>42</v>
      </c>
      <c r="L537">
        <v>1</v>
      </c>
      <c r="M537">
        <v>702</v>
      </c>
      <c r="N537">
        <v>1</v>
      </c>
      <c r="O537" t="s">
        <v>43</v>
      </c>
      <c r="P537">
        <v>70</v>
      </c>
      <c r="Q537">
        <v>3</v>
      </c>
      <c r="R537">
        <v>1</v>
      </c>
      <c r="S537" t="s">
        <v>59</v>
      </c>
      <c r="T537">
        <v>1</v>
      </c>
      <c r="U537" t="s">
        <v>45</v>
      </c>
      <c r="V537">
        <v>3348</v>
      </c>
      <c r="W537" t="s">
        <v>46</v>
      </c>
      <c r="X537">
        <v>3164</v>
      </c>
      <c r="Y537">
        <v>1</v>
      </c>
      <c r="Z537" t="s">
        <v>47</v>
      </c>
      <c r="AA537" t="s">
        <v>39</v>
      </c>
      <c r="AB537">
        <v>11</v>
      </c>
      <c r="AC537">
        <v>3</v>
      </c>
      <c r="AD537">
        <v>1</v>
      </c>
      <c r="AE537">
        <v>80</v>
      </c>
      <c r="AF537">
        <v>0</v>
      </c>
      <c r="AG537">
        <v>10</v>
      </c>
      <c r="AH537">
        <v>3</v>
      </c>
      <c r="AI537">
        <v>3</v>
      </c>
      <c r="AJ537">
        <v>10</v>
      </c>
      <c r="AK537">
        <v>8</v>
      </c>
      <c r="AL537">
        <v>9</v>
      </c>
    </row>
    <row r="538" spans="1:38" x14ac:dyDescent="0.3">
      <c r="A538" t="s">
        <v>606</v>
      </c>
      <c r="B538">
        <v>33</v>
      </c>
      <c r="C538" t="s">
        <v>189</v>
      </c>
      <c r="D538" t="s">
        <v>39</v>
      </c>
      <c r="E538">
        <f t="shared" si="8"/>
        <v>1</v>
      </c>
      <c r="F538" t="s">
        <v>40</v>
      </c>
      <c r="G538">
        <v>527</v>
      </c>
      <c r="H538" t="s">
        <v>41</v>
      </c>
      <c r="I538">
        <v>1</v>
      </c>
      <c r="J538">
        <v>4</v>
      </c>
      <c r="K538" t="s">
        <v>72</v>
      </c>
      <c r="L538">
        <v>1</v>
      </c>
      <c r="M538">
        <v>780</v>
      </c>
      <c r="N538">
        <v>4</v>
      </c>
      <c r="O538" t="s">
        <v>43</v>
      </c>
      <c r="P538">
        <v>63</v>
      </c>
      <c r="Q538">
        <v>3</v>
      </c>
      <c r="R538">
        <v>1</v>
      </c>
      <c r="S538" t="s">
        <v>59</v>
      </c>
      <c r="T538">
        <v>4</v>
      </c>
      <c r="U538" t="s">
        <v>45</v>
      </c>
      <c r="V538">
        <v>2686</v>
      </c>
      <c r="W538" t="s">
        <v>46</v>
      </c>
      <c r="X538">
        <v>5207</v>
      </c>
      <c r="Y538">
        <v>1</v>
      </c>
      <c r="Z538" t="s">
        <v>47</v>
      </c>
      <c r="AA538" t="s">
        <v>39</v>
      </c>
      <c r="AB538">
        <v>13</v>
      </c>
      <c r="AC538">
        <v>3</v>
      </c>
      <c r="AD538">
        <v>3</v>
      </c>
      <c r="AE538">
        <v>80</v>
      </c>
      <c r="AF538">
        <v>0</v>
      </c>
      <c r="AG538">
        <v>10</v>
      </c>
      <c r="AH538">
        <v>2</v>
      </c>
      <c r="AI538">
        <v>2</v>
      </c>
      <c r="AJ538">
        <v>10</v>
      </c>
      <c r="AK538">
        <v>9</v>
      </c>
      <c r="AL538">
        <v>7</v>
      </c>
    </row>
    <row r="539" spans="1:38" x14ac:dyDescent="0.3">
      <c r="A539" t="s">
        <v>607</v>
      </c>
      <c r="B539">
        <v>33</v>
      </c>
      <c r="C539" t="s">
        <v>189</v>
      </c>
      <c r="D539" t="s">
        <v>48</v>
      </c>
      <c r="E539">
        <f t="shared" si="8"/>
        <v>0</v>
      </c>
      <c r="F539" t="s">
        <v>40</v>
      </c>
      <c r="G539">
        <v>213</v>
      </c>
      <c r="H539" t="s">
        <v>41</v>
      </c>
      <c r="I539">
        <v>7</v>
      </c>
      <c r="J539">
        <v>3</v>
      </c>
      <c r="K539" t="s">
        <v>51</v>
      </c>
      <c r="L539">
        <v>1</v>
      </c>
      <c r="M539">
        <v>817</v>
      </c>
      <c r="N539">
        <v>3</v>
      </c>
      <c r="O539" t="s">
        <v>43</v>
      </c>
      <c r="P539">
        <v>49</v>
      </c>
      <c r="Q539">
        <v>3</v>
      </c>
      <c r="R539">
        <v>3</v>
      </c>
      <c r="S539" t="s">
        <v>251</v>
      </c>
      <c r="T539">
        <v>3</v>
      </c>
      <c r="U539" t="s">
        <v>104</v>
      </c>
      <c r="V539">
        <v>11691</v>
      </c>
      <c r="W539" t="s">
        <v>252</v>
      </c>
      <c r="X539">
        <v>25995</v>
      </c>
      <c r="Y539">
        <v>0</v>
      </c>
      <c r="Z539" t="s">
        <v>47</v>
      </c>
      <c r="AA539" t="s">
        <v>48</v>
      </c>
      <c r="AB539">
        <v>11</v>
      </c>
      <c r="AC539">
        <v>3</v>
      </c>
      <c r="AD539">
        <v>4</v>
      </c>
      <c r="AE539">
        <v>80</v>
      </c>
      <c r="AF539">
        <v>0</v>
      </c>
      <c r="AG539">
        <v>14</v>
      </c>
      <c r="AH539">
        <v>3</v>
      </c>
      <c r="AI539">
        <v>4</v>
      </c>
      <c r="AJ539">
        <v>13</v>
      </c>
      <c r="AK539">
        <v>9</v>
      </c>
      <c r="AL539">
        <v>3</v>
      </c>
    </row>
    <row r="540" spans="1:38" x14ac:dyDescent="0.3">
      <c r="A540" t="s">
        <v>608</v>
      </c>
      <c r="B540">
        <v>33</v>
      </c>
      <c r="C540" t="s">
        <v>189</v>
      </c>
      <c r="D540" t="s">
        <v>39</v>
      </c>
      <c r="E540">
        <f t="shared" si="8"/>
        <v>1</v>
      </c>
      <c r="F540" t="s">
        <v>40</v>
      </c>
      <c r="G540">
        <v>118</v>
      </c>
      <c r="H540" t="s">
        <v>50</v>
      </c>
      <c r="I540">
        <v>16</v>
      </c>
      <c r="J540">
        <v>3</v>
      </c>
      <c r="K540" t="s">
        <v>56</v>
      </c>
      <c r="L540">
        <v>1</v>
      </c>
      <c r="M540">
        <v>819</v>
      </c>
      <c r="N540">
        <v>1</v>
      </c>
      <c r="O540" t="s">
        <v>52</v>
      </c>
      <c r="P540">
        <v>69</v>
      </c>
      <c r="Q540">
        <v>3</v>
      </c>
      <c r="R540">
        <v>2</v>
      </c>
      <c r="S540" t="s">
        <v>136</v>
      </c>
      <c r="T540">
        <v>1</v>
      </c>
      <c r="U540" t="s">
        <v>45</v>
      </c>
      <c r="V540">
        <v>5324</v>
      </c>
      <c r="W540" t="s">
        <v>162</v>
      </c>
      <c r="X540">
        <v>26507</v>
      </c>
      <c r="Y540">
        <v>5</v>
      </c>
      <c r="Z540" t="s">
        <v>47</v>
      </c>
      <c r="AA540" t="s">
        <v>48</v>
      </c>
      <c r="AB540">
        <v>15</v>
      </c>
      <c r="AC540">
        <v>3</v>
      </c>
      <c r="AD540">
        <v>3</v>
      </c>
      <c r="AE540">
        <v>80</v>
      </c>
      <c r="AF540">
        <v>0</v>
      </c>
      <c r="AG540">
        <v>6</v>
      </c>
      <c r="AH540">
        <v>3</v>
      </c>
      <c r="AI540">
        <v>3</v>
      </c>
      <c r="AJ540">
        <v>3</v>
      </c>
      <c r="AK540">
        <v>2</v>
      </c>
      <c r="AL540">
        <v>0</v>
      </c>
    </row>
    <row r="541" spans="1:38" x14ac:dyDescent="0.3">
      <c r="A541" t="s">
        <v>609</v>
      </c>
      <c r="B541">
        <v>33</v>
      </c>
      <c r="C541" t="s">
        <v>189</v>
      </c>
      <c r="D541" t="s">
        <v>48</v>
      </c>
      <c r="E541">
        <f t="shared" si="8"/>
        <v>0</v>
      </c>
      <c r="F541" t="s">
        <v>40</v>
      </c>
      <c r="G541">
        <v>586</v>
      </c>
      <c r="H541" t="s">
        <v>50</v>
      </c>
      <c r="I541">
        <v>1</v>
      </c>
      <c r="J541">
        <v>3</v>
      </c>
      <c r="K541" t="s">
        <v>51</v>
      </c>
      <c r="L541">
        <v>1</v>
      </c>
      <c r="M541">
        <v>855</v>
      </c>
      <c r="N541">
        <v>1</v>
      </c>
      <c r="O541" t="s">
        <v>43</v>
      </c>
      <c r="P541">
        <v>48</v>
      </c>
      <c r="Q541">
        <v>4</v>
      </c>
      <c r="R541">
        <v>2</v>
      </c>
      <c r="S541" t="s">
        <v>136</v>
      </c>
      <c r="T541">
        <v>1</v>
      </c>
      <c r="U541" t="s">
        <v>101</v>
      </c>
      <c r="V541">
        <v>4037</v>
      </c>
      <c r="W541" t="s">
        <v>46</v>
      </c>
      <c r="X541">
        <v>21816</v>
      </c>
      <c r="Y541">
        <v>1</v>
      </c>
      <c r="Z541" t="s">
        <v>47</v>
      </c>
      <c r="AA541" t="s">
        <v>48</v>
      </c>
      <c r="AB541">
        <v>22</v>
      </c>
      <c r="AC541">
        <v>4</v>
      </c>
      <c r="AD541">
        <v>1</v>
      </c>
      <c r="AE541">
        <v>80</v>
      </c>
      <c r="AF541">
        <v>1</v>
      </c>
      <c r="AG541">
        <v>9</v>
      </c>
      <c r="AH541">
        <v>5</v>
      </c>
      <c r="AI541">
        <v>3</v>
      </c>
      <c r="AJ541">
        <v>9</v>
      </c>
      <c r="AK541">
        <v>8</v>
      </c>
      <c r="AL541">
        <v>0</v>
      </c>
    </row>
    <row r="542" spans="1:38" x14ac:dyDescent="0.3">
      <c r="A542" t="s">
        <v>610</v>
      </c>
      <c r="B542">
        <v>33</v>
      </c>
      <c r="C542" t="s">
        <v>189</v>
      </c>
      <c r="D542" t="s">
        <v>48</v>
      </c>
      <c r="E542">
        <f t="shared" si="8"/>
        <v>0</v>
      </c>
      <c r="F542" t="s">
        <v>40</v>
      </c>
      <c r="G542">
        <v>1075</v>
      </c>
      <c r="H542" t="s">
        <v>70</v>
      </c>
      <c r="I542">
        <v>3</v>
      </c>
      <c r="J542">
        <v>2</v>
      </c>
      <c r="K542" t="s">
        <v>70</v>
      </c>
      <c r="L542">
        <v>1</v>
      </c>
      <c r="M542">
        <v>910</v>
      </c>
      <c r="N542">
        <v>4</v>
      </c>
      <c r="O542" t="s">
        <v>43</v>
      </c>
      <c r="P542">
        <v>57</v>
      </c>
      <c r="Q542">
        <v>3</v>
      </c>
      <c r="R542">
        <v>1</v>
      </c>
      <c r="S542" t="s">
        <v>70</v>
      </c>
      <c r="T542">
        <v>2</v>
      </c>
      <c r="U542" t="s">
        <v>101</v>
      </c>
      <c r="V542">
        <v>2277</v>
      </c>
      <c r="W542" t="s">
        <v>46</v>
      </c>
      <c r="X542">
        <v>22650</v>
      </c>
      <c r="Y542">
        <v>3</v>
      </c>
      <c r="Z542" t="s">
        <v>47</v>
      </c>
      <c r="AA542" t="s">
        <v>39</v>
      </c>
      <c r="AB542">
        <v>11</v>
      </c>
      <c r="AC542">
        <v>3</v>
      </c>
      <c r="AD542">
        <v>3</v>
      </c>
      <c r="AE542">
        <v>80</v>
      </c>
      <c r="AF542">
        <v>1</v>
      </c>
      <c r="AG542">
        <v>7</v>
      </c>
      <c r="AH542">
        <v>4</v>
      </c>
      <c r="AI542">
        <v>4</v>
      </c>
      <c r="AJ542">
        <v>4</v>
      </c>
      <c r="AK542">
        <v>3</v>
      </c>
      <c r="AL542">
        <v>0</v>
      </c>
    </row>
    <row r="543" spans="1:38" x14ac:dyDescent="0.3">
      <c r="A543" t="s">
        <v>611</v>
      </c>
      <c r="B543">
        <v>33</v>
      </c>
      <c r="C543" t="s">
        <v>189</v>
      </c>
      <c r="D543" t="s">
        <v>48</v>
      </c>
      <c r="E543">
        <f t="shared" si="8"/>
        <v>0</v>
      </c>
      <c r="F543" t="s">
        <v>40</v>
      </c>
      <c r="G543">
        <v>1198</v>
      </c>
      <c r="H543" t="s">
        <v>41</v>
      </c>
      <c r="I543">
        <v>1</v>
      </c>
      <c r="J543">
        <v>4</v>
      </c>
      <c r="K543" t="s">
        <v>72</v>
      </c>
      <c r="L543">
        <v>1</v>
      </c>
      <c r="M543">
        <v>939</v>
      </c>
      <c r="N543">
        <v>3</v>
      </c>
      <c r="O543" t="s">
        <v>43</v>
      </c>
      <c r="P543">
        <v>100</v>
      </c>
      <c r="Q543">
        <v>2</v>
      </c>
      <c r="R543">
        <v>1</v>
      </c>
      <c r="S543" t="s">
        <v>59</v>
      </c>
      <c r="T543">
        <v>1</v>
      </c>
      <c r="U543" t="s">
        <v>45</v>
      </c>
      <c r="V543">
        <v>2799</v>
      </c>
      <c r="W543" t="s">
        <v>46</v>
      </c>
      <c r="X543">
        <v>3339</v>
      </c>
      <c r="Y543">
        <v>3</v>
      </c>
      <c r="Z543" t="s">
        <v>47</v>
      </c>
      <c r="AA543" t="s">
        <v>39</v>
      </c>
      <c r="AB543">
        <v>11</v>
      </c>
      <c r="AC543">
        <v>3</v>
      </c>
      <c r="AD543">
        <v>2</v>
      </c>
      <c r="AE543">
        <v>80</v>
      </c>
      <c r="AF543">
        <v>0</v>
      </c>
      <c r="AG543">
        <v>6</v>
      </c>
      <c r="AH543">
        <v>1</v>
      </c>
      <c r="AI543">
        <v>3</v>
      </c>
      <c r="AJ543">
        <v>3</v>
      </c>
      <c r="AK543">
        <v>2</v>
      </c>
      <c r="AL543">
        <v>0</v>
      </c>
    </row>
    <row r="544" spans="1:38" x14ac:dyDescent="0.3">
      <c r="A544" t="s">
        <v>612</v>
      </c>
      <c r="B544">
        <v>33</v>
      </c>
      <c r="C544" t="s">
        <v>189</v>
      </c>
      <c r="D544" t="s">
        <v>48</v>
      </c>
      <c r="E544">
        <f t="shared" si="8"/>
        <v>0</v>
      </c>
      <c r="F544" t="s">
        <v>40</v>
      </c>
      <c r="G544">
        <v>1069</v>
      </c>
      <c r="H544" t="s">
        <v>41</v>
      </c>
      <c r="I544">
        <v>1</v>
      </c>
      <c r="J544">
        <v>3</v>
      </c>
      <c r="K544" t="s">
        <v>42</v>
      </c>
      <c r="L544">
        <v>1</v>
      </c>
      <c r="M544">
        <v>969</v>
      </c>
      <c r="N544">
        <v>2</v>
      </c>
      <c r="O544" t="s">
        <v>52</v>
      </c>
      <c r="P544">
        <v>42</v>
      </c>
      <c r="Q544">
        <v>2</v>
      </c>
      <c r="R544">
        <v>2</v>
      </c>
      <c r="S544" t="s">
        <v>160</v>
      </c>
      <c r="T544">
        <v>4</v>
      </c>
      <c r="U544" t="s">
        <v>45</v>
      </c>
      <c r="V544">
        <v>6949</v>
      </c>
      <c r="W544" t="s">
        <v>162</v>
      </c>
      <c r="X544">
        <v>12291</v>
      </c>
      <c r="Y544">
        <v>0</v>
      </c>
      <c r="Z544" t="s">
        <v>47</v>
      </c>
      <c r="AA544" t="s">
        <v>48</v>
      </c>
      <c r="AB544">
        <v>14</v>
      </c>
      <c r="AC544">
        <v>3</v>
      </c>
      <c r="AD544">
        <v>1</v>
      </c>
      <c r="AE544">
        <v>80</v>
      </c>
      <c r="AF544">
        <v>0</v>
      </c>
      <c r="AG544">
        <v>6</v>
      </c>
      <c r="AH544">
        <v>3</v>
      </c>
      <c r="AI544">
        <v>3</v>
      </c>
      <c r="AJ544">
        <v>5</v>
      </c>
      <c r="AK544">
        <v>0</v>
      </c>
      <c r="AL544">
        <v>1</v>
      </c>
    </row>
    <row r="545" spans="1:38" x14ac:dyDescent="0.3">
      <c r="A545" t="s">
        <v>613</v>
      </c>
      <c r="B545">
        <v>33</v>
      </c>
      <c r="C545" t="s">
        <v>189</v>
      </c>
      <c r="D545" t="s">
        <v>48</v>
      </c>
      <c r="E545">
        <f t="shared" si="8"/>
        <v>0</v>
      </c>
      <c r="F545" t="s">
        <v>58</v>
      </c>
      <c r="G545">
        <v>722</v>
      </c>
      <c r="H545" t="s">
        <v>50</v>
      </c>
      <c r="I545">
        <v>17</v>
      </c>
      <c r="J545">
        <v>3</v>
      </c>
      <c r="K545" t="s">
        <v>42</v>
      </c>
      <c r="L545">
        <v>1</v>
      </c>
      <c r="M545">
        <v>992</v>
      </c>
      <c r="N545">
        <v>4</v>
      </c>
      <c r="O545" t="s">
        <v>43</v>
      </c>
      <c r="P545">
        <v>38</v>
      </c>
      <c r="Q545">
        <v>3</v>
      </c>
      <c r="R545">
        <v>4</v>
      </c>
      <c r="S545" t="s">
        <v>440</v>
      </c>
      <c r="T545">
        <v>3</v>
      </c>
      <c r="U545" t="s">
        <v>45</v>
      </c>
      <c r="V545">
        <v>17444</v>
      </c>
      <c r="W545" t="s">
        <v>366</v>
      </c>
      <c r="X545">
        <v>20489</v>
      </c>
      <c r="Y545">
        <v>1</v>
      </c>
      <c r="Z545" t="s">
        <v>47</v>
      </c>
      <c r="AA545" t="s">
        <v>48</v>
      </c>
      <c r="AB545">
        <v>11</v>
      </c>
      <c r="AC545">
        <v>3</v>
      </c>
      <c r="AD545">
        <v>4</v>
      </c>
      <c r="AE545">
        <v>80</v>
      </c>
      <c r="AF545">
        <v>0</v>
      </c>
      <c r="AG545">
        <v>10</v>
      </c>
      <c r="AH545">
        <v>2</v>
      </c>
      <c r="AI545">
        <v>3</v>
      </c>
      <c r="AJ545">
        <v>10</v>
      </c>
      <c r="AK545">
        <v>8</v>
      </c>
      <c r="AL545">
        <v>6</v>
      </c>
    </row>
    <row r="546" spans="1:38" x14ac:dyDescent="0.3">
      <c r="A546" t="s">
        <v>614</v>
      </c>
      <c r="B546">
        <v>33</v>
      </c>
      <c r="C546" t="s">
        <v>189</v>
      </c>
      <c r="D546" t="s">
        <v>48</v>
      </c>
      <c r="E546">
        <f t="shared" si="8"/>
        <v>0</v>
      </c>
      <c r="F546" t="s">
        <v>40</v>
      </c>
      <c r="G546">
        <v>461</v>
      </c>
      <c r="H546" t="s">
        <v>41</v>
      </c>
      <c r="I546">
        <v>13</v>
      </c>
      <c r="J546">
        <v>1</v>
      </c>
      <c r="K546" t="s">
        <v>42</v>
      </c>
      <c r="L546">
        <v>1</v>
      </c>
      <c r="M546">
        <v>995</v>
      </c>
      <c r="N546">
        <v>2</v>
      </c>
      <c r="O546" t="s">
        <v>52</v>
      </c>
      <c r="P546">
        <v>53</v>
      </c>
      <c r="Q546">
        <v>3</v>
      </c>
      <c r="R546">
        <v>1</v>
      </c>
      <c r="S546" t="s">
        <v>59</v>
      </c>
      <c r="T546">
        <v>4</v>
      </c>
      <c r="U546" t="s">
        <v>45</v>
      </c>
      <c r="V546">
        <v>3452</v>
      </c>
      <c r="W546" t="s">
        <v>46</v>
      </c>
      <c r="X546">
        <v>17241</v>
      </c>
      <c r="Y546">
        <v>3</v>
      </c>
      <c r="Z546" t="s">
        <v>47</v>
      </c>
      <c r="AA546" t="s">
        <v>48</v>
      </c>
      <c r="AB546">
        <v>18</v>
      </c>
      <c r="AC546">
        <v>3</v>
      </c>
      <c r="AD546">
        <v>1</v>
      </c>
      <c r="AE546">
        <v>80</v>
      </c>
      <c r="AF546">
        <v>0</v>
      </c>
      <c r="AG546">
        <v>5</v>
      </c>
      <c r="AH546">
        <v>4</v>
      </c>
      <c r="AI546">
        <v>3</v>
      </c>
      <c r="AJ546">
        <v>3</v>
      </c>
      <c r="AK546">
        <v>2</v>
      </c>
      <c r="AL546">
        <v>0</v>
      </c>
    </row>
    <row r="547" spans="1:38" x14ac:dyDescent="0.3">
      <c r="A547" t="s">
        <v>615</v>
      </c>
      <c r="B547">
        <v>33</v>
      </c>
      <c r="C547" t="s">
        <v>189</v>
      </c>
      <c r="D547" t="s">
        <v>48</v>
      </c>
      <c r="E547">
        <f t="shared" si="8"/>
        <v>0</v>
      </c>
      <c r="F547" t="s">
        <v>55</v>
      </c>
      <c r="G547">
        <v>827</v>
      </c>
      <c r="H547" t="s">
        <v>41</v>
      </c>
      <c r="I547">
        <v>1</v>
      </c>
      <c r="J547">
        <v>4</v>
      </c>
      <c r="K547" t="s">
        <v>72</v>
      </c>
      <c r="L547">
        <v>1</v>
      </c>
      <c r="M547">
        <v>998</v>
      </c>
      <c r="N547">
        <v>3</v>
      </c>
      <c r="O547" t="s">
        <v>52</v>
      </c>
      <c r="P547">
        <v>84</v>
      </c>
      <c r="Q547">
        <v>4</v>
      </c>
      <c r="R547">
        <v>2</v>
      </c>
      <c r="S547" t="s">
        <v>160</v>
      </c>
      <c r="T547">
        <v>2</v>
      </c>
      <c r="U547" t="s">
        <v>104</v>
      </c>
      <c r="V547">
        <v>5488</v>
      </c>
      <c r="W547" t="s">
        <v>162</v>
      </c>
      <c r="X547">
        <v>20161</v>
      </c>
      <c r="Y547">
        <v>1</v>
      </c>
      <c r="Z547" t="s">
        <v>47</v>
      </c>
      <c r="AA547" t="s">
        <v>39</v>
      </c>
      <c r="AB547">
        <v>13</v>
      </c>
      <c r="AC547">
        <v>3</v>
      </c>
      <c r="AD547">
        <v>1</v>
      </c>
      <c r="AE547">
        <v>80</v>
      </c>
      <c r="AF547">
        <v>1</v>
      </c>
      <c r="AG547">
        <v>6</v>
      </c>
      <c r="AH547">
        <v>2</v>
      </c>
      <c r="AI547">
        <v>3</v>
      </c>
      <c r="AJ547">
        <v>6</v>
      </c>
      <c r="AK547">
        <v>5</v>
      </c>
      <c r="AL547">
        <v>1</v>
      </c>
    </row>
    <row r="548" spans="1:38" x14ac:dyDescent="0.3">
      <c r="A548" t="s">
        <v>616</v>
      </c>
      <c r="B548">
        <v>33</v>
      </c>
      <c r="C548" t="s">
        <v>189</v>
      </c>
      <c r="D548" t="s">
        <v>48</v>
      </c>
      <c r="E548">
        <f t="shared" si="8"/>
        <v>0</v>
      </c>
      <c r="F548" t="s">
        <v>58</v>
      </c>
      <c r="G548">
        <v>1038</v>
      </c>
      <c r="H548" t="s">
        <v>50</v>
      </c>
      <c r="I548">
        <v>8</v>
      </c>
      <c r="J548">
        <v>1</v>
      </c>
      <c r="K548" t="s">
        <v>42</v>
      </c>
      <c r="L548">
        <v>1</v>
      </c>
      <c r="M548">
        <v>1044</v>
      </c>
      <c r="N548">
        <v>2</v>
      </c>
      <c r="O548" t="s">
        <v>52</v>
      </c>
      <c r="P548">
        <v>88</v>
      </c>
      <c r="Q548">
        <v>2</v>
      </c>
      <c r="R548">
        <v>1</v>
      </c>
      <c r="S548" t="s">
        <v>53</v>
      </c>
      <c r="T548">
        <v>4</v>
      </c>
      <c r="U548" t="s">
        <v>45</v>
      </c>
      <c r="V548">
        <v>2342</v>
      </c>
      <c r="W548" t="s">
        <v>46</v>
      </c>
      <c r="X548">
        <v>21437</v>
      </c>
      <c r="Y548">
        <v>0</v>
      </c>
      <c r="Z548" t="s">
        <v>47</v>
      </c>
      <c r="AA548" t="s">
        <v>48</v>
      </c>
      <c r="AB548">
        <v>19</v>
      </c>
      <c r="AC548">
        <v>3</v>
      </c>
      <c r="AD548">
        <v>4</v>
      </c>
      <c r="AE548">
        <v>80</v>
      </c>
      <c r="AF548">
        <v>0</v>
      </c>
      <c r="AG548">
        <v>3</v>
      </c>
      <c r="AH548">
        <v>2</v>
      </c>
      <c r="AI548">
        <v>2</v>
      </c>
      <c r="AJ548">
        <v>2</v>
      </c>
      <c r="AK548">
        <v>2</v>
      </c>
      <c r="AL548">
        <v>2</v>
      </c>
    </row>
    <row r="549" spans="1:38" x14ac:dyDescent="0.3">
      <c r="A549" t="s">
        <v>617</v>
      </c>
      <c r="B549">
        <v>33</v>
      </c>
      <c r="C549" t="s">
        <v>189</v>
      </c>
      <c r="D549" t="s">
        <v>48</v>
      </c>
      <c r="E549">
        <f t="shared" si="8"/>
        <v>0</v>
      </c>
      <c r="F549" t="s">
        <v>40</v>
      </c>
      <c r="G549">
        <v>654</v>
      </c>
      <c r="H549" t="s">
        <v>41</v>
      </c>
      <c r="I549">
        <v>5</v>
      </c>
      <c r="J549">
        <v>3</v>
      </c>
      <c r="K549" t="s">
        <v>42</v>
      </c>
      <c r="L549">
        <v>1</v>
      </c>
      <c r="M549">
        <v>1099</v>
      </c>
      <c r="N549">
        <v>4</v>
      </c>
      <c r="O549" t="s">
        <v>43</v>
      </c>
      <c r="P549">
        <v>34</v>
      </c>
      <c r="Q549">
        <v>2</v>
      </c>
      <c r="R549">
        <v>3</v>
      </c>
      <c r="S549" t="s">
        <v>160</v>
      </c>
      <c r="T549">
        <v>4</v>
      </c>
      <c r="U549" t="s">
        <v>101</v>
      </c>
      <c r="V549">
        <v>7119</v>
      </c>
      <c r="W549" t="s">
        <v>162</v>
      </c>
      <c r="X549">
        <v>21214</v>
      </c>
      <c r="Y549">
        <v>4</v>
      </c>
      <c r="Z549" t="s">
        <v>47</v>
      </c>
      <c r="AA549" t="s">
        <v>48</v>
      </c>
      <c r="AB549">
        <v>15</v>
      </c>
      <c r="AC549">
        <v>3</v>
      </c>
      <c r="AD549">
        <v>3</v>
      </c>
      <c r="AE549">
        <v>80</v>
      </c>
      <c r="AF549">
        <v>1</v>
      </c>
      <c r="AG549">
        <v>9</v>
      </c>
      <c r="AH549">
        <v>2</v>
      </c>
      <c r="AI549">
        <v>3</v>
      </c>
      <c r="AJ549">
        <v>3</v>
      </c>
      <c r="AK549">
        <v>2</v>
      </c>
      <c r="AL549">
        <v>1</v>
      </c>
    </row>
    <row r="550" spans="1:38" x14ac:dyDescent="0.3">
      <c r="A550" t="s">
        <v>618</v>
      </c>
      <c r="B550">
        <v>33</v>
      </c>
      <c r="C550" t="s">
        <v>189</v>
      </c>
      <c r="D550" t="s">
        <v>39</v>
      </c>
      <c r="E550">
        <f t="shared" si="8"/>
        <v>1</v>
      </c>
      <c r="F550" t="s">
        <v>55</v>
      </c>
      <c r="G550">
        <v>827</v>
      </c>
      <c r="H550" t="s">
        <v>41</v>
      </c>
      <c r="I550">
        <v>29</v>
      </c>
      <c r="J550">
        <v>4</v>
      </c>
      <c r="K550" t="s">
        <v>51</v>
      </c>
      <c r="L550">
        <v>1</v>
      </c>
      <c r="M550">
        <v>1101</v>
      </c>
      <c r="N550">
        <v>1</v>
      </c>
      <c r="O550" t="s">
        <v>52</v>
      </c>
      <c r="P550">
        <v>54</v>
      </c>
      <c r="Q550">
        <v>2</v>
      </c>
      <c r="R550">
        <v>2</v>
      </c>
      <c r="S550" t="s">
        <v>59</v>
      </c>
      <c r="T550">
        <v>3</v>
      </c>
      <c r="U550" t="s">
        <v>45</v>
      </c>
      <c r="V550">
        <v>4508</v>
      </c>
      <c r="W550" t="s">
        <v>46</v>
      </c>
      <c r="X550">
        <v>3129</v>
      </c>
      <c r="Y550">
        <v>1</v>
      </c>
      <c r="Z550" t="s">
        <v>47</v>
      </c>
      <c r="AA550" t="s">
        <v>48</v>
      </c>
      <c r="AB550">
        <v>22</v>
      </c>
      <c r="AC550">
        <v>4</v>
      </c>
      <c r="AD550">
        <v>2</v>
      </c>
      <c r="AE550">
        <v>80</v>
      </c>
      <c r="AF550">
        <v>0</v>
      </c>
      <c r="AG550">
        <v>14</v>
      </c>
      <c r="AH550">
        <v>4</v>
      </c>
      <c r="AI550">
        <v>3</v>
      </c>
      <c r="AJ550">
        <v>13</v>
      </c>
      <c r="AK550">
        <v>7</v>
      </c>
      <c r="AL550">
        <v>3</v>
      </c>
    </row>
    <row r="551" spans="1:38" x14ac:dyDescent="0.3">
      <c r="A551" t="s">
        <v>619</v>
      </c>
      <c r="B551">
        <v>33</v>
      </c>
      <c r="C551" t="s">
        <v>189</v>
      </c>
      <c r="D551" t="s">
        <v>39</v>
      </c>
      <c r="E551">
        <f t="shared" si="8"/>
        <v>1</v>
      </c>
      <c r="F551" t="s">
        <v>40</v>
      </c>
      <c r="G551">
        <v>1017</v>
      </c>
      <c r="H551" t="s">
        <v>41</v>
      </c>
      <c r="I551">
        <v>25</v>
      </c>
      <c r="J551">
        <v>3</v>
      </c>
      <c r="K551" t="s">
        <v>51</v>
      </c>
      <c r="L551">
        <v>1</v>
      </c>
      <c r="M551">
        <v>1108</v>
      </c>
      <c r="N551">
        <v>1</v>
      </c>
      <c r="O551" t="s">
        <v>43</v>
      </c>
      <c r="P551">
        <v>55</v>
      </c>
      <c r="Q551">
        <v>2</v>
      </c>
      <c r="R551">
        <v>1</v>
      </c>
      <c r="S551" t="s">
        <v>59</v>
      </c>
      <c r="T551">
        <v>2</v>
      </c>
      <c r="U551" t="s">
        <v>45</v>
      </c>
      <c r="V551">
        <v>2313</v>
      </c>
      <c r="W551" t="s">
        <v>46</v>
      </c>
      <c r="X551">
        <v>2993</v>
      </c>
      <c r="Y551">
        <v>4</v>
      </c>
      <c r="Z551" t="s">
        <v>47</v>
      </c>
      <c r="AA551" t="s">
        <v>39</v>
      </c>
      <c r="AB551">
        <v>20</v>
      </c>
      <c r="AC551">
        <v>4</v>
      </c>
      <c r="AD551">
        <v>2</v>
      </c>
      <c r="AE551">
        <v>80</v>
      </c>
      <c r="AF551">
        <v>0</v>
      </c>
      <c r="AG551">
        <v>5</v>
      </c>
      <c r="AH551">
        <v>0</v>
      </c>
      <c r="AI551">
        <v>3</v>
      </c>
      <c r="AJ551">
        <v>2</v>
      </c>
      <c r="AK551">
        <v>2</v>
      </c>
      <c r="AL551">
        <v>2</v>
      </c>
    </row>
    <row r="552" spans="1:38" x14ac:dyDescent="0.3">
      <c r="A552" t="s">
        <v>620</v>
      </c>
      <c r="B552">
        <v>33</v>
      </c>
      <c r="C552" t="s">
        <v>189</v>
      </c>
      <c r="D552" t="s">
        <v>48</v>
      </c>
      <c r="E552">
        <f t="shared" si="8"/>
        <v>0</v>
      </c>
      <c r="F552" t="s">
        <v>55</v>
      </c>
      <c r="G552">
        <v>970</v>
      </c>
      <c r="H552" t="s">
        <v>50</v>
      </c>
      <c r="I552">
        <v>7</v>
      </c>
      <c r="J552">
        <v>3</v>
      </c>
      <c r="K552" t="s">
        <v>42</v>
      </c>
      <c r="L552">
        <v>1</v>
      </c>
      <c r="M552">
        <v>1114</v>
      </c>
      <c r="N552">
        <v>4</v>
      </c>
      <c r="O552" t="s">
        <v>52</v>
      </c>
      <c r="P552">
        <v>30</v>
      </c>
      <c r="Q552">
        <v>3</v>
      </c>
      <c r="R552">
        <v>2</v>
      </c>
      <c r="S552" t="s">
        <v>136</v>
      </c>
      <c r="T552">
        <v>2</v>
      </c>
      <c r="U552" t="s">
        <v>104</v>
      </c>
      <c r="V552">
        <v>4302</v>
      </c>
      <c r="W552" t="s">
        <v>46</v>
      </c>
      <c r="X552">
        <v>13401</v>
      </c>
      <c r="Y552">
        <v>0</v>
      </c>
      <c r="Z552" t="s">
        <v>47</v>
      </c>
      <c r="AA552" t="s">
        <v>48</v>
      </c>
      <c r="AB552">
        <v>17</v>
      </c>
      <c r="AC552">
        <v>3</v>
      </c>
      <c r="AD552">
        <v>3</v>
      </c>
      <c r="AE552">
        <v>80</v>
      </c>
      <c r="AF552">
        <v>1</v>
      </c>
      <c r="AG552">
        <v>4</v>
      </c>
      <c r="AH552">
        <v>3</v>
      </c>
      <c r="AI552">
        <v>3</v>
      </c>
      <c r="AJ552">
        <v>3</v>
      </c>
      <c r="AK552">
        <v>2</v>
      </c>
      <c r="AL552">
        <v>0</v>
      </c>
    </row>
    <row r="553" spans="1:38" x14ac:dyDescent="0.3">
      <c r="A553" t="s">
        <v>621</v>
      </c>
      <c r="B553">
        <v>33</v>
      </c>
      <c r="C553" t="s">
        <v>189</v>
      </c>
      <c r="D553" t="s">
        <v>39</v>
      </c>
      <c r="E553">
        <f t="shared" si="8"/>
        <v>1</v>
      </c>
      <c r="F553" t="s">
        <v>40</v>
      </c>
      <c r="G553">
        <v>603</v>
      </c>
      <c r="H553" t="s">
        <v>50</v>
      </c>
      <c r="I553">
        <v>9</v>
      </c>
      <c r="J553">
        <v>4</v>
      </c>
      <c r="K553" t="s">
        <v>56</v>
      </c>
      <c r="L553">
        <v>1</v>
      </c>
      <c r="M553">
        <v>1157</v>
      </c>
      <c r="N553">
        <v>1</v>
      </c>
      <c r="O553" t="s">
        <v>52</v>
      </c>
      <c r="P553">
        <v>77</v>
      </c>
      <c r="Q553">
        <v>3</v>
      </c>
      <c r="R553">
        <v>2</v>
      </c>
      <c r="S553" t="s">
        <v>136</v>
      </c>
      <c r="T553">
        <v>1</v>
      </c>
      <c r="U553" t="s">
        <v>45</v>
      </c>
      <c r="V553">
        <v>8224</v>
      </c>
      <c r="W553" t="s">
        <v>162</v>
      </c>
      <c r="X553">
        <v>18385</v>
      </c>
      <c r="Y553">
        <v>0</v>
      </c>
      <c r="Z553" t="s">
        <v>47</v>
      </c>
      <c r="AA553" t="s">
        <v>39</v>
      </c>
      <c r="AB553">
        <v>17</v>
      </c>
      <c r="AC553">
        <v>3</v>
      </c>
      <c r="AD553">
        <v>1</v>
      </c>
      <c r="AE553">
        <v>80</v>
      </c>
      <c r="AF553">
        <v>0</v>
      </c>
      <c r="AG553">
        <v>6</v>
      </c>
      <c r="AH553">
        <v>3</v>
      </c>
      <c r="AI553">
        <v>3</v>
      </c>
      <c r="AJ553">
        <v>5</v>
      </c>
      <c r="AK553">
        <v>2</v>
      </c>
      <c r="AL553">
        <v>0</v>
      </c>
    </row>
    <row r="554" spans="1:38" x14ac:dyDescent="0.3">
      <c r="A554" t="s">
        <v>622</v>
      </c>
      <c r="B554">
        <v>33</v>
      </c>
      <c r="C554" t="s">
        <v>189</v>
      </c>
      <c r="D554" t="s">
        <v>48</v>
      </c>
      <c r="E554">
        <f t="shared" si="8"/>
        <v>0</v>
      </c>
      <c r="F554" t="s">
        <v>40</v>
      </c>
      <c r="G554">
        <v>147</v>
      </c>
      <c r="H554" t="s">
        <v>70</v>
      </c>
      <c r="I554">
        <v>2</v>
      </c>
      <c r="J554">
        <v>3</v>
      </c>
      <c r="K554" t="s">
        <v>70</v>
      </c>
      <c r="L554">
        <v>1</v>
      </c>
      <c r="M554">
        <v>1207</v>
      </c>
      <c r="N554">
        <v>2</v>
      </c>
      <c r="O554" t="s">
        <v>43</v>
      </c>
      <c r="P554">
        <v>99</v>
      </c>
      <c r="Q554">
        <v>3</v>
      </c>
      <c r="R554">
        <v>1</v>
      </c>
      <c r="S554" t="s">
        <v>70</v>
      </c>
      <c r="T554">
        <v>3</v>
      </c>
      <c r="U554" t="s">
        <v>104</v>
      </c>
      <c r="V554">
        <v>3600</v>
      </c>
      <c r="W554" t="s">
        <v>46</v>
      </c>
      <c r="X554">
        <v>8429</v>
      </c>
      <c r="Y554">
        <v>1</v>
      </c>
      <c r="Z554" t="s">
        <v>47</v>
      </c>
      <c r="AA554" t="s">
        <v>48</v>
      </c>
      <c r="AB554">
        <v>13</v>
      </c>
      <c r="AC554">
        <v>3</v>
      </c>
      <c r="AD554">
        <v>4</v>
      </c>
      <c r="AE554">
        <v>80</v>
      </c>
      <c r="AF554">
        <v>1</v>
      </c>
      <c r="AG554">
        <v>5</v>
      </c>
      <c r="AH554">
        <v>2</v>
      </c>
      <c r="AI554">
        <v>3</v>
      </c>
      <c r="AJ554">
        <v>5</v>
      </c>
      <c r="AK554">
        <v>4</v>
      </c>
      <c r="AL554">
        <v>1</v>
      </c>
    </row>
    <row r="555" spans="1:38" x14ac:dyDescent="0.3">
      <c r="A555" t="s">
        <v>623</v>
      </c>
      <c r="B555">
        <v>33</v>
      </c>
      <c r="C555" t="s">
        <v>189</v>
      </c>
      <c r="D555" t="s">
        <v>48</v>
      </c>
      <c r="E555">
        <f t="shared" si="8"/>
        <v>0</v>
      </c>
      <c r="F555" t="s">
        <v>55</v>
      </c>
      <c r="G555">
        <v>1146</v>
      </c>
      <c r="H555" t="s">
        <v>50</v>
      </c>
      <c r="I555">
        <v>25</v>
      </c>
      <c r="J555">
        <v>3</v>
      </c>
      <c r="K555" t="s">
        <v>51</v>
      </c>
      <c r="L555">
        <v>1</v>
      </c>
      <c r="M555">
        <v>1220</v>
      </c>
      <c r="N555">
        <v>2</v>
      </c>
      <c r="O555" t="s">
        <v>52</v>
      </c>
      <c r="P555">
        <v>82</v>
      </c>
      <c r="Q555">
        <v>3</v>
      </c>
      <c r="R555">
        <v>2</v>
      </c>
      <c r="S555" t="s">
        <v>136</v>
      </c>
      <c r="T555">
        <v>3</v>
      </c>
      <c r="U555" t="s">
        <v>104</v>
      </c>
      <c r="V555">
        <v>4539</v>
      </c>
      <c r="W555" t="s">
        <v>46</v>
      </c>
      <c r="X555">
        <v>4905</v>
      </c>
      <c r="Y555">
        <v>1</v>
      </c>
      <c r="Z555" t="s">
        <v>47</v>
      </c>
      <c r="AA555" t="s">
        <v>48</v>
      </c>
      <c r="AB555">
        <v>12</v>
      </c>
      <c r="AC555">
        <v>3</v>
      </c>
      <c r="AD555">
        <v>1</v>
      </c>
      <c r="AE555">
        <v>80</v>
      </c>
      <c r="AF555">
        <v>1</v>
      </c>
      <c r="AG555">
        <v>10</v>
      </c>
      <c r="AH555">
        <v>3</v>
      </c>
      <c r="AI555">
        <v>2</v>
      </c>
      <c r="AJ555">
        <v>10</v>
      </c>
      <c r="AK555">
        <v>7</v>
      </c>
      <c r="AL555">
        <v>0</v>
      </c>
    </row>
    <row r="556" spans="1:38" x14ac:dyDescent="0.3">
      <c r="A556" t="s">
        <v>624</v>
      </c>
      <c r="B556">
        <v>33</v>
      </c>
      <c r="C556" t="s">
        <v>189</v>
      </c>
      <c r="D556" t="s">
        <v>48</v>
      </c>
      <c r="E556">
        <f t="shared" si="8"/>
        <v>0</v>
      </c>
      <c r="F556" t="s">
        <v>40</v>
      </c>
      <c r="G556">
        <v>117</v>
      </c>
      <c r="H556" t="s">
        <v>41</v>
      </c>
      <c r="I556">
        <v>9</v>
      </c>
      <c r="J556">
        <v>3</v>
      </c>
      <c r="K556" t="s">
        <v>51</v>
      </c>
      <c r="L556">
        <v>1</v>
      </c>
      <c r="M556">
        <v>1238</v>
      </c>
      <c r="N556">
        <v>1</v>
      </c>
      <c r="O556" t="s">
        <v>43</v>
      </c>
      <c r="P556">
        <v>60</v>
      </c>
      <c r="Q556">
        <v>3</v>
      </c>
      <c r="R556">
        <v>1</v>
      </c>
      <c r="S556" t="s">
        <v>59</v>
      </c>
      <c r="T556">
        <v>4</v>
      </c>
      <c r="U556" t="s">
        <v>104</v>
      </c>
      <c r="V556">
        <v>2781</v>
      </c>
      <c r="W556" t="s">
        <v>46</v>
      </c>
      <c r="X556">
        <v>6311</v>
      </c>
      <c r="Y556">
        <v>0</v>
      </c>
      <c r="Z556" t="s">
        <v>47</v>
      </c>
      <c r="AA556" t="s">
        <v>48</v>
      </c>
      <c r="AB556">
        <v>13</v>
      </c>
      <c r="AC556">
        <v>3</v>
      </c>
      <c r="AD556">
        <v>2</v>
      </c>
      <c r="AE556">
        <v>80</v>
      </c>
      <c r="AF556">
        <v>1</v>
      </c>
      <c r="AG556">
        <v>15</v>
      </c>
      <c r="AH556">
        <v>5</v>
      </c>
      <c r="AI556">
        <v>3</v>
      </c>
      <c r="AJ556">
        <v>14</v>
      </c>
      <c r="AK556">
        <v>10</v>
      </c>
      <c r="AL556">
        <v>4</v>
      </c>
    </row>
    <row r="557" spans="1:38" x14ac:dyDescent="0.3">
      <c r="A557" t="s">
        <v>625</v>
      </c>
      <c r="B557">
        <v>33</v>
      </c>
      <c r="C557" t="s">
        <v>189</v>
      </c>
      <c r="D557" t="s">
        <v>48</v>
      </c>
      <c r="E557">
        <f t="shared" si="8"/>
        <v>0</v>
      </c>
      <c r="F557" t="s">
        <v>40</v>
      </c>
      <c r="G557">
        <v>536</v>
      </c>
      <c r="H557" t="s">
        <v>50</v>
      </c>
      <c r="I557">
        <v>10</v>
      </c>
      <c r="J557">
        <v>5</v>
      </c>
      <c r="K557" t="s">
        <v>56</v>
      </c>
      <c r="L557">
        <v>1</v>
      </c>
      <c r="M557">
        <v>1268</v>
      </c>
      <c r="N557">
        <v>4</v>
      </c>
      <c r="O557" t="s">
        <v>43</v>
      </c>
      <c r="P557">
        <v>82</v>
      </c>
      <c r="Q557">
        <v>4</v>
      </c>
      <c r="R557">
        <v>3</v>
      </c>
      <c r="S557" t="s">
        <v>136</v>
      </c>
      <c r="T557">
        <v>3</v>
      </c>
      <c r="U557" t="s">
        <v>101</v>
      </c>
      <c r="V557">
        <v>8380</v>
      </c>
      <c r="W557" t="s">
        <v>162</v>
      </c>
      <c r="X557">
        <v>21708</v>
      </c>
      <c r="Y557">
        <v>0</v>
      </c>
      <c r="Z557" t="s">
        <v>47</v>
      </c>
      <c r="AA557" t="s">
        <v>39</v>
      </c>
      <c r="AB557">
        <v>14</v>
      </c>
      <c r="AC557">
        <v>3</v>
      </c>
      <c r="AD557">
        <v>4</v>
      </c>
      <c r="AE557">
        <v>80</v>
      </c>
      <c r="AF557">
        <v>2</v>
      </c>
      <c r="AG557">
        <v>10</v>
      </c>
      <c r="AH557">
        <v>3</v>
      </c>
      <c r="AI557">
        <v>3</v>
      </c>
      <c r="AJ557">
        <v>9</v>
      </c>
      <c r="AK557">
        <v>8</v>
      </c>
      <c r="AL557">
        <v>0</v>
      </c>
    </row>
    <row r="558" spans="1:38" x14ac:dyDescent="0.3">
      <c r="A558" t="s">
        <v>626</v>
      </c>
      <c r="B558">
        <v>33</v>
      </c>
      <c r="C558" t="s">
        <v>189</v>
      </c>
      <c r="D558" t="s">
        <v>48</v>
      </c>
      <c r="E558">
        <f t="shared" si="8"/>
        <v>0</v>
      </c>
      <c r="F558" t="s">
        <v>55</v>
      </c>
      <c r="G558">
        <v>1111</v>
      </c>
      <c r="H558" t="s">
        <v>50</v>
      </c>
      <c r="I558">
        <v>5</v>
      </c>
      <c r="J558">
        <v>1</v>
      </c>
      <c r="K558" t="s">
        <v>42</v>
      </c>
      <c r="L558">
        <v>1</v>
      </c>
      <c r="M558">
        <v>1395</v>
      </c>
      <c r="N558">
        <v>2</v>
      </c>
      <c r="O558" t="s">
        <v>43</v>
      </c>
      <c r="P558">
        <v>61</v>
      </c>
      <c r="Q558">
        <v>3</v>
      </c>
      <c r="R558">
        <v>2</v>
      </c>
      <c r="S558" t="s">
        <v>136</v>
      </c>
      <c r="T558">
        <v>4</v>
      </c>
      <c r="U558" t="s">
        <v>104</v>
      </c>
      <c r="V558">
        <v>9998</v>
      </c>
      <c r="W558" t="s">
        <v>162</v>
      </c>
      <c r="X558">
        <v>19293</v>
      </c>
      <c r="Y558">
        <v>6</v>
      </c>
      <c r="Z558" t="s">
        <v>47</v>
      </c>
      <c r="AA558" t="s">
        <v>48</v>
      </c>
      <c r="AB558">
        <v>13</v>
      </c>
      <c r="AC558">
        <v>3</v>
      </c>
      <c r="AD558">
        <v>1</v>
      </c>
      <c r="AE558">
        <v>80</v>
      </c>
      <c r="AF558">
        <v>0</v>
      </c>
      <c r="AG558">
        <v>8</v>
      </c>
      <c r="AH558">
        <v>2</v>
      </c>
      <c r="AI558">
        <v>4</v>
      </c>
      <c r="AJ558">
        <v>5</v>
      </c>
      <c r="AK558">
        <v>4</v>
      </c>
      <c r="AL558">
        <v>1</v>
      </c>
    </row>
    <row r="559" spans="1:38" x14ac:dyDescent="0.3">
      <c r="A559" t="s">
        <v>627</v>
      </c>
      <c r="B559">
        <v>33</v>
      </c>
      <c r="C559" t="s">
        <v>189</v>
      </c>
      <c r="D559" t="s">
        <v>48</v>
      </c>
      <c r="E559">
        <f t="shared" si="8"/>
        <v>0</v>
      </c>
      <c r="F559" t="s">
        <v>55</v>
      </c>
      <c r="G559">
        <v>430</v>
      </c>
      <c r="H559" t="s">
        <v>50</v>
      </c>
      <c r="I559">
        <v>7</v>
      </c>
      <c r="J559">
        <v>3</v>
      </c>
      <c r="K559" t="s">
        <v>51</v>
      </c>
      <c r="L559">
        <v>1</v>
      </c>
      <c r="M559">
        <v>1477</v>
      </c>
      <c r="N559">
        <v>4</v>
      </c>
      <c r="O559" t="s">
        <v>43</v>
      </c>
      <c r="P559">
        <v>54</v>
      </c>
      <c r="Q559">
        <v>3</v>
      </c>
      <c r="R559">
        <v>2</v>
      </c>
      <c r="S559" t="s">
        <v>136</v>
      </c>
      <c r="T559">
        <v>1</v>
      </c>
      <c r="U559" t="s">
        <v>104</v>
      </c>
      <c r="V559">
        <v>4373</v>
      </c>
      <c r="W559" t="s">
        <v>46</v>
      </c>
      <c r="X559">
        <v>17456</v>
      </c>
      <c r="Y559">
        <v>0</v>
      </c>
      <c r="Z559" t="s">
        <v>47</v>
      </c>
      <c r="AA559" t="s">
        <v>48</v>
      </c>
      <c r="AB559">
        <v>14</v>
      </c>
      <c r="AC559">
        <v>3</v>
      </c>
      <c r="AD559">
        <v>1</v>
      </c>
      <c r="AE559">
        <v>80</v>
      </c>
      <c r="AF559">
        <v>2</v>
      </c>
      <c r="AG559">
        <v>5</v>
      </c>
      <c r="AH559">
        <v>2</v>
      </c>
      <c r="AI559">
        <v>3</v>
      </c>
      <c r="AJ559">
        <v>4</v>
      </c>
      <c r="AK559">
        <v>3</v>
      </c>
      <c r="AL559">
        <v>0</v>
      </c>
    </row>
    <row r="560" spans="1:38" x14ac:dyDescent="0.3">
      <c r="A560" t="s">
        <v>628</v>
      </c>
      <c r="B560">
        <v>33</v>
      </c>
      <c r="C560" t="s">
        <v>189</v>
      </c>
      <c r="D560" t="s">
        <v>48</v>
      </c>
      <c r="E560">
        <f t="shared" si="8"/>
        <v>0</v>
      </c>
      <c r="F560" t="s">
        <v>40</v>
      </c>
      <c r="G560">
        <v>1099</v>
      </c>
      <c r="H560" t="s">
        <v>41</v>
      </c>
      <c r="I560">
        <v>4</v>
      </c>
      <c r="J560">
        <v>4</v>
      </c>
      <c r="K560" t="s">
        <v>51</v>
      </c>
      <c r="L560">
        <v>1</v>
      </c>
      <c r="M560">
        <v>1502</v>
      </c>
      <c r="N560">
        <v>1</v>
      </c>
      <c r="O560" t="s">
        <v>52</v>
      </c>
      <c r="P560">
        <v>82</v>
      </c>
      <c r="Q560">
        <v>2</v>
      </c>
      <c r="R560">
        <v>1</v>
      </c>
      <c r="S560" t="s">
        <v>44</v>
      </c>
      <c r="T560">
        <v>2</v>
      </c>
      <c r="U560" t="s">
        <v>104</v>
      </c>
      <c r="V560">
        <v>3838</v>
      </c>
      <c r="W560" t="s">
        <v>46</v>
      </c>
      <c r="X560">
        <v>8192</v>
      </c>
      <c r="Y560">
        <v>8</v>
      </c>
      <c r="Z560" t="s">
        <v>47</v>
      </c>
      <c r="AA560" t="s">
        <v>48</v>
      </c>
      <c r="AB560">
        <v>11</v>
      </c>
      <c r="AC560">
        <v>3</v>
      </c>
      <c r="AD560">
        <v>4</v>
      </c>
      <c r="AE560">
        <v>80</v>
      </c>
      <c r="AF560">
        <v>0</v>
      </c>
      <c r="AG560">
        <v>8</v>
      </c>
      <c r="AH560">
        <v>5</v>
      </c>
      <c r="AI560">
        <v>3</v>
      </c>
      <c r="AJ560">
        <v>5</v>
      </c>
      <c r="AK560">
        <v>4</v>
      </c>
      <c r="AL560">
        <v>0</v>
      </c>
    </row>
    <row r="561" spans="1:38" x14ac:dyDescent="0.3">
      <c r="A561" t="s">
        <v>629</v>
      </c>
      <c r="B561">
        <v>33</v>
      </c>
      <c r="C561" t="s">
        <v>189</v>
      </c>
      <c r="D561" t="s">
        <v>48</v>
      </c>
      <c r="E561">
        <f t="shared" si="8"/>
        <v>0</v>
      </c>
      <c r="F561" t="s">
        <v>40</v>
      </c>
      <c r="G561">
        <v>516</v>
      </c>
      <c r="H561" t="s">
        <v>41</v>
      </c>
      <c r="I561">
        <v>8</v>
      </c>
      <c r="J561">
        <v>5</v>
      </c>
      <c r="K561" t="s">
        <v>42</v>
      </c>
      <c r="L561">
        <v>1</v>
      </c>
      <c r="M561">
        <v>1515</v>
      </c>
      <c r="N561">
        <v>4</v>
      </c>
      <c r="O561" t="s">
        <v>43</v>
      </c>
      <c r="P561">
        <v>69</v>
      </c>
      <c r="Q561">
        <v>3</v>
      </c>
      <c r="R561">
        <v>2</v>
      </c>
      <c r="S561" t="s">
        <v>160</v>
      </c>
      <c r="T561">
        <v>3</v>
      </c>
      <c r="U561" t="s">
        <v>45</v>
      </c>
      <c r="V561">
        <v>6388</v>
      </c>
      <c r="W561" t="s">
        <v>162</v>
      </c>
      <c r="X561">
        <v>22049</v>
      </c>
      <c r="Y561">
        <v>2</v>
      </c>
      <c r="Z561" t="s">
        <v>47</v>
      </c>
      <c r="AA561" t="s">
        <v>39</v>
      </c>
      <c r="AB561">
        <v>17</v>
      </c>
      <c r="AC561">
        <v>3</v>
      </c>
      <c r="AD561">
        <v>1</v>
      </c>
      <c r="AE561">
        <v>80</v>
      </c>
      <c r="AF561">
        <v>0</v>
      </c>
      <c r="AG561">
        <v>14</v>
      </c>
      <c r="AH561">
        <v>6</v>
      </c>
      <c r="AI561">
        <v>3</v>
      </c>
      <c r="AJ561">
        <v>0</v>
      </c>
      <c r="AK561">
        <v>0</v>
      </c>
      <c r="AL561">
        <v>0</v>
      </c>
    </row>
    <row r="562" spans="1:38" x14ac:dyDescent="0.3">
      <c r="A562" t="s">
        <v>630</v>
      </c>
      <c r="B562">
        <v>33</v>
      </c>
      <c r="C562" t="s">
        <v>189</v>
      </c>
      <c r="D562" t="s">
        <v>48</v>
      </c>
      <c r="E562">
        <f t="shared" si="8"/>
        <v>0</v>
      </c>
      <c r="F562" t="s">
        <v>40</v>
      </c>
      <c r="G562">
        <v>575</v>
      </c>
      <c r="H562" t="s">
        <v>41</v>
      </c>
      <c r="I562">
        <v>25</v>
      </c>
      <c r="J562">
        <v>3</v>
      </c>
      <c r="K562" t="s">
        <v>42</v>
      </c>
      <c r="L562">
        <v>1</v>
      </c>
      <c r="M562">
        <v>1545</v>
      </c>
      <c r="N562">
        <v>4</v>
      </c>
      <c r="O562" t="s">
        <v>43</v>
      </c>
      <c r="P562">
        <v>44</v>
      </c>
      <c r="Q562">
        <v>2</v>
      </c>
      <c r="R562">
        <v>2</v>
      </c>
      <c r="S562" t="s">
        <v>111</v>
      </c>
      <c r="T562">
        <v>2</v>
      </c>
      <c r="U562" t="s">
        <v>45</v>
      </c>
      <c r="V562">
        <v>4320</v>
      </c>
      <c r="W562" t="s">
        <v>46</v>
      </c>
      <c r="X562">
        <v>24152</v>
      </c>
      <c r="Y562">
        <v>1</v>
      </c>
      <c r="Z562" t="s">
        <v>47</v>
      </c>
      <c r="AA562" t="s">
        <v>48</v>
      </c>
      <c r="AB562">
        <v>13</v>
      </c>
      <c r="AC562">
        <v>3</v>
      </c>
      <c r="AD562">
        <v>4</v>
      </c>
      <c r="AE562">
        <v>80</v>
      </c>
      <c r="AF562">
        <v>0</v>
      </c>
      <c r="AG562">
        <v>5</v>
      </c>
      <c r="AH562">
        <v>2</v>
      </c>
      <c r="AI562">
        <v>3</v>
      </c>
      <c r="AJ562">
        <v>5</v>
      </c>
      <c r="AK562">
        <v>3</v>
      </c>
      <c r="AL562">
        <v>0</v>
      </c>
    </row>
    <row r="563" spans="1:38" x14ac:dyDescent="0.3">
      <c r="A563" t="s">
        <v>631</v>
      </c>
      <c r="B563">
        <v>33</v>
      </c>
      <c r="C563" t="s">
        <v>189</v>
      </c>
      <c r="D563" t="s">
        <v>48</v>
      </c>
      <c r="E563">
        <f t="shared" si="8"/>
        <v>0</v>
      </c>
      <c r="F563" t="s">
        <v>40</v>
      </c>
      <c r="G563">
        <v>589</v>
      </c>
      <c r="H563" t="s">
        <v>41</v>
      </c>
      <c r="I563">
        <v>28</v>
      </c>
      <c r="J563">
        <v>4</v>
      </c>
      <c r="K563" t="s">
        <v>42</v>
      </c>
      <c r="L563">
        <v>1</v>
      </c>
      <c r="M563">
        <v>1549</v>
      </c>
      <c r="N563">
        <v>2</v>
      </c>
      <c r="O563" t="s">
        <v>43</v>
      </c>
      <c r="P563">
        <v>79</v>
      </c>
      <c r="Q563">
        <v>3</v>
      </c>
      <c r="R563">
        <v>2</v>
      </c>
      <c r="S563" t="s">
        <v>44</v>
      </c>
      <c r="T563">
        <v>3</v>
      </c>
      <c r="U563" t="s">
        <v>104</v>
      </c>
      <c r="V563">
        <v>5207</v>
      </c>
      <c r="W563" t="s">
        <v>162</v>
      </c>
      <c r="X563">
        <v>22949</v>
      </c>
      <c r="Y563">
        <v>1</v>
      </c>
      <c r="Z563" t="s">
        <v>47</v>
      </c>
      <c r="AA563" t="s">
        <v>39</v>
      </c>
      <c r="AB563">
        <v>12</v>
      </c>
      <c r="AC563">
        <v>3</v>
      </c>
      <c r="AD563">
        <v>2</v>
      </c>
      <c r="AE563">
        <v>80</v>
      </c>
      <c r="AF563">
        <v>1</v>
      </c>
      <c r="AG563">
        <v>15</v>
      </c>
      <c r="AH563">
        <v>3</v>
      </c>
      <c r="AI563">
        <v>3</v>
      </c>
      <c r="AJ563">
        <v>15</v>
      </c>
      <c r="AK563">
        <v>14</v>
      </c>
      <c r="AL563">
        <v>5</v>
      </c>
    </row>
    <row r="564" spans="1:38" x14ac:dyDescent="0.3">
      <c r="A564" t="s">
        <v>632</v>
      </c>
      <c r="B564">
        <v>33</v>
      </c>
      <c r="C564" t="s">
        <v>189</v>
      </c>
      <c r="D564" t="s">
        <v>48</v>
      </c>
      <c r="E564">
        <f t="shared" si="8"/>
        <v>0</v>
      </c>
      <c r="F564" t="s">
        <v>40</v>
      </c>
      <c r="G564">
        <v>1242</v>
      </c>
      <c r="H564" t="s">
        <v>50</v>
      </c>
      <c r="I564">
        <v>8</v>
      </c>
      <c r="J564">
        <v>4</v>
      </c>
      <c r="K564" t="s">
        <v>42</v>
      </c>
      <c r="L564">
        <v>1</v>
      </c>
      <c r="M564">
        <v>1560</v>
      </c>
      <c r="N564">
        <v>1</v>
      </c>
      <c r="O564" t="s">
        <v>43</v>
      </c>
      <c r="P564">
        <v>46</v>
      </c>
      <c r="Q564">
        <v>3</v>
      </c>
      <c r="R564">
        <v>2</v>
      </c>
      <c r="S564" t="s">
        <v>136</v>
      </c>
      <c r="T564">
        <v>1</v>
      </c>
      <c r="U564" t="s">
        <v>104</v>
      </c>
      <c r="V564">
        <v>6392</v>
      </c>
      <c r="W564" t="s">
        <v>162</v>
      </c>
      <c r="X564">
        <v>10589</v>
      </c>
      <c r="Y564">
        <v>2</v>
      </c>
      <c r="Z564" t="s">
        <v>47</v>
      </c>
      <c r="AA564" t="s">
        <v>48</v>
      </c>
      <c r="AB564">
        <v>13</v>
      </c>
      <c r="AC564">
        <v>3</v>
      </c>
      <c r="AD564">
        <v>4</v>
      </c>
      <c r="AE564">
        <v>80</v>
      </c>
      <c r="AF564">
        <v>1</v>
      </c>
      <c r="AG564">
        <v>8</v>
      </c>
      <c r="AH564">
        <v>6</v>
      </c>
      <c r="AI564">
        <v>1</v>
      </c>
      <c r="AJ564">
        <v>2</v>
      </c>
      <c r="AK564">
        <v>2</v>
      </c>
      <c r="AL564">
        <v>2</v>
      </c>
    </row>
    <row r="565" spans="1:38" x14ac:dyDescent="0.3">
      <c r="A565" t="s">
        <v>633</v>
      </c>
      <c r="B565">
        <v>33</v>
      </c>
      <c r="C565" t="s">
        <v>189</v>
      </c>
      <c r="D565" t="s">
        <v>48</v>
      </c>
      <c r="E565">
        <f t="shared" si="8"/>
        <v>0</v>
      </c>
      <c r="F565" t="s">
        <v>40</v>
      </c>
      <c r="G565">
        <v>392</v>
      </c>
      <c r="H565" t="s">
        <v>50</v>
      </c>
      <c r="I565">
        <v>2</v>
      </c>
      <c r="J565">
        <v>4</v>
      </c>
      <c r="K565" t="s">
        <v>51</v>
      </c>
      <c r="L565">
        <v>1</v>
      </c>
      <c r="M565">
        <v>1670</v>
      </c>
      <c r="N565">
        <v>4</v>
      </c>
      <c r="O565" t="s">
        <v>43</v>
      </c>
      <c r="P565">
        <v>93</v>
      </c>
      <c r="Q565">
        <v>3</v>
      </c>
      <c r="R565">
        <v>2</v>
      </c>
      <c r="S565" t="s">
        <v>136</v>
      </c>
      <c r="T565">
        <v>4</v>
      </c>
      <c r="U565" t="s">
        <v>101</v>
      </c>
      <c r="V565">
        <v>5505</v>
      </c>
      <c r="W565" t="s">
        <v>162</v>
      </c>
      <c r="X565">
        <v>3921</v>
      </c>
      <c r="Y565">
        <v>1</v>
      </c>
      <c r="Z565" t="s">
        <v>47</v>
      </c>
      <c r="AA565" t="s">
        <v>48</v>
      </c>
      <c r="AB565">
        <v>14</v>
      </c>
      <c r="AC565">
        <v>3</v>
      </c>
      <c r="AD565">
        <v>3</v>
      </c>
      <c r="AE565">
        <v>80</v>
      </c>
      <c r="AF565">
        <v>2</v>
      </c>
      <c r="AG565">
        <v>6</v>
      </c>
      <c r="AH565">
        <v>5</v>
      </c>
      <c r="AI565">
        <v>3</v>
      </c>
      <c r="AJ565">
        <v>6</v>
      </c>
      <c r="AK565">
        <v>2</v>
      </c>
      <c r="AL565">
        <v>0</v>
      </c>
    </row>
    <row r="566" spans="1:38" x14ac:dyDescent="0.3">
      <c r="A566" t="s">
        <v>634</v>
      </c>
      <c r="B566">
        <v>33</v>
      </c>
      <c r="C566" t="s">
        <v>189</v>
      </c>
      <c r="D566" t="s">
        <v>48</v>
      </c>
      <c r="E566">
        <f t="shared" si="8"/>
        <v>0</v>
      </c>
      <c r="F566" t="s">
        <v>58</v>
      </c>
      <c r="G566">
        <v>530</v>
      </c>
      <c r="H566" t="s">
        <v>50</v>
      </c>
      <c r="I566">
        <v>16</v>
      </c>
      <c r="J566">
        <v>3</v>
      </c>
      <c r="K566" t="s">
        <v>42</v>
      </c>
      <c r="L566">
        <v>1</v>
      </c>
      <c r="M566">
        <v>1681</v>
      </c>
      <c r="N566">
        <v>3</v>
      </c>
      <c r="O566" t="s">
        <v>52</v>
      </c>
      <c r="P566">
        <v>36</v>
      </c>
      <c r="Q566">
        <v>3</v>
      </c>
      <c r="R566">
        <v>2</v>
      </c>
      <c r="S566" t="s">
        <v>136</v>
      </c>
      <c r="T566">
        <v>4</v>
      </c>
      <c r="U566" t="s">
        <v>101</v>
      </c>
      <c r="V566">
        <v>5368</v>
      </c>
      <c r="W566" t="s">
        <v>162</v>
      </c>
      <c r="X566">
        <v>16130</v>
      </c>
      <c r="Y566">
        <v>1</v>
      </c>
      <c r="Z566" t="s">
        <v>47</v>
      </c>
      <c r="AA566" t="s">
        <v>39</v>
      </c>
      <c r="AB566">
        <v>25</v>
      </c>
      <c r="AC566">
        <v>4</v>
      </c>
      <c r="AD566">
        <v>3</v>
      </c>
      <c r="AE566">
        <v>80</v>
      </c>
      <c r="AF566">
        <v>1</v>
      </c>
      <c r="AG566">
        <v>7</v>
      </c>
      <c r="AH566">
        <v>2</v>
      </c>
      <c r="AI566">
        <v>3</v>
      </c>
      <c r="AJ566">
        <v>6</v>
      </c>
      <c r="AK566">
        <v>5</v>
      </c>
      <c r="AL566">
        <v>1</v>
      </c>
    </row>
    <row r="567" spans="1:38" x14ac:dyDescent="0.3">
      <c r="A567" t="s">
        <v>635</v>
      </c>
      <c r="B567">
        <v>33</v>
      </c>
      <c r="C567" t="s">
        <v>189</v>
      </c>
      <c r="D567" t="s">
        <v>48</v>
      </c>
      <c r="E567">
        <f t="shared" si="8"/>
        <v>0</v>
      </c>
      <c r="F567" t="s">
        <v>40</v>
      </c>
      <c r="G567">
        <v>267</v>
      </c>
      <c r="H567" t="s">
        <v>41</v>
      </c>
      <c r="I567">
        <v>21</v>
      </c>
      <c r="J567">
        <v>3</v>
      </c>
      <c r="K567" t="s">
        <v>51</v>
      </c>
      <c r="L567">
        <v>1</v>
      </c>
      <c r="M567">
        <v>1698</v>
      </c>
      <c r="N567">
        <v>2</v>
      </c>
      <c r="O567" t="s">
        <v>43</v>
      </c>
      <c r="P567">
        <v>79</v>
      </c>
      <c r="Q567">
        <v>4</v>
      </c>
      <c r="R567">
        <v>1</v>
      </c>
      <c r="S567" t="s">
        <v>44</v>
      </c>
      <c r="T567">
        <v>2</v>
      </c>
      <c r="U567" t="s">
        <v>104</v>
      </c>
      <c r="V567">
        <v>2028</v>
      </c>
      <c r="W567" t="s">
        <v>46</v>
      </c>
      <c r="X567">
        <v>13637</v>
      </c>
      <c r="Y567">
        <v>1</v>
      </c>
      <c r="Z567" t="s">
        <v>47</v>
      </c>
      <c r="AA567" t="s">
        <v>48</v>
      </c>
      <c r="AB567">
        <v>18</v>
      </c>
      <c r="AC567">
        <v>3</v>
      </c>
      <c r="AD567">
        <v>4</v>
      </c>
      <c r="AE567">
        <v>80</v>
      </c>
      <c r="AF567">
        <v>3</v>
      </c>
      <c r="AG567">
        <v>14</v>
      </c>
      <c r="AH567">
        <v>6</v>
      </c>
      <c r="AI567">
        <v>3</v>
      </c>
      <c r="AJ567">
        <v>14</v>
      </c>
      <c r="AK567">
        <v>11</v>
      </c>
      <c r="AL567">
        <v>2</v>
      </c>
    </row>
    <row r="568" spans="1:38" x14ac:dyDescent="0.3">
      <c r="A568" t="s">
        <v>636</v>
      </c>
      <c r="B568">
        <v>33</v>
      </c>
      <c r="C568" t="s">
        <v>189</v>
      </c>
      <c r="D568" t="s">
        <v>48</v>
      </c>
      <c r="E568">
        <f t="shared" si="8"/>
        <v>0</v>
      </c>
      <c r="F568" t="s">
        <v>58</v>
      </c>
      <c r="G568">
        <v>1283</v>
      </c>
      <c r="H568" t="s">
        <v>50</v>
      </c>
      <c r="I568">
        <v>2</v>
      </c>
      <c r="J568">
        <v>3</v>
      </c>
      <c r="K568" t="s">
        <v>56</v>
      </c>
      <c r="L568">
        <v>1</v>
      </c>
      <c r="M568">
        <v>1756</v>
      </c>
      <c r="N568">
        <v>4</v>
      </c>
      <c r="O568" t="s">
        <v>52</v>
      </c>
      <c r="P568">
        <v>62</v>
      </c>
      <c r="Q568">
        <v>3</v>
      </c>
      <c r="R568">
        <v>2</v>
      </c>
      <c r="S568" t="s">
        <v>136</v>
      </c>
      <c r="T568">
        <v>2</v>
      </c>
      <c r="U568" t="s">
        <v>45</v>
      </c>
      <c r="V568">
        <v>5147</v>
      </c>
      <c r="W568" t="s">
        <v>162</v>
      </c>
      <c r="X568">
        <v>10697</v>
      </c>
      <c r="Y568">
        <v>8</v>
      </c>
      <c r="Z568" t="s">
        <v>47</v>
      </c>
      <c r="AA568" t="s">
        <v>48</v>
      </c>
      <c r="AB568">
        <v>15</v>
      </c>
      <c r="AC568">
        <v>3</v>
      </c>
      <c r="AD568">
        <v>4</v>
      </c>
      <c r="AE568">
        <v>80</v>
      </c>
      <c r="AF568">
        <v>0</v>
      </c>
      <c r="AG568">
        <v>13</v>
      </c>
      <c r="AH568">
        <v>2</v>
      </c>
      <c r="AI568">
        <v>2</v>
      </c>
      <c r="AJ568">
        <v>11</v>
      </c>
      <c r="AK568">
        <v>7</v>
      </c>
      <c r="AL568">
        <v>1</v>
      </c>
    </row>
    <row r="569" spans="1:38" x14ac:dyDescent="0.3">
      <c r="A569" t="s">
        <v>637</v>
      </c>
      <c r="B569">
        <v>33</v>
      </c>
      <c r="C569" t="s">
        <v>189</v>
      </c>
      <c r="D569" t="s">
        <v>39</v>
      </c>
      <c r="E569">
        <f t="shared" si="8"/>
        <v>1</v>
      </c>
      <c r="F569" t="s">
        <v>40</v>
      </c>
      <c r="G569">
        <v>211</v>
      </c>
      <c r="H569" t="s">
        <v>50</v>
      </c>
      <c r="I569">
        <v>16</v>
      </c>
      <c r="J569">
        <v>3</v>
      </c>
      <c r="K569" t="s">
        <v>42</v>
      </c>
      <c r="L569">
        <v>1</v>
      </c>
      <c r="M569">
        <v>1758</v>
      </c>
      <c r="N569">
        <v>1</v>
      </c>
      <c r="O569" t="s">
        <v>52</v>
      </c>
      <c r="P569">
        <v>74</v>
      </c>
      <c r="Q569">
        <v>3</v>
      </c>
      <c r="R569">
        <v>3</v>
      </c>
      <c r="S569" t="s">
        <v>136</v>
      </c>
      <c r="T569">
        <v>1</v>
      </c>
      <c r="U569" t="s">
        <v>45</v>
      </c>
      <c r="V569">
        <v>8564</v>
      </c>
      <c r="W569" t="s">
        <v>162</v>
      </c>
      <c r="X569">
        <v>10092</v>
      </c>
      <c r="Y569">
        <v>2</v>
      </c>
      <c r="Z569" t="s">
        <v>47</v>
      </c>
      <c r="AA569" t="s">
        <v>39</v>
      </c>
      <c r="AB569">
        <v>20</v>
      </c>
      <c r="AC569">
        <v>4</v>
      </c>
      <c r="AD569">
        <v>3</v>
      </c>
      <c r="AE569">
        <v>80</v>
      </c>
      <c r="AF569">
        <v>0</v>
      </c>
      <c r="AG569">
        <v>11</v>
      </c>
      <c r="AH569">
        <v>2</v>
      </c>
      <c r="AI569">
        <v>2</v>
      </c>
      <c r="AJ569">
        <v>0</v>
      </c>
      <c r="AK569">
        <v>0</v>
      </c>
      <c r="AL569">
        <v>0</v>
      </c>
    </row>
    <row r="570" spans="1:38" x14ac:dyDescent="0.3">
      <c r="A570" t="s">
        <v>638</v>
      </c>
      <c r="B570">
        <v>33</v>
      </c>
      <c r="C570" t="s">
        <v>189</v>
      </c>
      <c r="D570" t="s">
        <v>48</v>
      </c>
      <c r="E570">
        <f t="shared" si="8"/>
        <v>0</v>
      </c>
      <c r="F570" t="s">
        <v>58</v>
      </c>
      <c r="G570">
        <v>775</v>
      </c>
      <c r="H570" t="s">
        <v>41</v>
      </c>
      <c r="I570">
        <v>4</v>
      </c>
      <c r="J570">
        <v>3</v>
      </c>
      <c r="K570" t="s">
        <v>67</v>
      </c>
      <c r="L570">
        <v>1</v>
      </c>
      <c r="M570">
        <v>1771</v>
      </c>
      <c r="N570">
        <v>4</v>
      </c>
      <c r="O570" t="s">
        <v>43</v>
      </c>
      <c r="P570">
        <v>90</v>
      </c>
      <c r="Q570">
        <v>3</v>
      </c>
      <c r="R570">
        <v>2</v>
      </c>
      <c r="S570" t="s">
        <v>59</v>
      </c>
      <c r="T570">
        <v>2</v>
      </c>
      <c r="U570" t="s">
        <v>101</v>
      </c>
      <c r="V570">
        <v>3055</v>
      </c>
      <c r="W570" t="s">
        <v>46</v>
      </c>
      <c r="X570">
        <v>6194</v>
      </c>
      <c r="Y570">
        <v>5</v>
      </c>
      <c r="Z570" t="s">
        <v>47</v>
      </c>
      <c r="AA570" t="s">
        <v>48</v>
      </c>
      <c r="AB570">
        <v>15</v>
      </c>
      <c r="AC570">
        <v>3</v>
      </c>
      <c r="AD570">
        <v>4</v>
      </c>
      <c r="AE570">
        <v>80</v>
      </c>
      <c r="AF570">
        <v>2</v>
      </c>
      <c r="AG570">
        <v>11</v>
      </c>
      <c r="AH570">
        <v>2</v>
      </c>
      <c r="AI570">
        <v>2</v>
      </c>
      <c r="AJ570">
        <v>9</v>
      </c>
      <c r="AK570">
        <v>8</v>
      </c>
      <c r="AL570">
        <v>1</v>
      </c>
    </row>
    <row r="571" spans="1:38" x14ac:dyDescent="0.3">
      <c r="A571" t="s">
        <v>639</v>
      </c>
      <c r="B571">
        <v>33</v>
      </c>
      <c r="C571" t="s">
        <v>189</v>
      </c>
      <c r="D571" t="s">
        <v>48</v>
      </c>
      <c r="E571">
        <f t="shared" si="8"/>
        <v>0</v>
      </c>
      <c r="F571" t="s">
        <v>40</v>
      </c>
      <c r="G571">
        <v>867</v>
      </c>
      <c r="H571" t="s">
        <v>41</v>
      </c>
      <c r="I571">
        <v>8</v>
      </c>
      <c r="J571">
        <v>4</v>
      </c>
      <c r="K571" t="s">
        <v>42</v>
      </c>
      <c r="L571">
        <v>1</v>
      </c>
      <c r="M571">
        <v>1798</v>
      </c>
      <c r="N571">
        <v>4</v>
      </c>
      <c r="O571" t="s">
        <v>43</v>
      </c>
      <c r="P571">
        <v>90</v>
      </c>
      <c r="Q571">
        <v>4</v>
      </c>
      <c r="R571">
        <v>1</v>
      </c>
      <c r="S571" t="s">
        <v>59</v>
      </c>
      <c r="T571">
        <v>1</v>
      </c>
      <c r="U571" t="s">
        <v>104</v>
      </c>
      <c r="V571">
        <v>3143</v>
      </c>
      <c r="W571" t="s">
        <v>46</v>
      </c>
      <c r="X571">
        <v>6076</v>
      </c>
      <c r="Y571">
        <v>6</v>
      </c>
      <c r="Z571" t="s">
        <v>47</v>
      </c>
      <c r="AA571" t="s">
        <v>48</v>
      </c>
      <c r="AB571">
        <v>19</v>
      </c>
      <c r="AC571">
        <v>3</v>
      </c>
      <c r="AD571">
        <v>2</v>
      </c>
      <c r="AE571">
        <v>80</v>
      </c>
      <c r="AF571">
        <v>1</v>
      </c>
      <c r="AG571">
        <v>14</v>
      </c>
      <c r="AH571">
        <v>1</v>
      </c>
      <c r="AI571">
        <v>3</v>
      </c>
      <c r="AJ571">
        <v>10</v>
      </c>
      <c r="AK571">
        <v>8</v>
      </c>
      <c r="AL571">
        <v>7</v>
      </c>
    </row>
    <row r="572" spans="1:38" x14ac:dyDescent="0.3">
      <c r="A572" t="s">
        <v>640</v>
      </c>
      <c r="B572">
        <v>33</v>
      </c>
      <c r="C572" t="s">
        <v>189</v>
      </c>
      <c r="D572" t="s">
        <v>48</v>
      </c>
      <c r="E572">
        <f t="shared" si="8"/>
        <v>0</v>
      </c>
      <c r="F572" t="s">
        <v>40</v>
      </c>
      <c r="G572">
        <v>217</v>
      </c>
      <c r="H572" t="s">
        <v>50</v>
      </c>
      <c r="I572">
        <v>10</v>
      </c>
      <c r="J572">
        <v>4</v>
      </c>
      <c r="K572" t="s">
        <v>56</v>
      </c>
      <c r="L572">
        <v>1</v>
      </c>
      <c r="M572">
        <v>1924</v>
      </c>
      <c r="N572">
        <v>2</v>
      </c>
      <c r="O572" t="s">
        <v>43</v>
      </c>
      <c r="P572">
        <v>43</v>
      </c>
      <c r="Q572">
        <v>3</v>
      </c>
      <c r="R572">
        <v>2</v>
      </c>
      <c r="S572" t="s">
        <v>136</v>
      </c>
      <c r="T572">
        <v>3</v>
      </c>
      <c r="U572" t="s">
        <v>45</v>
      </c>
      <c r="V572">
        <v>5487</v>
      </c>
      <c r="W572" t="s">
        <v>162</v>
      </c>
      <c r="X572">
        <v>10410</v>
      </c>
      <c r="Y572">
        <v>1</v>
      </c>
      <c r="Z572" t="s">
        <v>47</v>
      </c>
      <c r="AA572" t="s">
        <v>48</v>
      </c>
      <c r="AB572">
        <v>14</v>
      </c>
      <c r="AC572">
        <v>3</v>
      </c>
      <c r="AD572">
        <v>2</v>
      </c>
      <c r="AE572">
        <v>80</v>
      </c>
      <c r="AF572">
        <v>0</v>
      </c>
      <c r="AG572">
        <v>10</v>
      </c>
      <c r="AH572">
        <v>2</v>
      </c>
      <c r="AI572">
        <v>2</v>
      </c>
      <c r="AJ572">
        <v>10</v>
      </c>
      <c r="AK572">
        <v>4</v>
      </c>
      <c r="AL572">
        <v>0</v>
      </c>
    </row>
    <row r="573" spans="1:38" x14ac:dyDescent="0.3">
      <c r="A573" t="s">
        <v>641</v>
      </c>
      <c r="B573">
        <v>33</v>
      </c>
      <c r="C573" t="s">
        <v>189</v>
      </c>
      <c r="D573" t="s">
        <v>48</v>
      </c>
      <c r="E573">
        <f t="shared" si="8"/>
        <v>0</v>
      </c>
      <c r="F573" t="s">
        <v>55</v>
      </c>
      <c r="G573">
        <v>1303</v>
      </c>
      <c r="H573" t="s">
        <v>41</v>
      </c>
      <c r="I573">
        <v>7</v>
      </c>
      <c r="J573">
        <v>2</v>
      </c>
      <c r="K573" t="s">
        <v>42</v>
      </c>
      <c r="L573">
        <v>1</v>
      </c>
      <c r="M573">
        <v>1970</v>
      </c>
      <c r="N573">
        <v>4</v>
      </c>
      <c r="O573" t="s">
        <v>43</v>
      </c>
      <c r="P573">
        <v>36</v>
      </c>
      <c r="Q573">
        <v>3</v>
      </c>
      <c r="R573">
        <v>2</v>
      </c>
      <c r="S573" t="s">
        <v>160</v>
      </c>
      <c r="T573">
        <v>3</v>
      </c>
      <c r="U573" t="s">
        <v>101</v>
      </c>
      <c r="V573">
        <v>5968</v>
      </c>
      <c r="W573" t="s">
        <v>162</v>
      </c>
      <c r="X573">
        <v>18079</v>
      </c>
      <c r="Y573">
        <v>1</v>
      </c>
      <c r="Z573" t="s">
        <v>47</v>
      </c>
      <c r="AA573" t="s">
        <v>48</v>
      </c>
      <c r="AB573">
        <v>20</v>
      </c>
      <c r="AC573">
        <v>4</v>
      </c>
      <c r="AD573">
        <v>3</v>
      </c>
      <c r="AE573">
        <v>80</v>
      </c>
      <c r="AF573">
        <v>3</v>
      </c>
      <c r="AG573">
        <v>9</v>
      </c>
      <c r="AH573">
        <v>2</v>
      </c>
      <c r="AI573">
        <v>3</v>
      </c>
      <c r="AJ573">
        <v>9</v>
      </c>
      <c r="AK573">
        <v>7</v>
      </c>
      <c r="AL573">
        <v>2</v>
      </c>
    </row>
    <row r="574" spans="1:38" x14ac:dyDescent="0.3">
      <c r="A574" t="s">
        <v>642</v>
      </c>
      <c r="B574">
        <v>33</v>
      </c>
      <c r="C574" t="s">
        <v>189</v>
      </c>
      <c r="D574" t="s">
        <v>48</v>
      </c>
      <c r="E574">
        <f t="shared" si="8"/>
        <v>0</v>
      </c>
      <c r="F574" t="s">
        <v>58</v>
      </c>
      <c r="G574">
        <v>1313</v>
      </c>
      <c r="H574" t="s">
        <v>41</v>
      </c>
      <c r="I574">
        <v>1</v>
      </c>
      <c r="J574">
        <v>2</v>
      </c>
      <c r="K574" t="s">
        <v>51</v>
      </c>
      <c r="L574">
        <v>1</v>
      </c>
      <c r="M574">
        <v>1994</v>
      </c>
      <c r="N574">
        <v>2</v>
      </c>
      <c r="O574" t="s">
        <v>43</v>
      </c>
      <c r="P574">
        <v>59</v>
      </c>
      <c r="Q574">
        <v>2</v>
      </c>
      <c r="R574">
        <v>1</v>
      </c>
      <c r="S574" t="s">
        <v>44</v>
      </c>
      <c r="T574">
        <v>3</v>
      </c>
      <c r="U574" t="s">
        <v>101</v>
      </c>
      <c r="V574">
        <v>2008</v>
      </c>
      <c r="W574" t="s">
        <v>46</v>
      </c>
      <c r="X574">
        <v>20439</v>
      </c>
      <c r="Y574">
        <v>1</v>
      </c>
      <c r="Z574" t="s">
        <v>47</v>
      </c>
      <c r="AA574" t="s">
        <v>48</v>
      </c>
      <c r="AB574">
        <v>12</v>
      </c>
      <c r="AC574">
        <v>3</v>
      </c>
      <c r="AD574">
        <v>3</v>
      </c>
      <c r="AE574">
        <v>80</v>
      </c>
      <c r="AF574">
        <v>3</v>
      </c>
      <c r="AG574">
        <v>1</v>
      </c>
      <c r="AH574">
        <v>2</v>
      </c>
      <c r="AI574">
        <v>2</v>
      </c>
      <c r="AJ574">
        <v>1</v>
      </c>
      <c r="AK574">
        <v>1</v>
      </c>
      <c r="AL574">
        <v>0</v>
      </c>
    </row>
    <row r="575" spans="1:38" x14ac:dyDescent="0.3">
      <c r="A575" t="s">
        <v>643</v>
      </c>
      <c r="B575">
        <v>33</v>
      </c>
      <c r="C575" t="s">
        <v>189</v>
      </c>
      <c r="D575" t="s">
        <v>48</v>
      </c>
      <c r="E575">
        <f t="shared" si="8"/>
        <v>0</v>
      </c>
      <c r="F575" t="s">
        <v>40</v>
      </c>
      <c r="G575">
        <v>501</v>
      </c>
      <c r="H575" t="s">
        <v>41</v>
      </c>
      <c r="I575">
        <v>15</v>
      </c>
      <c r="J575">
        <v>2</v>
      </c>
      <c r="K575" t="s">
        <v>51</v>
      </c>
      <c r="L575">
        <v>1</v>
      </c>
      <c r="M575">
        <v>2009</v>
      </c>
      <c r="N575">
        <v>2</v>
      </c>
      <c r="O575" t="s">
        <v>52</v>
      </c>
      <c r="P575">
        <v>95</v>
      </c>
      <c r="Q575">
        <v>3</v>
      </c>
      <c r="R575">
        <v>2</v>
      </c>
      <c r="S575" t="s">
        <v>160</v>
      </c>
      <c r="T575">
        <v>4</v>
      </c>
      <c r="U575" t="s">
        <v>104</v>
      </c>
      <c r="V575">
        <v>4878</v>
      </c>
      <c r="W575" t="s">
        <v>46</v>
      </c>
      <c r="X575">
        <v>21653</v>
      </c>
      <c r="Y575">
        <v>0</v>
      </c>
      <c r="Z575" t="s">
        <v>47</v>
      </c>
      <c r="AA575" t="s">
        <v>39</v>
      </c>
      <c r="AB575">
        <v>13</v>
      </c>
      <c r="AC575">
        <v>3</v>
      </c>
      <c r="AD575">
        <v>1</v>
      </c>
      <c r="AE575">
        <v>80</v>
      </c>
      <c r="AF575">
        <v>1</v>
      </c>
      <c r="AG575">
        <v>10</v>
      </c>
      <c r="AH575">
        <v>6</v>
      </c>
      <c r="AI575">
        <v>3</v>
      </c>
      <c r="AJ575">
        <v>9</v>
      </c>
      <c r="AK575">
        <v>7</v>
      </c>
      <c r="AL575">
        <v>8</v>
      </c>
    </row>
    <row r="576" spans="1:38" x14ac:dyDescent="0.3">
      <c r="A576" t="s">
        <v>644</v>
      </c>
      <c r="B576">
        <v>34</v>
      </c>
      <c r="C576" t="s">
        <v>189</v>
      </c>
      <c r="D576" t="s">
        <v>48</v>
      </c>
      <c r="E576">
        <f t="shared" si="8"/>
        <v>0</v>
      </c>
      <c r="F576" t="s">
        <v>40</v>
      </c>
      <c r="G576">
        <v>1346</v>
      </c>
      <c r="H576" t="s">
        <v>41</v>
      </c>
      <c r="I576">
        <v>19</v>
      </c>
      <c r="J576">
        <v>2</v>
      </c>
      <c r="K576" t="s">
        <v>51</v>
      </c>
      <c r="L576">
        <v>1</v>
      </c>
      <c r="M576">
        <v>18</v>
      </c>
      <c r="N576">
        <v>2</v>
      </c>
      <c r="O576" t="s">
        <v>43</v>
      </c>
      <c r="P576">
        <v>93</v>
      </c>
      <c r="Q576">
        <v>3</v>
      </c>
      <c r="R576">
        <v>1</v>
      </c>
      <c r="S576" t="s">
        <v>44</v>
      </c>
      <c r="T576">
        <v>4</v>
      </c>
      <c r="U576" t="s">
        <v>101</v>
      </c>
      <c r="V576">
        <v>2661</v>
      </c>
      <c r="W576" t="s">
        <v>46</v>
      </c>
      <c r="X576">
        <v>8758</v>
      </c>
      <c r="Y576">
        <v>0</v>
      </c>
      <c r="Z576" t="s">
        <v>47</v>
      </c>
      <c r="AA576" t="s">
        <v>48</v>
      </c>
      <c r="AB576">
        <v>11</v>
      </c>
      <c r="AC576">
        <v>3</v>
      </c>
      <c r="AD576">
        <v>3</v>
      </c>
      <c r="AE576">
        <v>80</v>
      </c>
      <c r="AF576">
        <v>1</v>
      </c>
      <c r="AG576">
        <v>3</v>
      </c>
      <c r="AH576">
        <v>2</v>
      </c>
      <c r="AI576">
        <v>3</v>
      </c>
      <c r="AJ576">
        <v>2</v>
      </c>
      <c r="AK576">
        <v>2</v>
      </c>
      <c r="AL576">
        <v>1</v>
      </c>
    </row>
    <row r="577" spans="1:38" x14ac:dyDescent="0.3">
      <c r="A577" t="s">
        <v>645</v>
      </c>
      <c r="B577">
        <v>34</v>
      </c>
      <c r="C577" t="s">
        <v>189</v>
      </c>
      <c r="D577" t="s">
        <v>48</v>
      </c>
      <c r="E577">
        <f t="shared" si="8"/>
        <v>0</v>
      </c>
      <c r="F577" t="s">
        <v>40</v>
      </c>
      <c r="G577">
        <v>419</v>
      </c>
      <c r="H577" t="s">
        <v>41</v>
      </c>
      <c r="I577">
        <v>7</v>
      </c>
      <c r="J577">
        <v>4</v>
      </c>
      <c r="K577" t="s">
        <v>42</v>
      </c>
      <c r="L577">
        <v>1</v>
      </c>
      <c r="M577">
        <v>28</v>
      </c>
      <c r="N577">
        <v>1</v>
      </c>
      <c r="O577" t="s">
        <v>52</v>
      </c>
      <c r="P577">
        <v>53</v>
      </c>
      <c r="Q577">
        <v>3</v>
      </c>
      <c r="R577">
        <v>3</v>
      </c>
      <c r="S577" t="s">
        <v>251</v>
      </c>
      <c r="T577">
        <v>2</v>
      </c>
      <c r="U577" t="s">
        <v>45</v>
      </c>
      <c r="V577">
        <v>11994</v>
      </c>
      <c r="W577" t="s">
        <v>252</v>
      </c>
      <c r="X577">
        <v>21293</v>
      </c>
      <c r="Y577">
        <v>0</v>
      </c>
      <c r="Z577" t="s">
        <v>47</v>
      </c>
      <c r="AA577" t="s">
        <v>48</v>
      </c>
      <c r="AB577">
        <v>11</v>
      </c>
      <c r="AC577">
        <v>3</v>
      </c>
      <c r="AD577">
        <v>3</v>
      </c>
      <c r="AE577">
        <v>80</v>
      </c>
      <c r="AF577">
        <v>0</v>
      </c>
      <c r="AG577">
        <v>13</v>
      </c>
      <c r="AH577">
        <v>4</v>
      </c>
      <c r="AI577">
        <v>3</v>
      </c>
      <c r="AJ577">
        <v>12</v>
      </c>
      <c r="AK577">
        <v>6</v>
      </c>
      <c r="AL577">
        <v>2</v>
      </c>
    </row>
    <row r="578" spans="1:38" x14ac:dyDescent="0.3">
      <c r="A578" t="s">
        <v>646</v>
      </c>
      <c r="B578">
        <v>34</v>
      </c>
      <c r="C578" t="s">
        <v>189</v>
      </c>
      <c r="D578" t="s">
        <v>39</v>
      </c>
      <c r="E578">
        <f t="shared" si="8"/>
        <v>1</v>
      </c>
      <c r="F578" t="s">
        <v>40</v>
      </c>
      <c r="G578">
        <v>699</v>
      </c>
      <c r="H578" t="s">
        <v>41</v>
      </c>
      <c r="I578">
        <v>6</v>
      </c>
      <c r="J578">
        <v>1</v>
      </c>
      <c r="K578" t="s">
        <v>51</v>
      </c>
      <c r="L578">
        <v>1</v>
      </c>
      <c r="M578">
        <v>31</v>
      </c>
      <c r="N578">
        <v>2</v>
      </c>
      <c r="O578" t="s">
        <v>43</v>
      </c>
      <c r="P578">
        <v>83</v>
      </c>
      <c r="Q578">
        <v>3</v>
      </c>
      <c r="R578">
        <v>1</v>
      </c>
      <c r="S578" t="s">
        <v>59</v>
      </c>
      <c r="T578">
        <v>1</v>
      </c>
      <c r="U578" t="s">
        <v>45</v>
      </c>
      <c r="V578">
        <v>2960</v>
      </c>
      <c r="W578" t="s">
        <v>46</v>
      </c>
      <c r="X578">
        <v>17102</v>
      </c>
      <c r="Y578">
        <v>2</v>
      </c>
      <c r="Z578" t="s">
        <v>47</v>
      </c>
      <c r="AA578" t="s">
        <v>48</v>
      </c>
      <c r="AB578">
        <v>11</v>
      </c>
      <c r="AC578">
        <v>3</v>
      </c>
      <c r="AD578">
        <v>3</v>
      </c>
      <c r="AE578">
        <v>80</v>
      </c>
      <c r="AF578">
        <v>0</v>
      </c>
      <c r="AG578">
        <v>8</v>
      </c>
      <c r="AH578">
        <v>2</v>
      </c>
      <c r="AI578">
        <v>3</v>
      </c>
      <c r="AJ578">
        <v>4</v>
      </c>
      <c r="AK578">
        <v>2</v>
      </c>
      <c r="AL578">
        <v>1</v>
      </c>
    </row>
    <row r="579" spans="1:38" x14ac:dyDescent="0.3">
      <c r="A579" t="s">
        <v>647</v>
      </c>
      <c r="B579">
        <v>34</v>
      </c>
      <c r="C579" t="s">
        <v>189</v>
      </c>
      <c r="D579" t="s">
        <v>48</v>
      </c>
      <c r="E579">
        <f t="shared" ref="E579:E642" si="9">IF(D579="Yes",1,0)</f>
        <v>0</v>
      </c>
      <c r="F579" t="s">
        <v>58</v>
      </c>
      <c r="G579">
        <v>1065</v>
      </c>
      <c r="H579" t="s">
        <v>50</v>
      </c>
      <c r="I579">
        <v>23</v>
      </c>
      <c r="J579">
        <v>4</v>
      </c>
      <c r="K579" t="s">
        <v>56</v>
      </c>
      <c r="L579">
        <v>1</v>
      </c>
      <c r="M579">
        <v>60</v>
      </c>
      <c r="N579">
        <v>2</v>
      </c>
      <c r="O579" t="s">
        <v>43</v>
      </c>
      <c r="P579">
        <v>72</v>
      </c>
      <c r="Q579">
        <v>3</v>
      </c>
      <c r="R579">
        <v>2</v>
      </c>
      <c r="S579" t="s">
        <v>136</v>
      </c>
      <c r="T579">
        <v>3</v>
      </c>
      <c r="U579" t="s">
        <v>45</v>
      </c>
      <c r="V579">
        <v>4568</v>
      </c>
      <c r="W579" t="s">
        <v>46</v>
      </c>
      <c r="X579">
        <v>10034</v>
      </c>
      <c r="Y579">
        <v>0</v>
      </c>
      <c r="Z579" t="s">
        <v>47</v>
      </c>
      <c r="AA579" t="s">
        <v>48</v>
      </c>
      <c r="AB579">
        <v>20</v>
      </c>
      <c r="AC579">
        <v>4</v>
      </c>
      <c r="AD579">
        <v>3</v>
      </c>
      <c r="AE579">
        <v>80</v>
      </c>
      <c r="AF579">
        <v>0</v>
      </c>
      <c r="AG579">
        <v>10</v>
      </c>
      <c r="AH579">
        <v>2</v>
      </c>
      <c r="AI579">
        <v>3</v>
      </c>
      <c r="AJ579">
        <v>9</v>
      </c>
      <c r="AK579">
        <v>5</v>
      </c>
      <c r="AL579">
        <v>8</v>
      </c>
    </row>
    <row r="580" spans="1:38" x14ac:dyDescent="0.3">
      <c r="A580" t="s">
        <v>648</v>
      </c>
      <c r="B580">
        <v>34</v>
      </c>
      <c r="C580" t="s">
        <v>189</v>
      </c>
      <c r="D580" t="s">
        <v>48</v>
      </c>
      <c r="E580">
        <f t="shared" si="9"/>
        <v>0</v>
      </c>
      <c r="F580" t="s">
        <v>40</v>
      </c>
      <c r="G580">
        <v>1153</v>
      </c>
      <c r="H580" t="s">
        <v>41</v>
      </c>
      <c r="I580">
        <v>1</v>
      </c>
      <c r="J580">
        <v>2</v>
      </c>
      <c r="K580" t="s">
        <v>51</v>
      </c>
      <c r="L580">
        <v>1</v>
      </c>
      <c r="M580">
        <v>110</v>
      </c>
      <c r="N580">
        <v>1</v>
      </c>
      <c r="O580" t="s">
        <v>43</v>
      </c>
      <c r="P580">
        <v>94</v>
      </c>
      <c r="Q580">
        <v>3</v>
      </c>
      <c r="R580">
        <v>2</v>
      </c>
      <c r="S580" t="s">
        <v>111</v>
      </c>
      <c r="T580">
        <v>2</v>
      </c>
      <c r="U580" t="s">
        <v>104</v>
      </c>
      <c r="V580">
        <v>4325</v>
      </c>
      <c r="W580" t="s">
        <v>46</v>
      </c>
      <c r="X580">
        <v>17736</v>
      </c>
      <c r="Y580">
        <v>1</v>
      </c>
      <c r="Z580" t="s">
        <v>47</v>
      </c>
      <c r="AA580" t="s">
        <v>48</v>
      </c>
      <c r="AB580">
        <v>15</v>
      </c>
      <c r="AC580">
        <v>3</v>
      </c>
      <c r="AD580">
        <v>3</v>
      </c>
      <c r="AE580">
        <v>80</v>
      </c>
      <c r="AF580">
        <v>0</v>
      </c>
      <c r="AG580">
        <v>5</v>
      </c>
      <c r="AH580">
        <v>2</v>
      </c>
      <c r="AI580">
        <v>3</v>
      </c>
      <c r="AJ580">
        <v>5</v>
      </c>
      <c r="AK580">
        <v>2</v>
      </c>
      <c r="AL580">
        <v>1</v>
      </c>
    </row>
    <row r="581" spans="1:38" x14ac:dyDescent="0.3">
      <c r="A581" t="s">
        <v>649</v>
      </c>
      <c r="B581">
        <v>34</v>
      </c>
      <c r="C581" t="s">
        <v>189</v>
      </c>
      <c r="D581" t="s">
        <v>48</v>
      </c>
      <c r="E581">
        <f t="shared" si="9"/>
        <v>0</v>
      </c>
      <c r="F581" t="s">
        <v>40</v>
      </c>
      <c r="G581">
        <v>665</v>
      </c>
      <c r="H581" t="s">
        <v>41</v>
      </c>
      <c r="I581">
        <v>6</v>
      </c>
      <c r="J581">
        <v>4</v>
      </c>
      <c r="K581" t="s">
        <v>72</v>
      </c>
      <c r="L581">
        <v>1</v>
      </c>
      <c r="M581">
        <v>138</v>
      </c>
      <c r="N581">
        <v>1</v>
      </c>
      <c r="O581" t="s">
        <v>52</v>
      </c>
      <c r="P581">
        <v>41</v>
      </c>
      <c r="Q581">
        <v>3</v>
      </c>
      <c r="R581">
        <v>2</v>
      </c>
      <c r="S581" t="s">
        <v>59</v>
      </c>
      <c r="T581">
        <v>3</v>
      </c>
      <c r="U581" t="s">
        <v>45</v>
      </c>
      <c r="V581">
        <v>4809</v>
      </c>
      <c r="W581" t="s">
        <v>46</v>
      </c>
      <c r="X581">
        <v>12482</v>
      </c>
      <c r="Y581">
        <v>1</v>
      </c>
      <c r="Z581" t="s">
        <v>47</v>
      </c>
      <c r="AA581" t="s">
        <v>48</v>
      </c>
      <c r="AB581">
        <v>14</v>
      </c>
      <c r="AC581">
        <v>3</v>
      </c>
      <c r="AD581">
        <v>3</v>
      </c>
      <c r="AE581">
        <v>80</v>
      </c>
      <c r="AF581">
        <v>0</v>
      </c>
      <c r="AG581">
        <v>16</v>
      </c>
      <c r="AH581">
        <v>3</v>
      </c>
      <c r="AI581">
        <v>3</v>
      </c>
      <c r="AJ581">
        <v>16</v>
      </c>
      <c r="AK581">
        <v>13</v>
      </c>
      <c r="AL581">
        <v>2</v>
      </c>
    </row>
    <row r="582" spans="1:38" x14ac:dyDescent="0.3">
      <c r="A582" t="s">
        <v>650</v>
      </c>
      <c r="B582">
        <v>34</v>
      </c>
      <c r="C582" t="s">
        <v>189</v>
      </c>
      <c r="D582" t="s">
        <v>39</v>
      </c>
      <c r="E582">
        <f t="shared" si="9"/>
        <v>1</v>
      </c>
      <c r="F582" t="s">
        <v>55</v>
      </c>
      <c r="G582">
        <v>658</v>
      </c>
      <c r="H582" t="s">
        <v>41</v>
      </c>
      <c r="I582">
        <v>7</v>
      </c>
      <c r="J582">
        <v>3</v>
      </c>
      <c r="K582" t="s">
        <v>42</v>
      </c>
      <c r="L582">
        <v>1</v>
      </c>
      <c r="M582">
        <v>147</v>
      </c>
      <c r="N582">
        <v>1</v>
      </c>
      <c r="O582" t="s">
        <v>43</v>
      </c>
      <c r="P582">
        <v>66</v>
      </c>
      <c r="Q582">
        <v>1</v>
      </c>
      <c r="R582">
        <v>2</v>
      </c>
      <c r="S582" t="s">
        <v>44</v>
      </c>
      <c r="T582">
        <v>3</v>
      </c>
      <c r="U582" t="s">
        <v>45</v>
      </c>
      <c r="V582">
        <v>6074</v>
      </c>
      <c r="W582" t="s">
        <v>162</v>
      </c>
      <c r="X582">
        <v>22887</v>
      </c>
      <c r="Y582">
        <v>1</v>
      </c>
      <c r="Z582" t="s">
        <v>47</v>
      </c>
      <c r="AA582" t="s">
        <v>39</v>
      </c>
      <c r="AB582">
        <v>24</v>
      </c>
      <c r="AC582">
        <v>4</v>
      </c>
      <c r="AD582">
        <v>4</v>
      </c>
      <c r="AE582">
        <v>80</v>
      </c>
      <c r="AF582">
        <v>0</v>
      </c>
      <c r="AG582">
        <v>9</v>
      </c>
      <c r="AH582">
        <v>3</v>
      </c>
      <c r="AI582">
        <v>3</v>
      </c>
      <c r="AJ582">
        <v>9</v>
      </c>
      <c r="AK582">
        <v>7</v>
      </c>
      <c r="AL582">
        <v>0</v>
      </c>
    </row>
    <row r="583" spans="1:38" x14ac:dyDescent="0.3">
      <c r="A583" t="s">
        <v>651</v>
      </c>
      <c r="B583">
        <v>34</v>
      </c>
      <c r="C583" t="s">
        <v>189</v>
      </c>
      <c r="D583" t="s">
        <v>48</v>
      </c>
      <c r="E583">
        <f t="shared" si="9"/>
        <v>0</v>
      </c>
      <c r="F583" t="s">
        <v>40</v>
      </c>
      <c r="G583">
        <v>1031</v>
      </c>
      <c r="H583" t="s">
        <v>41</v>
      </c>
      <c r="I583">
        <v>6</v>
      </c>
      <c r="J583">
        <v>4</v>
      </c>
      <c r="K583" t="s">
        <v>42</v>
      </c>
      <c r="L583">
        <v>1</v>
      </c>
      <c r="M583">
        <v>151</v>
      </c>
      <c r="N583">
        <v>3</v>
      </c>
      <c r="O583" t="s">
        <v>52</v>
      </c>
      <c r="P583">
        <v>45</v>
      </c>
      <c r="Q583">
        <v>2</v>
      </c>
      <c r="R583">
        <v>2</v>
      </c>
      <c r="S583" t="s">
        <v>59</v>
      </c>
      <c r="T583">
        <v>2</v>
      </c>
      <c r="U583" t="s">
        <v>101</v>
      </c>
      <c r="V583">
        <v>4505</v>
      </c>
      <c r="W583" t="s">
        <v>46</v>
      </c>
      <c r="X583">
        <v>15000</v>
      </c>
      <c r="Y583">
        <v>6</v>
      </c>
      <c r="Z583" t="s">
        <v>47</v>
      </c>
      <c r="AA583" t="s">
        <v>48</v>
      </c>
      <c r="AB583">
        <v>15</v>
      </c>
      <c r="AC583">
        <v>3</v>
      </c>
      <c r="AD583">
        <v>3</v>
      </c>
      <c r="AE583">
        <v>80</v>
      </c>
      <c r="AF583">
        <v>1</v>
      </c>
      <c r="AG583">
        <v>12</v>
      </c>
      <c r="AH583">
        <v>3</v>
      </c>
      <c r="AI583">
        <v>3</v>
      </c>
      <c r="AJ583">
        <v>1</v>
      </c>
      <c r="AK583">
        <v>0</v>
      </c>
      <c r="AL583">
        <v>0</v>
      </c>
    </row>
    <row r="584" spans="1:38" x14ac:dyDescent="0.3">
      <c r="A584" t="s">
        <v>652</v>
      </c>
      <c r="B584">
        <v>34</v>
      </c>
      <c r="C584" t="s">
        <v>189</v>
      </c>
      <c r="D584" t="s">
        <v>48</v>
      </c>
      <c r="E584">
        <f t="shared" si="9"/>
        <v>0</v>
      </c>
      <c r="F584" t="s">
        <v>40</v>
      </c>
      <c r="G584">
        <v>1354</v>
      </c>
      <c r="H584" t="s">
        <v>41</v>
      </c>
      <c r="I584">
        <v>5</v>
      </c>
      <c r="J584">
        <v>3</v>
      </c>
      <c r="K584" t="s">
        <v>51</v>
      </c>
      <c r="L584">
        <v>1</v>
      </c>
      <c r="M584">
        <v>153</v>
      </c>
      <c r="N584">
        <v>3</v>
      </c>
      <c r="O584" t="s">
        <v>52</v>
      </c>
      <c r="P584">
        <v>45</v>
      </c>
      <c r="Q584">
        <v>2</v>
      </c>
      <c r="R584">
        <v>3</v>
      </c>
      <c r="S584" t="s">
        <v>440</v>
      </c>
      <c r="T584">
        <v>1</v>
      </c>
      <c r="U584" t="s">
        <v>45</v>
      </c>
      <c r="V584">
        <v>11631</v>
      </c>
      <c r="W584" t="s">
        <v>252</v>
      </c>
      <c r="X584">
        <v>5615</v>
      </c>
      <c r="Y584">
        <v>2</v>
      </c>
      <c r="Z584" t="s">
        <v>47</v>
      </c>
      <c r="AA584" t="s">
        <v>48</v>
      </c>
      <c r="AB584">
        <v>12</v>
      </c>
      <c r="AC584">
        <v>3</v>
      </c>
      <c r="AD584">
        <v>4</v>
      </c>
      <c r="AE584">
        <v>80</v>
      </c>
      <c r="AF584">
        <v>0</v>
      </c>
      <c r="AG584">
        <v>14</v>
      </c>
      <c r="AH584">
        <v>6</v>
      </c>
      <c r="AI584">
        <v>3</v>
      </c>
      <c r="AJ584">
        <v>11</v>
      </c>
      <c r="AK584">
        <v>10</v>
      </c>
      <c r="AL584">
        <v>5</v>
      </c>
    </row>
    <row r="585" spans="1:38" x14ac:dyDescent="0.3">
      <c r="A585" t="s">
        <v>653</v>
      </c>
      <c r="B585">
        <v>34</v>
      </c>
      <c r="C585" t="s">
        <v>189</v>
      </c>
      <c r="D585" t="s">
        <v>48</v>
      </c>
      <c r="E585">
        <f t="shared" si="9"/>
        <v>0</v>
      </c>
      <c r="F585" t="s">
        <v>55</v>
      </c>
      <c r="G585">
        <v>303</v>
      </c>
      <c r="H585" t="s">
        <v>50</v>
      </c>
      <c r="I585">
        <v>2</v>
      </c>
      <c r="J585">
        <v>4</v>
      </c>
      <c r="K585" t="s">
        <v>56</v>
      </c>
      <c r="L585">
        <v>1</v>
      </c>
      <c r="M585">
        <v>216</v>
      </c>
      <c r="N585">
        <v>3</v>
      </c>
      <c r="O585" t="s">
        <v>52</v>
      </c>
      <c r="P585">
        <v>75</v>
      </c>
      <c r="Q585">
        <v>3</v>
      </c>
      <c r="R585">
        <v>1</v>
      </c>
      <c r="S585" t="s">
        <v>53</v>
      </c>
      <c r="T585">
        <v>3</v>
      </c>
      <c r="U585" t="s">
        <v>104</v>
      </c>
      <c r="V585">
        <v>2231</v>
      </c>
      <c r="W585" t="s">
        <v>46</v>
      </c>
      <c r="X585">
        <v>11314</v>
      </c>
      <c r="Y585">
        <v>6</v>
      </c>
      <c r="Z585" t="s">
        <v>47</v>
      </c>
      <c r="AA585" t="s">
        <v>48</v>
      </c>
      <c r="AB585">
        <v>18</v>
      </c>
      <c r="AC585">
        <v>3</v>
      </c>
      <c r="AD585">
        <v>4</v>
      </c>
      <c r="AE585">
        <v>80</v>
      </c>
      <c r="AF585">
        <v>1</v>
      </c>
      <c r="AG585">
        <v>6</v>
      </c>
      <c r="AH585">
        <v>3</v>
      </c>
      <c r="AI585">
        <v>3</v>
      </c>
      <c r="AJ585">
        <v>4</v>
      </c>
      <c r="AK585">
        <v>3</v>
      </c>
      <c r="AL585">
        <v>1</v>
      </c>
    </row>
    <row r="586" spans="1:38" x14ac:dyDescent="0.3">
      <c r="A586" t="s">
        <v>654</v>
      </c>
      <c r="B586">
        <v>34</v>
      </c>
      <c r="C586" t="s">
        <v>189</v>
      </c>
      <c r="D586" t="s">
        <v>48</v>
      </c>
      <c r="E586">
        <f t="shared" si="9"/>
        <v>0</v>
      </c>
      <c r="F586" t="s">
        <v>40</v>
      </c>
      <c r="G586">
        <v>629</v>
      </c>
      <c r="H586" t="s">
        <v>41</v>
      </c>
      <c r="I586">
        <v>27</v>
      </c>
      <c r="J586">
        <v>2</v>
      </c>
      <c r="K586" t="s">
        <v>51</v>
      </c>
      <c r="L586">
        <v>1</v>
      </c>
      <c r="M586">
        <v>247</v>
      </c>
      <c r="N586">
        <v>4</v>
      </c>
      <c r="O586" t="s">
        <v>52</v>
      </c>
      <c r="P586">
        <v>95</v>
      </c>
      <c r="Q586">
        <v>3</v>
      </c>
      <c r="R586">
        <v>1</v>
      </c>
      <c r="S586" t="s">
        <v>59</v>
      </c>
      <c r="T586">
        <v>2</v>
      </c>
      <c r="U586" t="s">
        <v>45</v>
      </c>
      <c r="V586">
        <v>2311</v>
      </c>
      <c r="W586" t="s">
        <v>46</v>
      </c>
      <c r="X586">
        <v>5711</v>
      </c>
      <c r="Y586">
        <v>2</v>
      </c>
      <c r="Z586" t="s">
        <v>47</v>
      </c>
      <c r="AA586" t="s">
        <v>48</v>
      </c>
      <c r="AB586">
        <v>15</v>
      </c>
      <c r="AC586">
        <v>3</v>
      </c>
      <c r="AD586">
        <v>4</v>
      </c>
      <c r="AE586">
        <v>80</v>
      </c>
      <c r="AF586">
        <v>0</v>
      </c>
      <c r="AG586">
        <v>9</v>
      </c>
      <c r="AH586">
        <v>3</v>
      </c>
      <c r="AI586">
        <v>3</v>
      </c>
      <c r="AJ586">
        <v>3</v>
      </c>
      <c r="AK586">
        <v>2</v>
      </c>
      <c r="AL586">
        <v>1</v>
      </c>
    </row>
    <row r="587" spans="1:38" x14ac:dyDescent="0.3">
      <c r="A587" t="s">
        <v>655</v>
      </c>
      <c r="B587">
        <v>34</v>
      </c>
      <c r="C587" t="s">
        <v>189</v>
      </c>
      <c r="D587" t="s">
        <v>48</v>
      </c>
      <c r="E587">
        <f t="shared" si="9"/>
        <v>0</v>
      </c>
      <c r="F587" t="s">
        <v>55</v>
      </c>
      <c r="G587">
        <v>1069</v>
      </c>
      <c r="H587" t="s">
        <v>41</v>
      </c>
      <c r="I587">
        <v>2</v>
      </c>
      <c r="J587">
        <v>1</v>
      </c>
      <c r="K587" t="s">
        <v>42</v>
      </c>
      <c r="L587">
        <v>1</v>
      </c>
      <c r="M587">
        <v>256</v>
      </c>
      <c r="N587">
        <v>4</v>
      </c>
      <c r="O587" t="s">
        <v>43</v>
      </c>
      <c r="P587">
        <v>45</v>
      </c>
      <c r="Q587">
        <v>2</v>
      </c>
      <c r="R587">
        <v>2</v>
      </c>
      <c r="S587" t="s">
        <v>111</v>
      </c>
      <c r="T587">
        <v>3</v>
      </c>
      <c r="U587" t="s">
        <v>104</v>
      </c>
      <c r="V587">
        <v>9547</v>
      </c>
      <c r="W587" t="s">
        <v>162</v>
      </c>
      <c r="X587">
        <v>14074</v>
      </c>
      <c r="Y587">
        <v>1</v>
      </c>
      <c r="Z587" t="s">
        <v>47</v>
      </c>
      <c r="AA587" t="s">
        <v>48</v>
      </c>
      <c r="AB587">
        <v>17</v>
      </c>
      <c r="AC587">
        <v>3</v>
      </c>
      <c r="AD587">
        <v>3</v>
      </c>
      <c r="AE587">
        <v>80</v>
      </c>
      <c r="AF587">
        <v>0</v>
      </c>
      <c r="AG587">
        <v>10</v>
      </c>
      <c r="AH587">
        <v>2</v>
      </c>
      <c r="AI587">
        <v>2</v>
      </c>
      <c r="AJ587">
        <v>10</v>
      </c>
      <c r="AK587">
        <v>9</v>
      </c>
      <c r="AL587">
        <v>1</v>
      </c>
    </row>
    <row r="588" spans="1:38" x14ac:dyDescent="0.3">
      <c r="A588" t="s">
        <v>656</v>
      </c>
      <c r="B588">
        <v>34</v>
      </c>
      <c r="C588" t="s">
        <v>189</v>
      </c>
      <c r="D588" t="s">
        <v>48</v>
      </c>
      <c r="E588">
        <f t="shared" si="9"/>
        <v>0</v>
      </c>
      <c r="F588" t="s">
        <v>55</v>
      </c>
      <c r="G588">
        <v>878</v>
      </c>
      <c r="H588" t="s">
        <v>41</v>
      </c>
      <c r="I588">
        <v>10</v>
      </c>
      <c r="J588">
        <v>4</v>
      </c>
      <c r="K588" t="s">
        <v>51</v>
      </c>
      <c r="L588">
        <v>1</v>
      </c>
      <c r="M588">
        <v>277</v>
      </c>
      <c r="N588">
        <v>4</v>
      </c>
      <c r="O588" t="s">
        <v>43</v>
      </c>
      <c r="P588">
        <v>43</v>
      </c>
      <c r="Q588">
        <v>3</v>
      </c>
      <c r="R588">
        <v>1</v>
      </c>
      <c r="S588" t="s">
        <v>59</v>
      </c>
      <c r="T588">
        <v>3</v>
      </c>
      <c r="U588" t="s">
        <v>101</v>
      </c>
      <c r="V588">
        <v>3815</v>
      </c>
      <c r="W588" t="s">
        <v>46</v>
      </c>
      <c r="X588">
        <v>5972</v>
      </c>
      <c r="Y588">
        <v>1</v>
      </c>
      <c r="Z588" t="s">
        <v>47</v>
      </c>
      <c r="AA588" t="s">
        <v>39</v>
      </c>
      <c r="AB588">
        <v>17</v>
      </c>
      <c r="AC588">
        <v>3</v>
      </c>
      <c r="AD588">
        <v>4</v>
      </c>
      <c r="AE588">
        <v>80</v>
      </c>
      <c r="AF588">
        <v>1</v>
      </c>
      <c r="AG588">
        <v>5</v>
      </c>
      <c r="AH588">
        <v>4</v>
      </c>
      <c r="AI588">
        <v>4</v>
      </c>
      <c r="AJ588">
        <v>5</v>
      </c>
      <c r="AK588">
        <v>3</v>
      </c>
      <c r="AL588">
        <v>2</v>
      </c>
    </row>
    <row r="589" spans="1:38" x14ac:dyDescent="0.3">
      <c r="A589" t="s">
        <v>657</v>
      </c>
      <c r="B589">
        <v>34</v>
      </c>
      <c r="C589" t="s">
        <v>189</v>
      </c>
      <c r="D589" t="s">
        <v>48</v>
      </c>
      <c r="E589">
        <f t="shared" si="9"/>
        <v>0</v>
      </c>
      <c r="F589" t="s">
        <v>40</v>
      </c>
      <c r="G589">
        <v>470</v>
      </c>
      <c r="H589" t="s">
        <v>41</v>
      </c>
      <c r="I589">
        <v>2</v>
      </c>
      <c r="J589">
        <v>4</v>
      </c>
      <c r="K589" t="s">
        <v>42</v>
      </c>
      <c r="L589">
        <v>1</v>
      </c>
      <c r="M589">
        <v>339</v>
      </c>
      <c r="N589">
        <v>4</v>
      </c>
      <c r="O589" t="s">
        <v>43</v>
      </c>
      <c r="P589">
        <v>84</v>
      </c>
      <c r="Q589">
        <v>2</v>
      </c>
      <c r="R589">
        <v>2</v>
      </c>
      <c r="S589" t="s">
        <v>111</v>
      </c>
      <c r="T589">
        <v>1</v>
      </c>
      <c r="U589" t="s">
        <v>104</v>
      </c>
      <c r="V589">
        <v>5957</v>
      </c>
      <c r="W589" t="s">
        <v>162</v>
      </c>
      <c r="X589">
        <v>23687</v>
      </c>
      <c r="Y589">
        <v>6</v>
      </c>
      <c r="Z589" t="s">
        <v>47</v>
      </c>
      <c r="AA589" t="s">
        <v>48</v>
      </c>
      <c r="AB589">
        <v>13</v>
      </c>
      <c r="AC589">
        <v>3</v>
      </c>
      <c r="AD589">
        <v>2</v>
      </c>
      <c r="AE589">
        <v>80</v>
      </c>
      <c r="AF589">
        <v>1</v>
      </c>
      <c r="AG589">
        <v>13</v>
      </c>
      <c r="AH589">
        <v>3</v>
      </c>
      <c r="AI589">
        <v>3</v>
      </c>
      <c r="AJ589">
        <v>11</v>
      </c>
      <c r="AK589">
        <v>9</v>
      </c>
      <c r="AL589">
        <v>5</v>
      </c>
    </row>
    <row r="590" spans="1:38" x14ac:dyDescent="0.3">
      <c r="A590" t="s">
        <v>658</v>
      </c>
      <c r="B590">
        <v>34</v>
      </c>
      <c r="C590" t="s">
        <v>189</v>
      </c>
      <c r="D590" t="s">
        <v>39</v>
      </c>
      <c r="E590">
        <f t="shared" si="9"/>
        <v>1</v>
      </c>
      <c r="F590" t="s">
        <v>58</v>
      </c>
      <c r="G590">
        <v>1362</v>
      </c>
      <c r="H590" t="s">
        <v>50</v>
      </c>
      <c r="I590">
        <v>19</v>
      </c>
      <c r="J590">
        <v>3</v>
      </c>
      <c r="K590" t="s">
        <v>56</v>
      </c>
      <c r="L590">
        <v>1</v>
      </c>
      <c r="M590">
        <v>502</v>
      </c>
      <c r="N590">
        <v>1</v>
      </c>
      <c r="O590" t="s">
        <v>43</v>
      </c>
      <c r="P590">
        <v>67</v>
      </c>
      <c r="Q590">
        <v>4</v>
      </c>
      <c r="R590">
        <v>2</v>
      </c>
      <c r="S590" t="s">
        <v>136</v>
      </c>
      <c r="T590">
        <v>4</v>
      </c>
      <c r="U590" t="s">
        <v>45</v>
      </c>
      <c r="V590">
        <v>5304</v>
      </c>
      <c r="W590" t="s">
        <v>162</v>
      </c>
      <c r="X590">
        <v>4652</v>
      </c>
      <c r="Y590">
        <v>8</v>
      </c>
      <c r="Z590" t="s">
        <v>47</v>
      </c>
      <c r="AA590" t="s">
        <v>39</v>
      </c>
      <c r="AB590">
        <v>13</v>
      </c>
      <c r="AC590">
        <v>3</v>
      </c>
      <c r="AD590">
        <v>2</v>
      </c>
      <c r="AE590">
        <v>80</v>
      </c>
      <c r="AF590">
        <v>0</v>
      </c>
      <c r="AG590">
        <v>9</v>
      </c>
      <c r="AH590">
        <v>3</v>
      </c>
      <c r="AI590">
        <v>2</v>
      </c>
      <c r="AJ590">
        <v>5</v>
      </c>
      <c r="AK590">
        <v>2</v>
      </c>
      <c r="AL590">
        <v>0</v>
      </c>
    </row>
    <row r="591" spans="1:38" x14ac:dyDescent="0.3">
      <c r="A591" t="s">
        <v>659</v>
      </c>
      <c r="B591">
        <v>34</v>
      </c>
      <c r="C591" t="s">
        <v>189</v>
      </c>
      <c r="D591" t="s">
        <v>48</v>
      </c>
      <c r="E591">
        <f t="shared" si="9"/>
        <v>0</v>
      </c>
      <c r="F591" t="s">
        <v>58</v>
      </c>
      <c r="G591">
        <v>1381</v>
      </c>
      <c r="H591" t="s">
        <v>50</v>
      </c>
      <c r="I591">
        <v>4</v>
      </c>
      <c r="J591">
        <v>4</v>
      </c>
      <c r="K591" t="s">
        <v>56</v>
      </c>
      <c r="L591">
        <v>1</v>
      </c>
      <c r="M591">
        <v>523</v>
      </c>
      <c r="N591">
        <v>3</v>
      </c>
      <c r="O591" t="s">
        <v>52</v>
      </c>
      <c r="P591">
        <v>72</v>
      </c>
      <c r="Q591">
        <v>3</v>
      </c>
      <c r="R591">
        <v>2</v>
      </c>
      <c r="S591" t="s">
        <v>136</v>
      </c>
      <c r="T591">
        <v>3</v>
      </c>
      <c r="U591" t="s">
        <v>104</v>
      </c>
      <c r="V591">
        <v>6538</v>
      </c>
      <c r="W591" t="s">
        <v>162</v>
      </c>
      <c r="X591">
        <v>12740</v>
      </c>
      <c r="Y591">
        <v>9</v>
      </c>
      <c r="Z591" t="s">
        <v>47</v>
      </c>
      <c r="AA591" t="s">
        <v>48</v>
      </c>
      <c r="AB591">
        <v>15</v>
      </c>
      <c r="AC591">
        <v>3</v>
      </c>
      <c r="AD591">
        <v>1</v>
      </c>
      <c r="AE591">
        <v>80</v>
      </c>
      <c r="AF591">
        <v>1</v>
      </c>
      <c r="AG591">
        <v>6</v>
      </c>
      <c r="AH591">
        <v>3</v>
      </c>
      <c r="AI591">
        <v>3</v>
      </c>
      <c r="AJ591">
        <v>3</v>
      </c>
      <c r="AK591">
        <v>2</v>
      </c>
      <c r="AL591">
        <v>1</v>
      </c>
    </row>
    <row r="592" spans="1:38" x14ac:dyDescent="0.3">
      <c r="A592" t="s">
        <v>660</v>
      </c>
      <c r="B592">
        <v>34</v>
      </c>
      <c r="C592" t="s">
        <v>189</v>
      </c>
      <c r="D592" t="s">
        <v>39</v>
      </c>
      <c r="E592">
        <f t="shared" si="9"/>
        <v>1</v>
      </c>
      <c r="F592" t="s">
        <v>55</v>
      </c>
      <c r="G592">
        <v>296</v>
      </c>
      <c r="H592" t="s">
        <v>50</v>
      </c>
      <c r="I592">
        <v>6</v>
      </c>
      <c r="J592">
        <v>2</v>
      </c>
      <c r="K592" t="s">
        <v>56</v>
      </c>
      <c r="L592">
        <v>1</v>
      </c>
      <c r="M592">
        <v>555</v>
      </c>
      <c r="N592">
        <v>4</v>
      </c>
      <c r="O592" t="s">
        <v>52</v>
      </c>
      <c r="P592">
        <v>33</v>
      </c>
      <c r="Q592">
        <v>1</v>
      </c>
      <c r="R592">
        <v>1</v>
      </c>
      <c r="S592" t="s">
        <v>53</v>
      </c>
      <c r="T592">
        <v>3</v>
      </c>
      <c r="U592" t="s">
        <v>101</v>
      </c>
      <c r="V592">
        <v>2351</v>
      </c>
      <c r="W592" t="s">
        <v>46</v>
      </c>
      <c r="X592">
        <v>12253</v>
      </c>
      <c r="Y592">
        <v>0</v>
      </c>
      <c r="Z592" t="s">
        <v>47</v>
      </c>
      <c r="AA592" t="s">
        <v>48</v>
      </c>
      <c r="AB592">
        <v>16</v>
      </c>
      <c r="AC592">
        <v>3</v>
      </c>
      <c r="AD592">
        <v>4</v>
      </c>
      <c r="AE592">
        <v>80</v>
      </c>
      <c r="AF592">
        <v>1</v>
      </c>
      <c r="AG592">
        <v>3</v>
      </c>
      <c r="AH592">
        <v>3</v>
      </c>
      <c r="AI592">
        <v>2</v>
      </c>
      <c r="AJ592">
        <v>2</v>
      </c>
      <c r="AK592">
        <v>2</v>
      </c>
      <c r="AL592">
        <v>1</v>
      </c>
    </row>
    <row r="593" spans="1:38" x14ac:dyDescent="0.3">
      <c r="A593" t="s">
        <v>661</v>
      </c>
      <c r="B593">
        <v>34</v>
      </c>
      <c r="C593" t="s">
        <v>189</v>
      </c>
      <c r="D593" t="s">
        <v>48</v>
      </c>
      <c r="E593">
        <f t="shared" si="9"/>
        <v>0</v>
      </c>
      <c r="F593" t="s">
        <v>40</v>
      </c>
      <c r="G593">
        <v>1303</v>
      </c>
      <c r="H593" t="s">
        <v>41</v>
      </c>
      <c r="I593">
        <v>2</v>
      </c>
      <c r="J593">
        <v>4</v>
      </c>
      <c r="K593" t="s">
        <v>42</v>
      </c>
      <c r="L593">
        <v>1</v>
      </c>
      <c r="M593">
        <v>579</v>
      </c>
      <c r="N593">
        <v>4</v>
      </c>
      <c r="O593" t="s">
        <v>43</v>
      </c>
      <c r="P593">
        <v>62</v>
      </c>
      <c r="Q593">
        <v>2</v>
      </c>
      <c r="R593">
        <v>1</v>
      </c>
      <c r="S593" t="s">
        <v>59</v>
      </c>
      <c r="T593">
        <v>3</v>
      </c>
      <c r="U593" t="s">
        <v>101</v>
      </c>
      <c r="V593">
        <v>2768</v>
      </c>
      <c r="W593" t="s">
        <v>46</v>
      </c>
      <c r="X593">
        <v>8416</v>
      </c>
      <c r="Y593">
        <v>3</v>
      </c>
      <c r="Z593" t="s">
        <v>47</v>
      </c>
      <c r="AA593" t="s">
        <v>48</v>
      </c>
      <c r="AB593">
        <v>12</v>
      </c>
      <c r="AC593">
        <v>3</v>
      </c>
      <c r="AD593">
        <v>3</v>
      </c>
      <c r="AE593">
        <v>80</v>
      </c>
      <c r="AF593">
        <v>1</v>
      </c>
      <c r="AG593">
        <v>14</v>
      </c>
      <c r="AH593">
        <v>3</v>
      </c>
      <c r="AI593">
        <v>3</v>
      </c>
      <c r="AJ593">
        <v>7</v>
      </c>
      <c r="AK593">
        <v>3</v>
      </c>
      <c r="AL593">
        <v>5</v>
      </c>
    </row>
    <row r="594" spans="1:38" x14ac:dyDescent="0.3">
      <c r="A594" t="s">
        <v>662</v>
      </c>
      <c r="B594">
        <v>34</v>
      </c>
      <c r="C594" t="s">
        <v>189</v>
      </c>
      <c r="D594" t="s">
        <v>39</v>
      </c>
      <c r="E594">
        <f t="shared" si="9"/>
        <v>1</v>
      </c>
      <c r="F594" t="s">
        <v>55</v>
      </c>
      <c r="G594">
        <v>988</v>
      </c>
      <c r="H594" t="s">
        <v>70</v>
      </c>
      <c r="I594">
        <v>23</v>
      </c>
      <c r="J594">
        <v>3</v>
      </c>
      <c r="K594" t="s">
        <v>70</v>
      </c>
      <c r="L594">
        <v>1</v>
      </c>
      <c r="M594">
        <v>590</v>
      </c>
      <c r="N594">
        <v>2</v>
      </c>
      <c r="O594" t="s">
        <v>52</v>
      </c>
      <c r="P594">
        <v>43</v>
      </c>
      <c r="Q594">
        <v>3</v>
      </c>
      <c r="R594">
        <v>3</v>
      </c>
      <c r="S594" t="s">
        <v>70</v>
      </c>
      <c r="T594">
        <v>1</v>
      </c>
      <c r="U594" t="s">
        <v>101</v>
      </c>
      <c r="V594">
        <v>9950</v>
      </c>
      <c r="W594" t="s">
        <v>162</v>
      </c>
      <c r="X594">
        <v>11533</v>
      </c>
      <c r="Y594">
        <v>9</v>
      </c>
      <c r="Z594" t="s">
        <v>47</v>
      </c>
      <c r="AA594" t="s">
        <v>39</v>
      </c>
      <c r="AB594">
        <v>15</v>
      </c>
      <c r="AC594">
        <v>3</v>
      </c>
      <c r="AD594">
        <v>3</v>
      </c>
      <c r="AE594">
        <v>80</v>
      </c>
      <c r="AF594">
        <v>3</v>
      </c>
      <c r="AG594">
        <v>11</v>
      </c>
      <c r="AH594">
        <v>2</v>
      </c>
      <c r="AI594">
        <v>3</v>
      </c>
      <c r="AJ594">
        <v>3</v>
      </c>
      <c r="AK594">
        <v>2</v>
      </c>
      <c r="AL594">
        <v>0</v>
      </c>
    </row>
    <row r="595" spans="1:38" x14ac:dyDescent="0.3">
      <c r="A595" t="s">
        <v>663</v>
      </c>
      <c r="B595">
        <v>34</v>
      </c>
      <c r="C595" t="s">
        <v>189</v>
      </c>
      <c r="D595" t="s">
        <v>48</v>
      </c>
      <c r="E595">
        <f t="shared" si="9"/>
        <v>0</v>
      </c>
      <c r="F595" t="s">
        <v>40</v>
      </c>
      <c r="G595">
        <v>258</v>
      </c>
      <c r="H595" t="s">
        <v>50</v>
      </c>
      <c r="I595">
        <v>21</v>
      </c>
      <c r="J595">
        <v>4</v>
      </c>
      <c r="K595" t="s">
        <v>42</v>
      </c>
      <c r="L595">
        <v>1</v>
      </c>
      <c r="M595">
        <v>621</v>
      </c>
      <c r="N595">
        <v>4</v>
      </c>
      <c r="O595" t="s">
        <v>43</v>
      </c>
      <c r="P595">
        <v>74</v>
      </c>
      <c r="Q595">
        <v>4</v>
      </c>
      <c r="R595">
        <v>2</v>
      </c>
      <c r="S595" t="s">
        <v>136</v>
      </c>
      <c r="T595">
        <v>4</v>
      </c>
      <c r="U595" t="s">
        <v>45</v>
      </c>
      <c r="V595">
        <v>5337</v>
      </c>
      <c r="W595" t="s">
        <v>162</v>
      </c>
      <c r="X595">
        <v>19921</v>
      </c>
      <c r="Y595">
        <v>1</v>
      </c>
      <c r="Z595" t="s">
        <v>47</v>
      </c>
      <c r="AA595" t="s">
        <v>48</v>
      </c>
      <c r="AB595">
        <v>12</v>
      </c>
      <c r="AC595">
        <v>3</v>
      </c>
      <c r="AD595">
        <v>4</v>
      </c>
      <c r="AE595">
        <v>80</v>
      </c>
      <c r="AF595">
        <v>0</v>
      </c>
      <c r="AG595">
        <v>10</v>
      </c>
      <c r="AH595">
        <v>3</v>
      </c>
      <c r="AI595">
        <v>3</v>
      </c>
      <c r="AJ595">
        <v>10</v>
      </c>
      <c r="AK595">
        <v>7</v>
      </c>
      <c r="AL595">
        <v>5</v>
      </c>
    </row>
    <row r="596" spans="1:38" x14ac:dyDescent="0.3">
      <c r="A596" t="s">
        <v>664</v>
      </c>
      <c r="B596">
        <v>34</v>
      </c>
      <c r="C596" t="s">
        <v>189</v>
      </c>
      <c r="D596" t="s">
        <v>48</v>
      </c>
      <c r="E596">
        <f t="shared" si="9"/>
        <v>0</v>
      </c>
      <c r="F596" t="s">
        <v>40</v>
      </c>
      <c r="G596">
        <v>254</v>
      </c>
      <c r="H596" t="s">
        <v>41</v>
      </c>
      <c r="I596">
        <v>1</v>
      </c>
      <c r="J596">
        <v>2</v>
      </c>
      <c r="K596" t="s">
        <v>42</v>
      </c>
      <c r="L596">
        <v>1</v>
      </c>
      <c r="M596">
        <v>649</v>
      </c>
      <c r="N596">
        <v>2</v>
      </c>
      <c r="O596" t="s">
        <v>43</v>
      </c>
      <c r="P596">
        <v>83</v>
      </c>
      <c r="Q596">
        <v>2</v>
      </c>
      <c r="R596">
        <v>1</v>
      </c>
      <c r="S596" t="s">
        <v>59</v>
      </c>
      <c r="T596">
        <v>4</v>
      </c>
      <c r="U596" t="s">
        <v>104</v>
      </c>
      <c r="V596">
        <v>3622</v>
      </c>
      <c r="W596" t="s">
        <v>46</v>
      </c>
      <c r="X596">
        <v>22794</v>
      </c>
      <c r="Y596">
        <v>1</v>
      </c>
      <c r="Z596" t="s">
        <v>47</v>
      </c>
      <c r="AA596" t="s">
        <v>39</v>
      </c>
      <c r="AB596">
        <v>13</v>
      </c>
      <c r="AC596">
        <v>3</v>
      </c>
      <c r="AD596">
        <v>4</v>
      </c>
      <c r="AE596">
        <v>80</v>
      </c>
      <c r="AF596">
        <v>1</v>
      </c>
      <c r="AG596">
        <v>6</v>
      </c>
      <c r="AH596">
        <v>3</v>
      </c>
      <c r="AI596">
        <v>3</v>
      </c>
      <c r="AJ596">
        <v>6</v>
      </c>
      <c r="AK596">
        <v>5</v>
      </c>
      <c r="AL596">
        <v>1</v>
      </c>
    </row>
    <row r="597" spans="1:38" x14ac:dyDescent="0.3">
      <c r="A597" t="s">
        <v>665</v>
      </c>
      <c r="B597">
        <v>34</v>
      </c>
      <c r="C597" t="s">
        <v>189</v>
      </c>
      <c r="D597" t="s">
        <v>48</v>
      </c>
      <c r="E597">
        <f t="shared" si="9"/>
        <v>0</v>
      </c>
      <c r="F597" t="s">
        <v>40</v>
      </c>
      <c r="G597">
        <v>204</v>
      </c>
      <c r="H597" t="s">
        <v>50</v>
      </c>
      <c r="I597">
        <v>14</v>
      </c>
      <c r="J597">
        <v>3</v>
      </c>
      <c r="K597" t="s">
        <v>67</v>
      </c>
      <c r="L597">
        <v>1</v>
      </c>
      <c r="M597">
        <v>666</v>
      </c>
      <c r="N597">
        <v>3</v>
      </c>
      <c r="O597" t="s">
        <v>52</v>
      </c>
      <c r="P597">
        <v>31</v>
      </c>
      <c r="Q597">
        <v>3</v>
      </c>
      <c r="R597">
        <v>1</v>
      </c>
      <c r="S597" t="s">
        <v>53</v>
      </c>
      <c r="T597">
        <v>3</v>
      </c>
      <c r="U597" t="s">
        <v>101</v>
      </c>
      <c r="V597">
        <v>2579</v>
      </c>
      <c r="W597" t="s">
        <v>46</v>
      </c>
      <c r="X597">
        <v>2912</v>
      </c>
      <c r="Y597">
        <v>1</v>
      </c>
      <c r="Z597" t="s">
        <v>47</v>
      </c>
      <c r="AA597" t="s">
        <v>39</v>
      </c>
      <c r="AB597">
        <v>18</v>
      </c>
      <c r="AC597">
        <v>3</v>
      </c>
      <c r="AD597">
        <v>4</v>
      </c>
      <c r="AE597">
        <v>80</v>
      </c>
      <c r="AF597">
        <v>2</v>
      </c>
      <c r="AG597">
        <v>8</v>
      </c>
      <c r="AH597">
        <v>3</v>
      </c>
      <c r="AI597">
        <v>3</v>
      </c>
      <c r="AJ597">
        <v>8</v>
      </c>
      <c r="AK597">
        <v>2</v>
      </c>
      <c r="AL597">
        <v>0</v>
      </c>
    </row>
    <row r="598" spans="1:38" x14ac:dyDescent="0.3">
      <c r="A598" t="s">
        <v>666</v>
      </c>
      <c r="B598">
        <v>34</v>
      </c>
      <c r="C598" t="s">
        <v>189</v>
      </c>
      <c r="D598" t="s">
        <v>48</v>
      </c>
      <c r="E598">
        <f t="shared" si="9"/>
        <v>0</v>
      </c>
      <c r="F598" t="s">
        <v>40</v>
      </c>
      <c r="G598">
        <v>1397</v>
      </c>
      <c r="H598" t="s">
        <v>41</v>
      </c>
      <c r="I598">
        <v>1</v>
      </c>
      <c r="J598">
        <v>5</v>
      </c>
      <c r="K598" t="s">
        <v>42</v>
      </c>
      <c r="L598">
        <v>1</v>
      </c>
      <c r="M598">
        <v>683</v>
      </c>
      <c r="N598">
        <v>2</v>
      </c>
      <c r="O598" t="s">
        <v>43</v>
      </c>
      <c r="P598">
        <v>42</v>
      </c>
      <c r="Q598">
        <v>3</v>
      </c>
      <c r="R598">
        <v>1</v>
      </c>
      <c r="S598" t="s">
        <v>59</v>
      </c>
      <c r="T598">
        <v>4</v>
      </c>
      <c r="U598" t="s">
        <v>104</v>
      </c>
      <c r="V598">
        <v>2691</v>
      </c>
      <c r="W598" t="s">
        <v>46</v>
      </c>
      <c r="X598">
        <v>7660</v>
      </c>
      <c r="Y598">
        <v>1</v>
      </c>
      <c r="Z598" t="s">
        <v>47</v>
      </c>
      <c r="AA598" t="s">
        <v>48</v>
      </c>
      <c r="AB598">
        <v>12</v>
      </c>
      <c r="AC598">
        <v>3</v>
      </c>
      <c r="AD598">
        <v>4</v>
      </c>
      <c r="AE598">
        <v>80</v>
      </c>
      <c r="AF598">
        <v>1</v>
      </c>
      <c r="AG598">
        <v>10</v>
      </c>
      <c r="AH598">
        <v>4</v>
      </c>
      <c r="AI598">
        <v>2</v>
      </c>
      <c r="AJ598">
        <v>10</v>
      </c>
      <c r="AK598">
        <v>9</v>
      </c>
      <c r="AL598">
        <v>8</v>
      </c>
    </row>
    <row r="599" spans="1:38" x14ac:dyDescent="0.3">
      <c r="A599" t="s">
        <v>667</v>
      </c>
      <c r="B599">
        <v>34</v>
      </c>
      <c r="C599" t="s">
        <v>189</v>
      </c>
      <c r="D599" t="s">
        <v>48</v>
      </c>
      <c r="E599">
        <f t="shared" si="9"/>
        <v>0</v>
      </c>
      <c r="F599" t="s">
        <v>40</v>
      </c>
      <c r="G599">
        <v>1442</v>
      </c>
      <c r="H599" t="s">
        <v>41</v>
      </c>
      <c r="I599">
        <v>9</v>
      </c>
      <c r="J599">
        <v>3</v>
      </c>
      <c r="K599" t="s">
        <v>51</v>
      </c>
      <c r="L599">
        <v>1</v>
      </c>
      <c r="M599">
        <v>717</v>
      </c>
      <c r="N599">
        <v>4</v>
      </c>
      <c r="O599" t="s">
        <v>52</v>
      </c>
      <c r="P599">
        <v>46</v>
      </c>
      <c r="Q599">
        <v>2</v>
      </c>
      <c r="R599">
        <v>3</v>
      </c>
      <c r="S599" t="s">
        <v>160</v>
      </c>
      <c r="T599">
        <v>2</v>
      </c>
      <c r="U599" t="s">
        <v>45</v>
      </c>
      <c r="V599">
        <v>8621</v>
      </c>
      <c r="W599" t="s">
        <v>162</v>
      </c>
      <c r="X599">
        <v>17654</v>
      </c>
      <c r="Y599">
        <v>1</v>
      </c>
      <c r="Z599" t="s">
        <v>47</v>
      </c>
      <c r="AA599" t="s">
        <v>48</v>
      </c>
      <c r="AB599">
        <v>14</v>
      </c>
      <c r="AC599">
        <v>3</v>
      </c>
      <c r="AD599">
        <v>2</v>
      </c>
      <c r="AE599">
        <v>80</v>
      </c>
      <c r="AF599">
        <v>0</v>
      </c>
      <c r="AG599">
        <v>9</v>
      </c>
      <c r="AH599">
        <v>3</v>
      </c>
      <c r="AI599">
        <v>4</v>
      </c>
      <c r="AJ599">
        <v>8</v>
      </c>
      <c r="AK599">
        <v>7</v>
      </c>
      <c r="AL599">
        <v>7</v>
      </c>
    </row>
    <row r="600" spans="1:38" x14ac:dyDescent="0.3">
      <c r="A600" t="s">
        <v>668</v>
      </c>
      <c r="B600">
        <v>34</v>
      </c>
      <c r="C600" t="s">
        <v>189</v>
      </c>
      <c r="D600" t="s">
        <v>48</v>
      </c>
      <c r="E600">
        <f t="shared" si="9"/>
        <v>0</v>
      </c>
      <c r="F600" t="s">
        <v>40</v>
      </c>
      <c r="G600">
        <v>970</v>
      </c>
      <c r="H600" t="s">
        <v>41</v>
      </c>
      <c r="I600">
        <v>8</v>
      </c>
      <c r="J600">
        <v>2</v>
      </c>
      <c r="K600" t="s">
        <v>51</v>
      </c>
      <c r="L600">
        <v>1</v>
      </c>
      <c r="M600">
        <v>757</v>
      </c>
      <c r="N600">
        <v>2</v>
      </c>
      <c r="O600" t="s">
        <v>52</v>
      </c>
      <c r="P600">
        <v>96</v>
      </c>
      <c r="Q600">
        <v>3</v>
      </c>
      <c r="R600">
        <v>2</v>
      </c>
      <c r="S600" t="s">
        <v>160</v>
      </c>
      <c r="T600">
        <v>3</v>
      </c>
      <c r="U600" t="s">
        <v>45</v>
      </c>
      <c r="V600">
        <v>6142</v>
      </c>
      <c r="W600" t="s">
        <v>162</v>
      </c>
      <c r="X600">
        <v>7360</v>
      </c>
      <c r="Y600">
        <v>3</v>
      </c>
      <c r="Z600" t="s">
        <v>47</v>
      </c>
      <c r="AA600" t="s">
        <v>48</v>
      </c>
      <c r="AB600">
        <v>11</v>
      </c>
      <c r="AC600">
        <v>3</v>
      </c>
      <c r="AD600">
        <v>4</v>
      </c>
      <c r="AE600">
        <v>80</v>
      </c>
      <c r="AF600">
        <v>0</v>
      </c>
      <c r="AG600">
        <v>10</v>
      </c>
      <c r="AH600">
        <v>2</v>
      </c>
      <c r="AI600">
        <v>3</v>
      </c>
      <c r="AJ600">
        <v>5</v>
      </c>
      <c r="AK600">
        <v>1</v>
      </c>
      <c r="AL600">
        <v>4</v>
      </c>
    </row>
    <row r="601" spans="1:38" x14ac:dyDescent="0.3">
      <c r="A601" t="s">
        <v>669</v>
      </c>
      <c r="B601">
        <v>34</v>
      </c>
      <c r="C601" t="s">
        <v>189</v>
      </c>
      <c r="D601" t="s">
        <v>48</v>
      </c>
      <c r="E601">
        <f t="shared" si="9"/>
        <v>0</v>
      </c>
      <c r="F601" t="s">
        <v>40</v>
      </c>
      <c r="G601">
        <v>167</v>
      </c>
      <c r="H601" t="s">
        <v>41</v>
      </c>
      <c r="I601">
        <v>8</v>
      </c>
      <c r="J601">
        <v>5</v>
      </c>
      <c r="K601" t="s">
        <v>42</v>
      </c>
      <c r="L601">
        <v>1</v>
      </c>
      <c r="M601">
        <v>775</v>
      </c>
      <c r="N601">
        <v>2</v>
      </c>
      <c r="O601" t="s">
        <v>52</v>
      </c>
      <c r="P601">
        <v>32</v>
      </c>
      <c r="Q601">
        <v>3</v>
      </c>
      <c r="R601">
        <v>2</v>
      </c>
      <c r="S601" t="s">
        <v>111</v>
      </c>
      <c r="T601">
        <v>1</v>
      </c>
      <c r="U601" t="s">
        <v>101</v>
      </c>
      <c r="V601">
        <v>5121</v>
      </c>
      <c r="W601" t="s">
        <v>162</v>
      </c>
      <c r="X601">
        <v>4187</v>
      </c>
      <c r="Y601">
        <v>3</v>
      </c>
      <c r="Z601" t="s">
        <v>47</v>
      </c>
      <c r="AA601" t="s">
        <v>48</v>
      </c>
      <c r="AB601">
        <v>14</v>
      </c>
      <c r="AC601">
        <v>3</v>
      </c>
      <c r="AD601">
        <v>3</v>
      </c>
      <c r="AE601">
        <v>80</v>
      </c>
      <c r="AF601">
        <v>1</v>
      </c>
      <c r="AG601">
        <v>7</v>
      </c>
      <c r="AH601">
        <v>3</v>
      </c>
      <c r="AI601">
        <v>3</v>
      </c>
      <c r="AJ601">
        <v>0</v>
      </c>
      <c r="AK601">
        <v>0</v>
      </c>
      <c r="AL601">
        <v>0</v>
      </c>
    </row>
    <row r="602" spans="1:38" x14ac:dyDescent="0.3">
      <c r="A602" t="s">
        <v>670</v>
      </c>
      <c r="B602">
        <v>34</v>
      </c>
      <c r="C602" t="s">
        <v>189</v>
      </c>
      <c r="D602" t="s">
        <v>48</v>
      </c>
      <c r="E602">
        <f t="shared" si="9"/>
        <v>0</v>
      </c>
      <c r="F602" t="s">
        <v>40</v>
      </c>
      <c r="G602">
        <v>304</v>
      </c>
      <c r="H602" t="s">
        <v>50</v>
      </c>
      <c r="I602">
        <v>2</v>
      </c>
      <c r="J602">
        <v>3</v>
      </c>
      <c r="K602" t="s">
        <v>72</v>
      </c>
      <c r="L602">
        <v>1</v>
      </c>
      <c r="M602">
        <v>786</v>
      </c>
      <c r="N602">
        <v>4</v>
      </c>
      <c r="O602" t="s">
        <v>43</v>
      </c>
      <c r="P602">
        <v>60</v>
      </c>
      <c r="Q602">
        <v>3</v>
      </c>
      <c r="R602">
        <v>2</v>
      </c>
      <c r="S602" t="s">
        <v>136</v>
      </c>
      <c r="T602">
        <v>4</v>
      </c>
      <c r="U602" t="s">
        <v>45</v>
      </c>
      <c r="V602">
        <v>6274</v>
      </c>
      <c r="W602" t="s">
        <v>162</v>
      </c>
      <c r="X602">
        <v>18686</v>
      </c>
      <c r="Y602">
        <v>1</v>
      </c>
      <c r="Z602" t="s">
        <v>47</v>
      </c>
      <c r="AA602" t="s">
        <v>48</v>
      </c>
      <c r="AB602">
        <v>22</v>
      </c>
      <c r="AC602">
        <v>4</v>
      </c>
      <c r="AD602">
        <v>3</v>
      </c>
      <c r="AE602">
        <v>80</v>
      </c>
      <c r="AF602">
        <v>0</v>
      </c>
      <c r="AG602">
        <v>6</v>
      </c>
      <c r="AH602">
        <v>5</v>
      </c>
      <c r="AI602">
        <v>3</v>
      </c>
      <c r="AJ602">
        <v>6</v>
      </c>
      <c r="AK602">
        <v>5</v>
      </c>
      <c r="AL602">
        <v>1</v>
      </c>
    </row>
    <row r="603" spans="1:38" x14ac:dyDescent="0.3">
      <c r="A603" t="s">
        <v>671</v>
      </c>
      <c r="B603">
        <v>34</v>
      </c>
      <c r="C603" t="s">
        <v>189</v>
      </c>
      <c r="D603" t="s">
        <v>48</v>
      </c>
      <c r="E603">
        <f t="shared" si="9"/>
        <v>0</v>
      </c>
      <c r="F603" t="s">
        <v>40</v>
      </c>
      <c r="G603">
        <v>182</v>
      </c>
      <c r="H603" t="s">
        <v>41</v>
      </c>
      <c r="I603">
        <v>1</v>
      </c>
      <c r="J603">
        <v>4</v>
      </c>
      <c r="K603" t="s">
        <v>42</v>
      </c>
      <c r="L603">
        <v>1</v>
      </c>
      <c r="M603">
        <v>797</v>
      </c>
      <c r="N603">
        <v>2</v>
      </c>
      <c r="O603" t="s">
        <v>52</v>
      </c>
      <c r="P603">
        <v>72</v>
      </c>
      <c r="Q603">
        <v>4</v>
      </c>
      <c r="R603">
        <v>1</v>
      </c>
      <c r="S603" t="s">
        <v>59</v>
      </c>
      <c r="T603">
        <v>4</v>
      </c>
      <c r="U603" t="s">
        <v>45</v>
      </c>
      <c r="V603">
        <v>3280</v>
      </c>
      <c r="W603" t="s">
        <v>46</v>
      </c>
      <c r="X603">
        <v>13551</v>
      </c>
      <c r="Y603">
        <v>2</v>
      </c>
      <c r="Z603" t="s">
        <v>47</v>
      </c>
      <c r="AA603" t="s">
        <v>48</v>
      </c>
      <c r="AB603">
        <v>16</v>
      </c>
      <c r="AC603">
        <v>3</v>
      </c>
      <c r="AD603">
        <v>3</v>
      </c>
      <c r="AE603">
        <v>80</v>
      </c>
      <c r="AF603">
        <v>0</v>
      </c>
      <c r="AG603">
        <v>10</v>
      </c>
      <c r="AH603">
        <v>2</v>
      </c>
      <c r="AI603">
        <v>3</v>
      </c>
      <c r="AJ603">
        <v>4</v>
      </c>
      <c r="AK603">
        <v>2</v>
      </c>
      <c r="AL603">
        <v>1</v>
      </c>
    </row>
    <row r="604" spans="1:38" x14ac:dyDescent="0.3">
      <c r="A604" t="s">
        <v>672</v>
      </c>
      <c r="B604">
        <v>34</v>
      </c>
      <c r="C604" t="s">
        <v>189</v>
      </c>
      <c r="D604" t="s">
        <v>48</v>
      </c>
      <c r="E604">
        <f t="shared" si="9"/>
        <v>0</v>
      </c>
      <c r="F604" t="s">
        <v>40</v>
      </c>
      <c r="G604">
        <v>121</v>
      </c>
      <c r="H604" t="s">
        <v>41</v>
      </c>
      <c r="I604">
        <v>2</v>
      </c>
      <c r="J604">
        <v>4</v>
      </c>
      <c r="K604" t="s">
        <v>51</v>
      </c>
      <c r="L604">
        <v>1</v>
      </c>
      <c r="M604">
        <v>804</v>
      </c>
      <c r="N604">
        <v>3</v>
      </c>
      <c r="O604" t="s">
        <v>52</v>
      </c>
      <c r="P604">
        <v>86</v>
      </c>
      <c r="Q604">
        <v>2</v>
      </c>
      <c r="R604">
        <v>1</v>
      </c>
      <c r="S604" t="s">
        <v>59</v>
      </c>
      <c r="T604">
        <v>1</v>
      </c>
      <c r="U604" t="s">
        <v>45</v>
      </c>
      <c r="V604">
        <v>4381</v>
      </c>
      <c r="W604" t="s">
        <v>46</v>
      </c>
      <c r="X604">
        <v>7530</v>
      </c>
      <c r="Y604">
        <v>1</v>
      </c>
      <c r="Z604" t="s">
        <v>47</v>
      </c>
      <c r="AA604" t="s">
        <v>48</v>
      </c>
      <c r="AB604">
        <v>11</v>
      </c>
      <c r="AC604">
        <v>3</v>
      </c>
      <c r="AD604">
        <v>3</v>
      </c>
      <c r="AE604">
        <v>80</v>
      </c>
      <c r="AF604">
        <v>0</v>
      </c>
      <c r="AG604">
        <v>6</v>
      </c>
      <c r="AH604">
        <v>3</v>
      </c>
      <c r="AI604">
        <v>3</v>
      </c>
      <c r="AJ604">
        <v>6</v>
      </c>
      <c r="AK604">
        <v>5</v>
      </c>
      <c r="AL604">
        <v>1</v>
      </c>
    </row>
    <row r="605" spans="1:38" x14ac:dyDescent="0.3">
      <c r="A605" t="s">
        <v>673</v>
      </c>
      <c r="B605">
        <v>34</v>
      </c>
      <c r="C605" t="s">
        <v>189</v>
      </c>
      <c r="D605" t="s">
        <v>48</v>
      </c>
      <c r="E605">
        <f t="shared" si="9"/>
        <v>0</v>
      </c>
      <c r="F605" t="s">
        <v>40</v>
      </c>
      <c r="G605">
        <v>1111</v>
      </c>
      <c r="H605" t="s">
        <v>50</v>
      </c>
      <c r="I605">
        <v>8</v>
      </c>
      <c r="J605">
        <v>2</v>
      </c>
      <c r="K605" t="s">
        <v>42</v>
      </c>
      <c r="L605">
        <v>1</v>
      </c>
      <c r="M605">
        <v>808</v>
      </c>
      <c r="N605">
        <v>3</v>
      </c>
      <c r="O605" t="s">
        <v>52</v>
      </c>
      <c r="P605">
        <v>93</v>
      </c>
      <c r="Q605">
        <v>3</v>
      </c>
      <c r="R605">
        <v>2</v>
      </c>
      <c r="S605" t="s">
        <v>136</v>
      </c>
      <c r="T605">
        <v>1</v>
      </c>
      <c r="U605" t="s">
        <v>104</v>
      </c>
      <c r="V605">
        <v>6500</v>
      </c>
      <c r="W605" t="s">
        <v>162</v>
      </c>
      <c r="X605">
        <v>13305</v>
      </c>
      <c r="Y605">
        <v>5</v>
      </c>
      <c r="Z605" t="s">
        <v>47</v>
      </c>
      <c r="AA605" t="s">
        <v>48</v>
      </c>
      <c r="AB605">
        <v>17</v>
      </c>
      <c r="AC605">
        <v>3</v>
      </c>
      <c r="AD605">
        <v>2</v>
      </c>
      <c r="AE605">
        <v>80</v>
      </c>
      <c r="AF605">
        <v>1</v>
      </c>
      <c r="AG605">
        <v>6</v>
      </c>
      <c r="AH605">
        <v>1</v>
      </c>
      <c r="AI605">
        <v>3</v>
      </c>
      <c r="AJ605">
        <v>3</v>
      </c>
      <c r="AK605">
        <v>2</v>
      </c>
      <c r="AL605">
        <v>1</v>
      </c>
    </row>
    <row r="606" spans="1:38" x14ac:dyDescent="0.3">
      <c r="A606" t="s">
        <v>674</v>
      </c>
      <c r="B606">
        <v>34</v>
      </c>
      <c r="C606" t="s">
        <v>189</v>
      </c>
      <c r="D606" t="s">
        <v>48</v>
      </c>
      <c r="E606">
        <f t="shared" si="9"/>
        <v>0</v>
      </c>
      <c r="F606" t="s">
        <v>55</v>
      </c>
      <c r="G606">
        <v>702</v>
      </c>
      <c r="H606" t="s">
        <v>41</v>
      </c>
      <c r="I606">
        <v>16</v>
      </c>
      <c r="J606">
        <v>4</v>
      </c>
      <c r="K606" t="s">
        <v>42</v>
      </c>
      <c r="L606">
        <v>1</v>
      </c>
      <c r="M606">
        <v>838</v>
      </c>
      <c r="N606">
        <v>3</v>
      </c>
      <c r="O606" t="s">
        <v>52</v>
      </c>
      <c r="P606">
        <v>100</v>
      </c>
      <c r="Q606">
        <v>2</v>
      </c>
      <c r="R606">
        <v>1</v>
      </c>
      <c r="S606" t="s">
        <v>59</v>
      </c>
      <c r="T606">
        <v>4</v>
      </c>
      <c r="U606" t="s">
        <v>45</v>
      </c>
      <c r="V606">
        <v>2553</v>
      </c>
      <c r="W606" t="s">
        <v>46</v>
      </c>
      <c r="X606">
        <v>8306</v>
      </c>
      <c r="Y606">
        <v>1</v>
      </c>
      <c r="Z606" t="s">
        <v>47</v>
      </c>
      <c r="AA606" t="s">
        <v>48</v>
      </c>
      <c r="AB606">
        <v>16</v>
      </c>
      <c r="AC606">
        <v>3</v>
      </c>
      <c r="AD606">
        <v>3</v>
      </c>
      <c r="AE606">
        <v>80</v>
      </c>
      <c r="AF606">
        <v>0</v>
      </c>
      <c r="AG606">
        <v>6</v>
      </c>
      <c r="AH606">
        <v>3</v>
      </c>
      <c r="AI606">
        <v>3</v>
      </c>
      <c r="AJ606">
        <v>5</v>
      </c>
      <c r="AK606">
        <v>2</v>
      </c>
      <c r="AL606">
        <v>1</v>
      </c>
    </row>
    <row r="607" spans="1:38" x14ac:dyDescent="0.3">
      <c r="A607" t="s">
        <v>675</v>
      </c>
      <c r="B607">
        <v>34</v>
      </c>
      <c r="C607" t="s">
        <v>189</v>
      </c>
      <c r="D607" t="s">
        <v>48</v>
      </c>
      <c r="E607">
        <f t="shared" si="9"/>
        <v>0</v>
      </c>
      <c r="F607" t="s">
        <v>40</v>
      </c>
      <c r="G607">
        <v>829</v>
      </c>
      <c r="H607" t="s">
        <v>70</v>
      </c>
      <c r="I607">
        <v>3</v>
      </c>
      <c r="J607">
        <v>2</v>
      </c>
      <c r="K607" t="s">
        <v>70</v>
      </c>
      <c r="L607">
        <v>1</v>
      </c>
      <c r="M607">
        <v>847</v>
      </c>
      <c r="N607">
        <v>3</v>
      </c>
      <c r="O607" t="s">
        <v>43</v>
      </c>
      <c r="P607">
        <v>88</v>
      </c>
      <c r="Q607">
        <v>3</v>
      </c>
      <c r="R607">
        <v>1</v>
      </c>
      <c r="S607" t="s">
        <v>70</v>
      </c>
      <c r="T607">
        <v>4</v>
      </c>
      <c r="U607" t="s">
        <v>104</v>
      </c>
      <c r="V607">
        <v>3737</v>
      </c>
      <c r="W607" t="s">
        <v>46</v>
      </c>
      <c r="X607">
        <v>2243</v>
      </c>
      <c r="Y607">
        <v>0</v>
      </c>
      <c r="Z607" t="s">
        <v>47</v>
      </c>
      <c r="AA607" t="s">
        <v>48</v>
      </c>
      <c r="AB607">
        <v>19</v>
      </c>
      <c r="AC607">
        <v>3</v>
      </c>
      <c r="AD607">
        <v>3</v>
      </c>
      <c r="AE607">
        <v>80</v>
      </c>
      <c r="AF607">
        <v>1</v>
      </c>
      <c r="AG607">
        <v>4</v>
      </c>
      <c r="AH607">
        <v>1</v>
      </c>
      <c r="AI607">
        <v>1</v>
      </c>
      <c r="AJ607">
        <v>3</v>
      </c>
      <c r="AK607">
        <v>2</v>
      </c>
      <c r="AL607">
        <v>0</v>
      </c>
    </row>
    <row r="608" spans="1:38" x14ac:dyDescent="0.3">
      <c r="A608" t="s">
        <v>676</v>
      </c>
      <c r="B608">
        <v>34</v>
      </c>
      <c r="C608" t="s">
        <v>189</v>
      </c>
      <c r="D608" t="s">
        <v>48</v>
      </c>
      <c r="E608">
        <f t="shared" si="9"/>
        <v>0</v>
      </c>
      <c r="F608" t="s">
        <v>40</v>
      </c>
      <c r="G608">
        <v>546</v>
      </c>
      <c r="H608" t="s">
        <v>41</v>
      </c>
      <c r="I608">
        <v>10</v>
      </c>
      <c r="J608">
        <v>3</v>
      </c>
      <c r="K608" t="s">
        <v>42</v>
      </c>
      <c r="L608">
        <v>1</v>
      </c>
      <c r="M608">
        <v>934</v>
      </c>
      <c r="N608">
        <v>2</v>
      </c>
      <c r="O608" t="s">
        <v>43</v>
      </c>
      <c r="P608">
        <v>83</v>
      </c>
      <c r="Q608">
        <v>3</v>
      </c>
      <c r="R608">
        <v>1</v>
      </c>
      <c r="S608" t="s">
        <v>44</v>
      </c>
      <c r="T608">
        <v>2</v>
      </c>
      <c r="U608" t="s">
        <v>101</v>
      </c>
      <c r="V608">
        <v>2008</v>
      </c>
      <c r="W608" t="s">
        <v>46</v>
      </c>
      <c r="X608">
        <v>6896</v>
      </c>
      <c r="Y608">
        <v>1</v>
      </c>
      <c r="Z608" t="s">
        <v>47</v>
      </c>
      <c r="AA608" t="s">
        <v>48</v>
      </c>
      <c r="AB608">
        <v>14</v>
      </c>
      <c r="AC608">
        <v>3</v>
      </c>
      <c r="AD608">
        <v>2</v>
      </c>
      <c r="AE608">
        <v>80</v>
      </c>
      <c r="AF608">
        <v>2</v>
      </c>
      <c r="AG608">
        <v>1</v>
      </c>
      <c r="AH608">
        <v>3</v>
      </c>
      <c r="AI608">
        <v>3</v>
      </c>
      <c r="AJ608">
        <v>1</v>
      </c>
      <c r="AK608">
        <v>0</v>
      </c>
      <c r="AL608">
        <v>1</v>
      </c>
    </row>
    <row r="609" spans="1:38" x14ac:dyDescent="0.3">
      <c r="A609" t="s">
        <v>677</v>
      </c>
      <c r="B609">
        <v>34</v>
      </c>
      <c r="C609" t="s">
        <v>189</v>
      </c>
      <c r="D609" t="s">
        <v>48</v>
      </c>
      <c r="E609">
        <f t="shared" si="9"/>
        <v>0</v>
      </c>
      <c r="F609" t="s">
        <v>40</v>
      </c>
      <c r="G609">
        <v>216</v>
      </c>
      <c r="H609" t="s">
        <v>50</v>
      </c>
      <c r="I609">
        <v>1</v>
      </c>
      <c r="J609">
        <v>4</v>
      </c>
      <c r="K609" t="s">
        <v>56</v>
      </c>
      <c r="L609">
        <v>1</v>
      </c>
      <c r="M609">
        <v>1047</v>
      </c>
      <c r="N609">
        <v>2</v>
      </c>
      <c r="O609" t="s">
        <v>43</v>
      </c>
      <c r="P609">
        <v>75</v>
      </c>
      <c r="Q609">
        <v>4</v>
      </c>
      <c r="R609">
        <v>2</v>
      </c>
      <c r="S609" t="s">
        <v>136</v>
      </c>
      <c r="T609">
        <v>4</v>
      </c>
      <c r="U609" t="s">
        <v>101</v>
      </c>
      <c r="V609">
        <v>9725</v>
      </c>
      <c r="W609" t="s">
        <v>162</v>
      </c>
      <c r="X609">
        <v>12278</v>
      </c>
      <c r="Y609">
        <v>0</v>
      </c>
      <c r="Z609" t="s">
        <v>47</v>
      </c>
      <c r="AA609" t="s">
        <v>48</v>
      </c>
      <c r="AB609">
        <v>11</v>
      </c>
      <c r="AC609">
        <v>3</v>
      </c>
      <c r="AD609">
        <v>4</v>
      </c>
      <c r="AE609">
        <v>80</v>
      </c>
      <c r="AF609">
        <v>1</v>
      </c>
      <c r="AG609">
        <v>16</v>
      </c>
      <c r="AH609">
        <v>2</v>
      </c>
      <c r="AI609">
        <v>2</v>
      </c>
      <c r="AJ609">
        <v>15</v>
      </c>
      <c r="AK609">
        <v>1</v>
      </c>
      <c r="AL609">
        <v>0</v>
      </c>
    </row>
    <row r="610" spans="1:38" x14ac:dyDescent="0.3">
      <c r="A610" t="s">
        <v>678</v>
      </c>
      <c r="B610">
        <v>34</v>
      </c>
      <c r="C610" t="s">
        <v>189</v>
      </c>
      <c r="D610" t="s">
        <v>48</v>
      </c>
      <c r="E610">
        <f t="shared" si="9"/>
        <v>0</v>
      </c>
      <c r="F610" t="s">
        <v>40</v>
      </c>
      <c r="G610">
        <v>1333</v>
      </c>
      <c r="H610" t="s">
        <v>50</v>
      </c>
      <c r="I610">
        <v>10</v>
      </c>
      <c r="J610">
        <v>4</v>
      </c>
      <c r="K610" t="s">
        <v>42</v>
      </c>
      <c r="L610">
        <v>1</v>
      </c>
      <c r="M610">
        <v>1055</v>
      </c>
      <c r="N610">
        <v>3</v>
      </c>
      <c r="O610" t="s">
        <v>52</v>
      </c>
      <c r="P610">
        <v>87</v>
      </c>
      <c r="Q610">
        <v>3</v>
      </c>
      <c r="R610">
        <v>1</v>
      </c>
      <c r="S610" t="s">
        <v>53</v>
      </c>
      <c r="T610">
        <v>3</v>
      </c>
      <c r="U610" t="s">
        <v>104</v>
      </c>
      <c r="V610">
        <v>2220</v>
      </c>
      <c r="W610" t="s">
        <v>46</v>
      </c>
      <c r="X610">
        <v>18410</v>
      </c>
      <c r="Y610">
        <v>1</v>
      </c>
      <c r="Z610" t="s">
        <v>47</v>
      </c>
      <c r="AA610" t="s">
        <v>39</v>
      </c>
      <c r="AB610">
        <v>19</v>
      </c>
      <c r="AC610">
        <v>3</v>
      </c>
      <c r="AD610">
        <v>4</v>
      </c>
      <c r="AE610">
        <v>80</v>
      </c>
      <c r="AF610">
        <v>1</v>
      </c>
      <c r="AG610">
        <v>1</v>
      </c>
      <c r="AH610">
        <v>2</v>
      </c>
      <c r="AI610">
        <v>3</v>
      </c>
      <c r="AJ610">
        <v>1</v>
      </c>
      <c r="AK610">
        <v>1</v>
      </c>
      <c r="AL610">
        <v>0</v>
      </c>
    </row>
    <row r="611" spans="1:38" x14ac:dyDescent="0.3">
      <c r="A611" t="s">
        <v>679</v>
      </c>
      <c r="B611">
        <v>34</v>
      </c>
      <c r="C611" t="s">
        <v>189</v>
      </c>
      <c r="D611" t="s">
        <v>48</v>
      </c>
      <c r="E611">
        <f t="shared" si="9"/>
        <v>0</v>
      </c>
      <c r="F611" t="s">
        <v>55</v>
      </c>
      <c r="G611">
        <v>618</v>
      </c>
      <c r="H611" t="s">
        <v>41</v>
      </c>
      <c r="I611">
        <v>3</v>
      </c>
      <c r="J611">
        <v>1</v>
      </c>
      <c r="K611" t="s">
        <v>42</v>
      </c>
      <c r="L611">
        <v>1</v>
      </c>
      <c r="M611">
        <v>1103</v>
      </c>
      <c r="N611">
        <v>1</v>
      </c>
      <c r="O611" t="s">
        <v>43</v>
      </c>
      <c r="P611">
        <v>45</v>
      </c>
      <c r="Q611">
        <v>3</v>
      </c>
      <c r="R611">
        <v>2</v>
      </c>
      <c r="S611" t="s">
        <v>160</v>
      </c>
      <c r="T611">
        <v>4</v>
      </c>
      <c r="U611" t="s">
        <v>45</v>
      </c>
      <c r="V611">
        <v>7756</v>
      </c>
      <c r="W611" t="s">
        <v>162</v>
      </c>
      <c r="X611">
        <v>22266</v>
      </c>
      <c r="Y611">
        <v>0</v>
      </c>
      <c r="Z611" t="s">
        <v>47</v>
      </c>
      <c r="AA611" t="s">
        <v>48</v>
      </c>
      <c r="AB611">
        <v>17</v>
      </c>
      <c r="AC611">
        <v>3</v>
      </c>
      <c r="AD611">
        <v>3</v>
      </c>
      <c r="AE611">
        <v>80</v>
      </c>
      <c r="AF611">
        <v>0</v>
      </c>
      <c r="AG611">
        <v>7</v>
      </c>
      <c r="AH611">
        <v>1</v>
      </c>
      <c r="AI611">
        <v>2</v>
      </c>
      <c r="AJ611">
        <v>6</v>
      </c>
      <c r="AK611">
        <v>2</v>
      </c>
      <c r="AL611">
        <v>0</v>
      </c>
    </row>
    <row r="612" spans="1:38" x14ac:dyDescent="0.3">
      <c r="A612" t="s">
        <v>680</v>
      </c>
      <c r="B612">
        <v>34</v>
      </c>
      <c r="C612" t="s">
        <v>189</v>
      </c>
      <c r="D612" t="s">
        <v>48</v>
      </c>
      <c r="E612">
        <f t="shared" si="9"/>
        <v>0</v>
      </c>
      <c r="F612" t="s">
        <v>58</v>
      </c>
      <c r="G612">
        <v>697</v>
      </c>
      <c r="H612" t="s">
        <v>41</v>
      </c>
      <c r="I612">
        <v>3</v>
      </c>
      <c r="J612">
        <v>4</v>
      </c>
      <c r="K612" t="s">
        <v>42</v>
      </c>
      <c r="L612">
        <v>1</v>
      </c>
      <c r="M612">
        <v>1115</v>
      </c>
      <c r="N612">
        <v>3</v>
      </c>
      <c r="O612" t="s">
        <v>43</v>
      </c>
      <c r="P612">
        <v>40</v>
      </c>
      <c r="Q612">
        <v>2</v>
      </c>
      <c r="R612">
        <v>1</v>
      </c>
      <c r="S612" t="s">
        <v>59</v>
      </c>
      <c r="T612">
        <v>4</v>
      </c>
      <c r="U612" t="s">
        <v>104</v>
      </c>
      <c r="V612">
        <v>2979</v>
      </c>
      <c r="W612" t="s">
        <v>46</v>
      </c>
      <c r="X612">
        <v>22478</v>
      </c>
      <c r="Y612">
        <v>3</v>
      </c>
      <c r="Z612" t="s">
        <v>47</v>
      </c>
      <c r="AA612" t="s">
        <v>48</v>
      </c>
      <c r="AB612">
        <v>17</v>
      </c>
      <c r="AC612">
        <v>3</v>
      </c>
      <c r="AD612">
        <v>4</v>
      </c>
      <c r="AE612">
        <v>80</v>
      </c>
      <c r="AF612">
        <v>3</v>
      </c>
      <c r="AG612">
        <v>6</v>
      </c>
      <c r="AH612">
        <v>2</v>
      </c>
      <c r="AI612">
        <v>3</v>
      </c>
      <c r="AJ612">
        <v>0</v>
      </c>
      <c r="AK612">
        <v>0</v>
      </c>
      <c r="AL612">
        <v>0</v>
      </c>
    </row>
    <row r="613" spans="1:38" x14ac:dyDescent="0.3">
      <c r="A613" t="s">
        <v>681</v>
      </c>
      <c r="B613">
        <v>34</v>
      </c>
      <c r="C613" t="s">
        <v>189</v>
      </c>
      <c r="D613" t="s">
        <v>48</v>
      </c>
      <c r="E613">
        <f t="shared" si="9"/>
        <v>0</v>
      </c>
      <c r="F613" t="s">
        <v>55</v>
      </c>
      <c r="G613">
        <v>1003</v>
      </c>
      <c r="H613" t="s">
        <v>41</v>
      </c>
      <c r="I613">
        <v>2</v>
      </c>
      <c r="J613">
        <v>2</v>
      </c>
      <c r="K613" t="s">
        <v>42</v>
      </c>
      <c r="L613">
        <v>1</v>
      </c>
      <c r="M613">
        <v>1140</v>
      </c>
      <c r="N613">
        <v>4</v>
      </c>
      <c r="O613" t="s">
        <v>43</v>
      </c>
      <c r="P613">
        <v>95</v>
      </c>
      <c r="Q613">
        <v>3</v>
      </c>
      <c r="R613">
        <v>2</v>
      </c>
      <c r="S613" t="s">
        <v>111</v>
      </c>
      <c r="T613">
        <v>3</v>
      </c>
      <c r="U613" t="s">
        <v>45</v>
      </c>
      <c r="V613">
        <v>4033</v>
      </c>
      <c r="W613" t="s">
        <v>46</v>
      </c>
      <c r="X613">
        <v>15834</v>
      </c>
      <c r="Y613">
        <v>2</v>
      </c>
      <c r="Z613" t="s">
        <v>47</v>
      </c>
      <c r="AA613" t="s">
        <v>48</v>
      </c>
      <c r="AB613">
        <v>11</v>
      </c>
      <c r="AC613">
        <v>3</v>
      </c>
      <c r="AD613">
        <v>4</v>
      </c>
      <c r="AE613">
        <v>80</v>
      </c>
      <c r="AF613">
        <v>0</v>
      </c>
      <c r="AG613">
        <v>5</v>
      </c>
      <c r="AH613">
        <v>3</v>
      </c>
      <c r="AI613">
        <v>2</v>
      </c>
      <c r="AJ613">
        <v>3</v>
      </c>
      <c r="AK613">
        <v>2</v>
      </c>
      <c r="AL613">
        <v>0</v>
      </c>
    </row>
    <row r="614" spans="1:38" x14ac:dyDescent="0.3">
      <c r="A614" t="s">
        <v>682</v>
      </c>
      <c r="B614">
        <v>34</v>
      </c>
      <c r="C614" t="s">
        <v>189</v>
      </c>
      <c r="D614" t="s">
        <v>48</v>
      </c>
      <c r="E614">
        <f t="shared" si="9"/>
        <v>0</v>
      </c>
      <c r="F614" t="s">
        <v>40</v>
      </c>
      <c r="G614">
        <v>1400</v>
      </c>
      <c r="H614" t="s">
        <v>50</v>
      </c>
      <c r="I614">
        <v>9</v>
      </c>
      <c r="J614">
        <v>1</v>
      </c>
      <c r="K614" t="s">
        <v>42</v>
      </c>
      <c r="L614">
        <v>1</v>
      </c>
      <c r="M614">
        <v>1163</v>
      </c>
      <c r="N614">
        <v>2</v>
      </c>
      <c r="O614" t="s">
        <v>52</v>
      </c>
      <c r="P614">
        <v>70</v>
      </c>
      <c r="Q614">
        <v>3</v>
      </c>
      <c r="R614">
        <v>2</v>
      </c>
      <c r="S614" t="s">
        <v>136</v>
      </c>
      <c r="T614">
        <v>3</v>
      </c>
      <c r="U614" t="s">
        <v>104</v>
      </c>
      <c r="V614">
        <v>5714</v>
      </c>
      <c r="W614" t="s">
        <v>162</v>
      </c>
      <c r="X614">
        <v>5829</v>
      </c>
      <c r="Y614">
        <v>1</v>
      </c>
      <c r="Z614" t="s">
        <v>47</v>
      </c>
      <c r="AA614" t="s">
        <v>48</v>
      </c>
      <c r="AB614">
        <v>20</v>
      </c>
      <c r="AC614">
        <v>4</v>
      </c>
      <c r="AD614">
        <v>1</v>
      </c>
      <c r="AE614">
        <v>80</v>
      </c>
      <c r="AF614">
        <v>0</v>
      </c>
      <c r="AG614">
        <v>6</v>
      </c>
      <c r="AH614">
        <v>3</v>
      </c>
      <c r="AI614">
        <v>2</v>
      </c>
      <c r="AJ614">
        <v>6</v>
      </c>
      <c r="AK614">
        <v>5</v>
      </c>
      <c r="AL614">
        <v>1</v>
      </c>
    </row>
    <row r="615" spans="1:38" x14ac:dyDescent="0.3">
      <c r="A615" t="s">
        <v>683</v>
      </c>
      <c r="B615">
        <v>34</v>
      </c>
      <c r="C615" t="s">
        <v>189</v>
      </c>
      <c r="D615" t="s">
        <v>48</v>
      </c>
      <c r="E615">
        <f t="shared" si="9"/>
        <v>0</v>
      </c>
      <c r="F615" t="s">
        <v>55</v>
      </c>
      <c r="G615">
        <v>669</v>
      </c>
      <c r="H615" t="s">
        <v>41</v>
      </c>
      <c r="I615">
        <v>1</v>
      </c>
      <c r="J615">
        <v>3</v>
      </c>
      <c r="K615" t="s">
        <v>51</v>
      </c>
      <c r="L615">
        <v>1</v>
      </c>
      <c r="M615">
        <v>1184</v>
      </c>
      <c r="N615">
        <v>4</v>
      </c>
      <c r="O615" t="s">
        <v>43</v>
      </c>
      <c r="P615">
        <v>97</v>
      </c>
      <c r="Q615">
        <v>2</v>
      </c>
      <c r="R615">
        <v>2</v>
      </c>
      <c r="S615" t="s">
        <v>160</v>
      </c>
      <c r="T615">
        <v>1</v>
      </c>
      <c r="U615" t="s">
        <v>45</v>
      </c>
      <c r="V615">
        <v>5343</v>
      </c>
      <c r="W615" t="s">
        <v>162</v>
      </c>
      <c r="X615">
        <v>25755</v>
      </c>
      <c r="Y615">
        <v>0</v>
      </c>
      <c r="Z615" t="s">
        <v>47</v>
      </c>
      <c r="AA615" t="s">
        <v>48</v>
      </c>
      <c r="AB615">
        <v>20</v>
      </c>
      <c r="AC615">
        <v>4</v>
      </c>
      <c r="AD615">
        <v>3</v>
      </c>
      <c r="AE615">
        <v>80</v>
      </c>
      <c r="AF615">
        <v>0</v>
      </c>
      <c r="AG615">
        <v>14</v>
      </c>
      <c r="AH615">
        <v>3</v>
      </c>
      <c r="AI615">
        <v>3</v>
      </c>
      <c r="AJ615">
        <v>13</v>
      </c>
      <c r="AK615">
        <v>9</v>
      </c>
      <c r="AL615">
        <v>4</v>
      </c>
    </row>
    <row r="616" spans="1:38" x14ac:dyDescent="0.3">
      <c r="A616" t="s">
        <v>684</v>
      </c>
      <c r="B616">
        <v>34</v>
      </c>
      <c r="C616" t="s">
        <v>189</v>
      </c>
      <c r="D616" t="s">
        <v>48</v>
      </c>
      <c r="E616">
        <f t="shared" si="9"/>
        <v>0</v>
      </c>
      <c r="F616" t="s">
        <v>40</v>
      </c>
      <c r="G616">
        <v>1320</v>
      </c>
      <c r="H616" t="s">
        <v>41</v>
      </c>
      <c r="I616">
        <v>20</v>
      </c>
      <c r="J616">
        <v>3</v>
      </c>
      <c r="K616" t="s">
        <v>67</v>
      </c>
      <c r="L616">
        <v>1</v>
      </c>
      <c r="M616">
        <v>1265</v>
      </c>
      <c r="N616">
        <v>3</v>
      </c>
      <c r="O616" t="s">
        <v>52</v>
      </c>
      <c r="P616">
        <v>89</v>
      </c>
      <c r="Q616">
        <v>4</v>
      </c>
      <c r="R616">
        <v>1</v>
      </c>
      <c r="S616" t="s">
        <v>59</v>
      </c>
      <c r="T616">
        <v>3</v>
      </c>
      <c r="U616" t="s">
        <v>104</v>
      </c>
      <c r="V616">
        <v>2585</v>
      </c>
      <c r="W616" t="s">
        <v>46</v>
      </c>
      <c r="X616">
        <v>21643</v>
      </c>
      <c r="Y616">
        <v>0</v>
      </c>
      <c r="Z616" t="s">
        <v>47</v>
      </c>
      <c r="AA616" t="s">
        <v>48</v>
      </c>
      <c r="AB616">
        <v>17</v>
      </c>
      <c r="AC616">
        <v>3</v>
      </c>
      <c r="AD616">
        <v>4</v>
      </c>
      <c r="AE616">
        <v>80</v>
      </c>
      <c r="AF616">
        <v>0</v>
      </c>
      <c r="AG616">
        <v>2</v>
      </c>
      <c r="AH616">
        <v>5</v>
      </c>
      <c r="AI616">
        <v>2</v>
      </c>
      <c r="AJ616">
        <v>1</v>
      </c>
      <c r="AK616">
        <v>0</v>
      </c>
      <c r="AL616">
        <v>0</v>
      </c>
    </row>
    <row r="617" spans="1:38" x14ac:dyDescent="0.3">
      <c r="A617" t="s">
        <v>685</v>
      </c>
      <c r="B617">
        <v>34</v>
      </c>
      <c r="C617" t="s">
        <v>189</v>
      </c>
      <c r="D617" t="s">
        <v>48</v>
      </c>
      <c r="E617">
        <f t="shared" si="9"/>
        <v>0</v>
      </c>
      <c r="F617" t="s">
        <v>40</v>
      </c>
      <c r="G617">
        <v>131</v>
      </c>
      <c r="H617" t="s">
        <v>50</v>
      </c>
      <c r="I617">
        <v>2</v>
      </c>
      <c r="J617">
        <v>3</v>
      </c>
      <c r="K617" t="s">
        <v>56</v>
      </c>
      <c r="L617">
        <v>1</v>
      </c>
      <c r="M617">
        <v>1281</v>
      </c>
      <c r="N617">
        <v>3</v>
      </c>
      <c r="O617" t="s">
        <v>52</v>
      </c>
      <c r="P617">
        <v>86</v>
      </c>
      <c r="Q617">
        <v>3</v>
      </c>
      <c r="R617">
        <v>2</v>
      </c>
      <c r="S617" t="s">
        <v>136</v>
      </c>
      <c r="T617">
        <v>1</v>
      </c>
      <c r="U617" t="s">
        <v>45</v>
      </c>
      <c r="V617">
        <v>4538</v>
      </c>
      <c r="W617" t="s">
        <v>46</v>
      </c>
      <c r="X617">
        <v>6039</v>
      </c>
      <c r="Y617">
        <v>0</v>
      </c>
      <c r="Z617" t="s">
        <v>47</v>
      </c>
      <c r="AA617" t="s">
        <v>39</v>
      </c>
      <c r="AB617">
        <v>12</v>
      </c>
      <c r="AC617">
        <v>3</v>
      </c>
      <c r="AD617">
        <v>4</v>
      </c>
      <c r="AE617">
        <v>80</v>
      </c>
      <c r="AF617">
        <v>0</v>
      </c>
      <c r="AG617">
        <v>4</v>
      </c>
      <c r="AH617">
        <v>3</v>
      </c>
      <c r="AI617">
        <v>3</v>
      </c>
      <c r="AJ617">
        <v>3</v>
      </c>
      <c r="AK617">
        <v>2</v>
      </c>
      <c r="AL617">
        <v>0</v>
      </c>
    </row>
    <row r="618" spans="1:38" x14ac:dyDescent="0.3">
      <c r="A618" t="s">
        <v>686</v>
      </c>
      <c r="B618">
        <v>34</v>
      </c>
      <c r="C618" t="s">
        <v>189</v>
      </c>
      <c r="D618" t="s">
        <v>48</v>
      </c>
      <c r="E618">
        <f t="shared" si="9"/>
        <v>0</v>
      </c>
      <c r="F618" t="s">
        <v>55</v>
      </c>
      <c r="G618">
        <v>135</v>
      </c>
      <c r="H618" t="s">
        <v>41</v>
      </c>
      <c r="I618">
        <v>19</v>
      </c>
      <c r="J618">
        <v>3</v>
      </c>
      <c r="K618" t="s">
        <v>51</v>
      </c>
      <c r="L618">
        <v>1</v>
      </c>
      <c r="M618">
        <v>1285</v>
      </c>
      <c r="N618">
        <v>3</v>
      </c>
      <c r="O618" t="s">
        <v>52</v>
      </c>
      <c r="P618">
        <v>46</v>
      </c>
      <c r="Q618">
        <v>3</v>
      </c>
      <c r="R618">
        <v>2</v>
      </c>
      <c r="S618" t="s">
        <v>44</v>
      </c>
      <c r="T618">
        <v>2</v>
      </c>
      <c r="U618" t="s">
        <v>101</v>
      </c>
      <c r="V618">
        <v>4444</v>
      </c>
      <c r="W618" t="s">
        <v>46</v>
      </c>
      <c r="X618">
        <v>22534</v>
      </c>
      <c r="Y618">
        <v>4</v>
      </c>
      <c r="Z618" t="s">
        <v>47</v>
      </c>
      <c r="AA618" t="s">
        <v>48</v>
      </c>
      <c r="AB618">
        <v>13</v>
      </c>
      <c r="AC618">
        <v>3</v>
      </c>
      <c r="AD618">
        <v>3</v>
      </c>
      <c r="AE618">
        <v>80</v>
      </c>
      <c r="AF618">
        <v>2</v>
      </c>
      <c r="AG618">
        <v>15</v>
      </c>
      <c r="AH618">
        <v>2</v>
      </c>
      <c r="AI618">
        <v>4</v>
      </c>
      <c r="AJ618">
        <v>11</v>
      </c>
      <c r="AK618">
        <v>8</v>
      </c>
      <c r="AL618">
        <v>5</v>
      </c>
    </row>
    <row r="619" spans="1:38" x14ac:dyDescent="0.3">
      <c r="A619" t="s">
        <v>687</v>
      </c>
      <c r="B619">
        <v>34</v>
      </c>
      <c r="C619" t="s">
        <v>189</v>
      </c>
      <c r="D619" t="s">
        <v>48</v>
      </c>
      <c r="E619">
        <f t="shared" si="9"/>
        <v>0</v>
      </c>
      <c r="F619" t="s">
        <v>55</v>
      </c>
      <c r="G619">
        <v>648</v>
      </c>
      <c r="H619" t="s">
        <v>70</v>
      </c>
      <c r="I619">
        <v>11</v>
      </c>
      <c r="J619">
        <v>3</v>
      </c>
      <c r="K619" t="s">
        <v>42</v>
      </c>
      <c r="L619">
        <v>1</v>
      </c>
      <c r="M619">
        <v>1289</v>
      </c>
      <c r="N619">
        <v>3</v>
      </c>
      <c r="O619" t="s">
        <v>43</v>
      </c>
      <c r="P619">
        <v>56</v>
      </c>
      <c r="Q619">
        <v>2</v>
      </c>
      <c r="R619">
        <v>2</v>
      </c>
      <c r="S619" t="s">
        <v>70</v>
      </c>
      <c r="T619">
        <v>2</v>
      </c>
      <c r="U619" t="s">
        <v>104</v>
      </c>
      <c r="V619">
        <v>4490</v>
      </c>
      <c r="W619" t="s">
        <v>46</v>
      </c>
      <c r="X619">
        <v>21833</v>
      </c>
      <c r="Y619">
        <v>4</v>
      </c>
      <c r="Z619" t="s">
        <v>47</v>
      </c>
      <c r="AA619" t="s">
        <v>48</v>
      </c>
      <c r="AB619">
        <v>11</v>
      </c>
      <c r="AC619">
        <v>3</v>
      </c>
      <c r="AD619">
        <v>4</v>
      </c>
      <c r="AE619">
        <v>80</v>
      </c>
      <c r="AF619">
        <v>2</v>
      </c>
      <c r="AG619">
        <v>14</v>
      </c>
      <c r="AH619">
        <v>5</v>
      </c>
      <c r="AI619">
        <v>4</v>
      </c>
      <c r="AJ619">
        <v>10</v>
      </c>
      <c r="AK619">
        <v>9</v>
      </c>
      <c r="AL619">
        <v>1</v>
      </c>
    </row>
    <row r="620" spans="1:38" x14ac:dyDescent="0.3">
      <c r="A620" t="s">
        <v>688</v>
      </c>
      <c r="B620">
        <v>34</v>
      </c>
      <c r="C620" t="s">
        <v>189</v>
      </c>
      <c r="D620" t="s">
        <v>48</v>
      </c>
      <c r="E620">
        <f t="shared" si="9"/>
        <v>0</v>
      </c>
      <c r="F620" t="s">
        <v>40</v>
      </c>
      <c r="G620">
        <v>943</v>
      </c>
      <c r="H620" t="s">
        <v>41</v>
      </c>
      <c r="I620">
        <v>9</v>
      </c>
      <c r="J620">
        <v>3</v>
      </c>
      <c r="K620" t="s">
        <v>42</v>
      </c>
      <c r="L620">
        <v>1</v>
      </c>
      <c r="M620">
        <v>1344</v>
      </c>
      <c r="N620">
        <v>4</v>
      </c>
      <c r="O620" t="s">
        <v>43</v>
      </c>
      <c r="P620">
        <v>86</v>
      </c>
      <c r="Q620">
        <v>3</v>
      </c>
      <c r="R620">
        <v>3</v>
      </c>
      <c r="S620" t="s">
        <v>160</v>
      </c>
      <c r="T620">
        <v>4</v>
      </c>
      <c r="U620" t="s">
        <v>101</v>
      </c>
      <c r="V620">
        <v>8500</v>
      </c>
      <c r="W620" t="s">
        <v>162</v>
      </c>
      <c r="X620">
        <v>5494</v>
      </c>
      <c r="Y620">
        <v>0</v>
      </c>
      <c r="Z620" t="s">
        <v>47</v>
      </c>
      <c r="AA620" t="s">
        <v>48</v>
      </c>
      <c r="AB620">
        <v>11</v>
      </c>
      <c r="AC620">
        <v>3</v>
      </c>
      <c r="AD620">
        <v>4</v>
      </c>
      <c r="AE620">
        <v>80</v>
      </c>
      <c r="AF620">
        <v>1</v>
      </c>
      <c r="AG620">
        <v>10</v>
      </c>
      <c r="AH620">
        <v>0</v>
      </c>
      <c r="AI620">
        <v>2</v>
      </c>
      <c r="AJ620">
        <v>9</v>
      </c>
      <c r="AK620">
        <v>7</v>
      </c>
      <c r="AL620">
        <v>1</v>
      </c>
    </row>
    <row r="621" spans="1:38" x14ac:dyDescent="0.3">
      <c r="A621" t="s">
        <v>689</v>
      </c>
      <c r="B621">
        <v>34</v>
      </c>
      <c r="C621" t="s">
        <v>189</v>
      </c>
      <c r="D621" t="s">
        <v>48</v>
      </c>
      <c r="E621">
        <f t="shared" si="9"/>
        <v>0</v>
      </c>
      <c r="F621" t="s">
        <v>40</v>
      </c>
      <c r="G621">
        <v>507</v>
      </c>
      <c r="H621" t="s">
        <v>50</v>
      </c>
      <c r="I621">
        <v>15</v>
      </c>
      <c r="J621">
        <v>2</v>
      </c>
      <c r="K621" t="s">
        <v>51</v>
      </c>
      <c r="L621">
        <v>1</v>
      </c>
      <c r="M621">
        <v>1356</v>
      </c>
      <c r="N621">
        <v>3</v>
      </c>
      <c r="O621" t="s">
        <v>52</v>
      </c>
      <c r="P621">
        <v>66</v>
      </c>
      <c r="Q621">
        <v>3</v>
      </c>
      <c r="R621">
        <v>2</v>
      </c>
      <c r="S621" t="s">
        <v>136</v>
      </c>
      <c r="T621">
        <v>1</v>
      </c>
      <c r="U621" t="s">
        <v>45</v>
      </c>
      <c r="V621">
        <v>6125</v>
      </c>
      <c r="W621" t="s">
        <v>162</v>
      </c>
      <c r="X621">
        <v>23553</v>
      </c>
      <c r="Y621">
        <v>1</v>
      </c>
      <c r="Z621" t="s">
        <v>47</v>
      </c>
      <c r="AA621" t="s">
        <v>48</v>
      </c>
      <c r="AB621">
        <v>12</v>
      </c>
      <c r="AC621">
        <v>3</v>
      </c>
      <c r="AD621">
        <v>4</v>
      </c>
      <c r="AE621">
        <v>80</v>
      </c>
      <c r="AF621">
        <v>0</v>
      </c>
      <c r="AG621">
        <v>10</v>
      </c>
      <c r="AH621">
        <v>6</v>
      </c>
      <c r="AI621">
        <v>4</v>
      </c>
      <c r="AJ621">
        <v>10</v>
      </c>
      <c r="AK621">
        <v>8</v>
      </c>
      <c r="AL621">
        <v>9</v>
      </c>
    </row>
    <row r="622" spans="1:38" x14ac:dyDescent="0.3">
      <c r="A622" t="s">
        <v>690</v>
      </c>
      <c r="B622">
        <v>34</v>
      </c>
      <c r="C622" t="s">
        <v>189</v>
      </c>
      <c r="D622" t="s">
        <v>48</v>
      </c>
      <c r="E622">
        <f t="shared" si="9"/>
        <v>0</v>
      </c>
      <c r="F622" t="s">
        <v>58</v>
      </c>
      <c r="G622">
        <v>999</v>
      </c>
      <c r="H622" t="s">
        <v>41</v>
      </c>
      <c r="I622">
        <v>26</v>
      </c>
      <c r="J622">
        <v>1</v>
      </c>
      <c r="K622" t="s">
        <v>67</v>
      </c>
      <c r="L622">
        <v>1</v>
      </c>
      <c r="M622">
        <v>1374</v>
      </c>
      <c r="N622">
        <v>1</v>
      </c>
      <c r="O622" t="s">
        <v>52</v>
      </c>
      <c r="P622">
        <v>92</v>
      </c>
      <c r="Q622">
        <v>2</v>
      </c>
      <c r="R622">
        <v>1</v>
      </c>
      <c r="S622" t="s">
        <v>59</v>
      </c>
      <c r="T622">
        <v>3</v>
      </c>
      <c r="U622" t="s">
        <v>101</v>
      </c>
      <c r="V622">
        <v>2029</v>
      </c>
      <c r="W622" t="s">
        <v>46</v>
      </c>
      <c r="X622">
        <v>15891</v>
      </c>
      <c r="Y622">
        <v>1</v>
      </c>
      <c r="Z622" t="s">
        <v>47</v>
      </c>
      <c r="AA622" t="s">
        <v>48</v>
      </c>
      <c r="AB622">
        <v>20</v>
      </c>
      <c r="AC622">
        <v>4</v>
      </c>
      <c r="AD622">
        <v>3</v>
      </c>
      <c r="AE622">
        <v>80</v>
      </c>
      <c r="AF622">
        <v>3</v>
      </c>
      <c r="AG622">
        <v>5</v>
      </c>
      <c r="AH622">
        <v>2</v>
      </c>
      <c r="AI622">
        <v>3</v>
      </c>
      <c r="AJ622">
        <v>5</v>
      </c>
      <c r="AK622">
        <v>4</v>
      </c>
      <c r="AL622">
        <v>0</v>
      </c>
    </row>
    <row r="623" spans="1:38" x14ac:dyDescent="0.3">
      <c r="A623" t="s">
        <v>691</v>
      </c>
      <c r="B623">
        <v>34</v>
      </c>
      <c r="C623" t="s">
        <v>189</v>
      </c>
      <c r="D623" t="s">
        <v>48</v>
      </c>
      <c r="E623">
        <f t="shared" si="9"/>
        <v>0</v>
      </c>
      <c r="F623" t="s">
        <v>40</v>
      </c>
      <c r="G623">
        <v>285</v>
      </c>
      <c r="H623" t="s">
        <v>41</v>
      </c>
      <c r="I623">
        <v>29</v>
      </c>
      <c r="J623">
        <v>3</v>
      </c>
      <c r="K623" t="s">
        <v>51</v>
      </c>
      <c r="L623">
        <v>1</v>
      </c>
      <c r="M623">
        <v>1377</v>
      </c>
      <c r="N623">
        <v>2</v>
      </c>
      <c r="O623" t="s">
        <v>43</v>
      </c>
      <c r="P623">
        <v>86</v>
      </c>
      <c r="Q623">
        <v>3</v>
      </c>
      <c r="R623">
        <v>2</v>
      </c>
      <c r="S623" t="s">
        <v>44</v>
      </c>
      <c r="T623">
        <v>3</v>
      </c>
      <c r="U623" t="s">
        <v>104</v>
      </c>
      <c r="V623">
        <v>5429</v>
      </c>
      <c r="W623" t="s">
        <v>162</v>
      </c>
      <c r="X623">
        <v>17491</v>
      </c>
      <c r="Y623">
        <v>4</v>
      </c>
      <c r="Z623" t="s">
        <v>47</v>
      </c>
      <c r="AA623" t="s">
        <v>48</v>
      </c>
      <c r="AB623">
        <v>13</v>
      </c>
      <c r="AC623">
        <v>3</v>
      </c>
      <c r="AD623">
        <v>1</v>
      </c>
      <c r="AE623">
        <v>80</v>
      </c>
      <c r="AF623">
        <v>2</v>
      </c>
      <c r="AG623">
        <v>10</v>
      </c>
      <c r="AH623">
        <v>1</v>
      </c>
      <c r="AI623">
        <v>3</v>
      </c>
      <c r="AJ623">
        <v>8</v>
      </c>
      <c r="AK623">
        <v>7</v>
      </c>
      <c r="AL623">
        <v>7</v>
      </c>
    </row>
    <row r="624" spans="1:38" x14ac:dyDescent="0.3">
      <c r="A624" t="s">
        <v>692</v>
      </c>
      <c r="B624">
        <v>34</v>
      </c>
      <c r="C624" t="s">
        <v>189</v>
      </c>
      <c r="D624" t="s">
        <v>48</v>
      </c>
      <c r="E624">
        <f t="shared" si="9"/>
        <v>0</v>
      </c>
      <c r="F624" t="s">
        <v>40</v>
      </c>
      <c r="G624">
        <v>404</v>
      </c>
      <c r="H624" t="s">
        <v>41</v>
      </c>
      <c r="I624">
        <v>2</v>
      </c>
      <c r="J624">
        <v>4</v>
      </c>
      <c r="K624" t="s">
        <v>67</v>
      </c>
      <c r="L624">
        <v>1</v>
      </c>
      <c r="M624">
        <v>1383</v>
      </c>
      <c r="N624">
        <v>3</v>
      </c>
      <c r="O624" t="s">
        <v>52</v>
      </c>
      <c r="P624">
        <v>98</v>
      </c>
      <c r="Q624">
        <v>3</v>
      </c>
      <c r="R624">
        <v>2</v>
      </c>
      <c r="S624" t="s">
        <v>160</v>
      </c>
      <c r="T624">
        <v>4</v>
      </c>
      <c r="U624" t="s">
        <v>45</v>
      </c>
      <c r="V624">
        <v>6687</v>
      </c>
      <c r="W624" t="s">
        <v>162</v>
      </c>
      <c r="X624">
        <v>6163</v>
      </c>
      <c r="Y624">
        <v>1</v>
      </c>
      <c r="Z624" t="s">
        <v>47</v>
      </c>
      <c r="AA624" t="s">
        <v>48</v>
      </c>
      <c r="AB624">
        <v>11</v>
      </c>
      <c r="AC624">
        <v>3</v>
      </c>
      <c r="AD624">
        <v>4</v>
      </c>
      <c r="AE624">
        <v>80</v>
      </c>
      <c r="AF624">
        <v>0</v>
      </c>
      <c r="AG624">
        <v>14</v>
      </c>
      <c r="AH624">
        <v>2</v>
      </c>
      <c r="AI624">
        <v>4</v>
      </c>
      <c r="AJ624">
        <v>14</v>
      </c>
      <c r="AK624">
        <v>11</v>
      </c>
      <c r="AL624">
        <v>4</v>
      </c>
    </row>
    <row r="625" spans="1:38" x14ac:dyDescent="0.3">
      <c r="A625" t="s">
        <v>693</v>
      </c>
      <c r="B625">
        <v>34</v>
      </c>
      <c r="C625" t="s">
        <v>189</v>
      </c>
      <c r="D625" t="s">
        <v>48</v>
      </c>
      <c r="E625">
        <f t="shared" si="9"/>
        <v>0</v>
      </c>
      <c r="F625" t="s">
        <v>55</v>
      </c>
      <c r="G625">
        <v>560</v>
      </c>
      <c r="H625" t="s">
        <v>41</v>
      </c>
      <c r="I625">
        <v>1</v>
      </c>
      <c r="J625">
        <v>4</v>
      </c>
      <c r="K625" t="s">
        <v>72</v>
      </c>
      <c r="L625">
        <v>1</v>
      </c>
      <c r="M625">
        <v>1431</v>
      </c>
      <c r="N625">
        <v>4</v>
      </c>
      <c r="O625" t="s">
        <v>43</v>
      </c>
      <c r="P625">
        <v>91</v>
      </c>
      <c r="Q625">
        <v>3</v>
      </c>
      <c r="R625">
        <v>1</v>
      </c>
      <c r="S625" t="s">
        <v>59</v>
      </c>
      <c r="T625">
        <v>1</v>
      </c>
      <c r="U625" t="s">
        <v>101</v>
      </c>
      <c r="V625">
        <v>2996</v>
      </c>
      <c r="W625" t="s">
        <v>46</v>
      </c>
      <c r="X625">
        <v>20284</v>
      </c>
      <c r="Y625">
        <v>5</v>
      </c>
      <c r="Z625" t="s">
        <v>47</v>
      </c>
      <c r="AA625" t="s">
        <v>48</v>
      </c>
      <c r="AB625">
        <v>14</v>
      </c>
      <c r="AC625">
        <v>3</v>
      </c>
      <c r="AD625">
        <v>3</v>
      </c>
      <c r="AE625">
        <v>80</v>
      </c>
      <c r="AF625">
        <v>2</v>
      </c>
      <c r="AG625">
        <v>10</v>
      </c>
      <c r="AH625">
        <v>2</v>
      </c>
      <c r="AI625">
        <v>3</v>
      </c>
      <c r="AJ625">
        <v>4</v>
      </c>
      <c r="AK625">
        <v>3</v>
      </c>
      <c r="AL625">
        <v>1</v>
      </c>
    </row>
    <row r="626" spans="1:38" x14ac:dyDescent="0.3">
      <c r="A626" t="s">
        <v>694</v>
      </c>
      <c r="B626">
        <v>34</v>
      </c>
      <c r="C626" t="s">
        <v>189</v>
      </c>
      <c r="D626" t="s">
        <v>48</v>
      </c>
      <c r="E626">
        <f t="shared" si="9"/>
        <v>0</v>
      </c>
      <c r="F626" t="s">
        <v>40</v>
      </c>
      <c r="G626">
        <v>401</v>
      </c>
      <c r="H626" t="s">
        <v>41</v>
      </c>
      <c r="I626">
        <v>1</v>
      </c>
      <c r="J626">
        <v>3</v>
      </c>
      <c r="K626" t="s">
        <v>42</v>
      </c>
      <c r="L626">
        <v>1</v>
      </c>
      <c r="M626">
        <v>1447</v>
      </c>
      <c r="N626">
        <v>4</v>
      </c>
      <c r="O626" t="s">
        <v>52</v>
      </c>
      <c r="P626">
        <v>86</v>
      </c>
      <c r="Q626">
        <v>2</v>
      </c>
      <c r="R626">
        <v>1</v>
      </c>
      <c r="S626" t="s">
        <v>44</v>
      </c>
      <c r="T626">
        <v>2</v>
      </c>
      <c r="U626" t="s">
        <v>104</v>
      </c>
      <c r="V626">
        <v>3294</v>
      </c>
      <c r="W626" t="s">
        <v>46</v>
      </c>
      <c r="X626">
        <v>3708</v>
      </c>
      <c r="Y626">
        <v>5</v>
      </c>
      <c r="Z626" t="s">
        <v>47</v>
      </c>
      <c r="AA626" t="s">
        <v>48</v>
      </c>
      <c r="AB626">
        <v>17</v>
      </c>
      <c r="AC626">
        <v>3</v>
      </c>
      <c r="AD626">
        <v>1</v>
      </c>
      <c r="AE626">
        <v>80</v>
      </c>
      <c r="AF626">
        <v>1</v>
      </c>
      <c r="AG626">
        <v>7</v>
      </c>
      <c r="AH626">
        <v>2</v>
      </c>
      <c r="AI626">
        <v>2</v>
      </c>
      <c r="AJ626">
        <v>5</v>
      </c>
      <c r="AK626">
        <v>4</v>
      </c>
      <c r="AL626">
        <v>0</v>
      </c>
    </row>
    <row r="627" spans="1:38" x14ac:dyDescent="0.3">
      <c r="A627" t="s">
        <v>695</v>
      </c>
      <c r="B627">
        <v>34</v>
      </c>
      <c r="C627" t="s">
        <v>189</v>
      </c>
      <c r="D627" t="s">
        <v>39</v>
      </c>
      <c r="E627">
        <f t="shared" si="9"/>
        <v>1</v>
      </c>
      <c r="F627" t="s">
        <v>40</v>
      </c>
      <c r="G627">
        <v>1107</v>
      </c>
      <c r="H627" t="s">
        <v>70</v>
      </c>
      <c r="I627">
        <v>9</v>
      </c>
      <c r="J627">
        <v>4</v>
      </c>
      <c r="K627" t="s">
        <v>67</v>
      </c>
      <c r="L627">
        <v>1</v>
      </c>
      <c r="M627">
        <v>1467</v>
      </c>
      <c r="N627">
        <v>1</v>
      </c>
      <c r="O627" t="s">
        <v>52</v>
      </c>
      <c r="P627">
        <v>52</v>
      </c>
      <c r="Q627">
        <v>3</v>
      </c>
      <c r="R627">
        <v>1</v>
      </c>
      <c r="S627" t="s">
        <v>70</v>
      </c>
      <c r="T627">
        <v>3</v>
      </c>
      <c r="U627" t="s">
        <v>104</v>
      </c>
      <c r="V627">
        <v>2742</v>
      </c>
      <c r="W627" t="s">
        <v>46</v>
      </c>
      <c r="X627">
        <v>3072</v>
      </c>
      <c r="Y627">
        <v>1</v>
      </c>
      <c r="Z627" t="s">
        <v>47</v>
      </c>
      <c r="AA627" t="s">
        <v>48</v>
      </c>
      <c r="AB627">
        <v>15</v>
      </c>
      <c r="AC627">
        <v>3</v>
      </c>
      <c r="AD627">
        <v>4</v>
      </c>
      <c r="AE627">
        <v>80</v>
      </c>
      <c r="AF627">
        <v>0</v>
      </c>
      <c r="AG627">
        <v>2</v>
      </c>
      <c r="AH627">
        <v>0</v>
      </c>
      <c r="AI627">
        <v>3</v>
      </c>
      <c r="AJ627">
        <v>2</v>
      </c>
      <c r="AK627">
        <v>2</v>
      </c>
      <c r="AL627">
        <v>2</v>
      </c>
    </row>
    <row r="628" spans="1:38" x14ac:dyDescent="0.3">
      <c r="A628" t="s">
        <v>696</v>
      </c>
      <c r="B628">
        <v>34</v>
      </c>
      <c r="C628" t="s">
        <v>189</v>
      </c>
      <c r="D628" t="s">
        <v>48</v>
      </c>
      <c r="E628">
        <f t="shared" si="9"/>
        <v>0</v>
      </c>
      <c r="F628" t="s">
        <v>40</v>
      </c>
      <c r="G628">
        <v>1326</v>
      </c>
      <c r="H628" t="s">
        <v>50</v>
      </c>
      <c r="I628">
        <v>3</v>
      </c>
      <c r="J628">
        <v>3</v>
      </c>
      <c r="K628" t="s">
        <v>72</v>
      </c>
      <c r="L628">
        <v>1</v>
      </c>
      <c r="M628">
        <v>1478</v>
      </c>
      <c r="N628">
        <v>4</v>
      </c>
      <c r="O628" t="s">
        <v>43</v>
      </c>
      <c r="P628">
        <v>81</v>
      </c>
      <c r="Q628">
        <v>1</v>
      </c>
      <c r="R628">
        <v>2</v>
      </c>
      <c r="S628" t="s">
        <v>136</v>
      </c>
      <c r="T628">
        <v>1</v>
      </c>
      <c r="U628" t="s">
        <v>45</v>
      </c>
      <c r="V628">
        <v>4759</v>
      </c>
      <c r="W628" t="s">
        <v>46</v>
      </c>
      <c r="X628">
        <v>15891</v>
      </c>
      <c r="Y628">
        <v>3</v>
      </c>
      <c r="Z628" t="s">
        <v>47</v>
      </c>
      <c r="AA628" t="s">
        <v>48</v>
      </c>
      <c r="AB628">
        <v>18</v>
      </c>
      <c r="AC628">
        <v>3</v>
      </c>
      <c r="AD628">
        <v>4</v>
      </c>
      <c r="AE628">
        <v>80</v>
      </c>
      <c r="AF628">
        <v>0</v>
      </c>
      <c r="AG628">
        <v>15</v>
      </c>
      <c r="AH628">
        <v>2</v>
      </c>
      <c r="AI628">
        <v>3</v>
      </c>
      <c r="AJ628">
        <v>13</v>
      </c>
      <c r="AK628">
        <v>9</v>
      </c>
      <c r="AL628">
        <v>3</v>
      </c>
    </row>
    <row r="629" spans="1:38" x14ac:dyDescent="0.3">
      <c r="A629" t="s">
        <v>697</v>
      </c>
      <c r="B629">
        <v>34</v>
      </c>
      <c r="C629" t="s">
        <v>189</v>
      </c>
      <c r="D629" t="s">
        <v>48</v>
      </c>
      <c r="E629">
        <f t="shared" si="9"/>
        <v>0</v>
      </c>
      <c r="F629" t="s">
        <v>55</v>
      </c>
      <c r="G629">
        <v>829</v>
      </c>
      <c r="H629" t="s">
        <v>41</v>
      </c>
      <c r="I629">
        <v>15</v>
      </c>
      <c r="J629">
        <v>3</v>
      </c>
      <c r="K629" t="s">
        <v>51</v>
      </c>
      <c r="L629">
        <v>1</v>
      </c>
      <c r="M629">
        <v>1485</v>
      </c>
      <c r="N629">
        <v>2</v>
      </c>
      <c r="O629" t="s">
        <v>43</v>
      </c>
      <c r="P629">
        <v>71</v>
      </c>
      <c r="Q629">
        <v>3</v>
      </c>
      <c r="R629">
        <v>4</v>
      </c>
      <c r="S629" t="s">
        <v>251</v>
      </c>
      <c r="T629">
        <v>1</v>
      </c>
      <c r="U629" t="s">
        <v>101</v>
      </c>
      <c r="V629">
        <v>17007</v>
      </c>
      <c r="W629" t="s">
        <v>366</v>
      </c>
      <c r="X629">
        <v>11929</v>
      </c>
      <c r="Y629">
        <v>7</v>
      </c>
      <c r="Z629" t="s">
        <v>47</v>
      </c>
      <c r="AA629" t="s">
        <v>48</v>
      </c>
      <c r="AB629">
        <v>14</v>
      </c>
      <c r="AC629">
        <v>3</v>
      </c>
      <c r="AD629">
        <v>4</v>
      </c>
      <c r="AE629">
        <v>80</v>
      </c>
      <c r="AF629">
        <v>2</v>
      </c>
      <c r="AG629">
        <v>16</v>
      </c>
      <c r="AH629">
        <v>3</v>
      </c>
      <c r="AI629">
        <v>2</v>
      </c>
      <c r="AJ629">
        <v>14</v>
      </c>
      <c r="AK629">
        <v>8</v>
      </c>
      <c r="AL629">
        <v>6</v>
      </c>
    </row>
    <row r="630" spans="1:38" x14ac:dyDescent="0.3">
      <c r="A630" t="s">
        <v>698</v>
      </c>
      <c r="B630">
        <v>34</v>
      </c>
      <c r="C630" t="s">
        <v>189</v>
      </c>
      <c r="D630" t="s">
        <v>39</v>
      </c>
      <c r="E630">
        <f t="shared" si="9"/>
        <v>1</v>
      </c>
      <c r="F630" t="s">
        <v>40</v>
      </c>
      <c r="G630">
        <v>790</v>
      </c>
      <c r="H630" t="s">
        <v>50</v>
      </c>
      <c r="I630">
        <v>24</v>
      </c>
      <c r="J630">
        <v>4</v>
      </c>
      <c r="K630" t="s">
        <v>51</v>
      </c>
      <c r="L630">
        <v>1</v>
      </c>
      <c r="M630">
        <v>1489</v>
      </c>
      <c r="N630">
        <v>1</v>
      </c>
      <c r="O630" t="s">
        <v>52</v>
      </c>
      <c r="P630">
        <v>40</v>
      </c>
      <c r="Q630">
        <v>2</v>
      </c>
      <c r="R630">
        <v>2</v>
      </c>
      <c r="S630" t="s">
        <v>136</v>
      </c>
      <c r="T630">
        <v>2</v>
      </c>
      <c r="U630" t="s">
        <v>45</v>
      </c>
      <c r="V630">
        <v>4599</v>
      </c>
      <c r="W630" t="s">
        <v>46</v>
      </c>
      <c r="X630">
        <v>7815</v>
      </c>
      <c r="Y630">
        <v>0</v>
      </c>
      <c r="Z630" t="s">
        <v>47</v>
      </c>
      <c r="AA630" t="s">
        <v>39</v>
      </c>
      <c r="AB630">
        <v>23</v>
      </c>
      <c r="AC630">
        <v>4</v>
      </c>
      <c r="AD630">
        <v>3</v>
      </c>
      <c r="AE630">
        <v>80</v>
      </c>
      <c r="AF630">
        <v>0</v>
      </c>
      <c r="AG630">
        <v>16</v>
      </c>
      <c r="AH630">
        <v>2</v>
      </c>
      <c r="AI630">
        <v>4</v>
      </c>
      <c r="AJ630">
        <v>15</v>
      </c>
      <c r="AK630">
        <v>9</v>
      </c>
      <c r="AL630">
        <v>10</v>
      </c>
    </row>
    <row r="631" spans="1:38" x14ac:dyDescent="0.3">
      <c r="A631" t="s">
        <v>699</v>
      </c>
      <c r="B631">
        <v>34</v>
      </c>
      <c r="C631" t="s">
        <v>189</v>
      </c>
      <c r="D631" t="s">
        <v>48</v>
      </c>
      <c r="E631">
        <f t="shared" si="9"/>
        <v>0</v>
      </c>
      <c r="F631" t="s">
        <v>40</v>
      </c>
      <c r="G631">
        <v>971</v>
      </c>
      <c r="H631" t="s">
        <v>50</v>
      </c>
      <c r="I631">
        <v>1</v>
      </c>
      <c r="J631">
        <v>3</v>
      </c>
      <c r="K631" t="s">
        <v>67</v>
      </c>
      <c r="L631">
        <v>1</v>
      </c>
      <c r="M631">
        <v>1535</v>
      </c>
      <c r="N631">
        <v>4</v>
      </c>
      <c r="O631" t="s">
        <v>43</v>
      </c>
      <c r="P631">
        <v>64</v>
      </c>
      <c r="Q631">
        <v>2</v>
      </c>
      <c r="R631">
        <v>3</v>
      </c>
      <c r="S631" t="s">
        <v>136</v>
      </c>
      <c r="T631">
        <v>3</v>
      </c>
      <c r="U631" t="s">
        <v>104</v>
      </c>
      <c r="V631">
        <v>7083</v>
      </c>
      <c r="W631" t="s">
        <v>162</v>
      </c>
      <c r="X631">
        <v>12288</v>
      </c>
      <c r="Y631">
        <v>1</v>
      </c>
      <c r="Z631" t="s">
        <v>47</v>
      </c>
      <c r="AA631" t="s">
        <v>39</v>
      </c>
      <c r="AB631">
        <v>14</v>
      </c>
      <c r="AC631">
        <v>3</v>
      </c>
      <c r="AD631">
        <v>4</v>
      </c>
      <c r="AE631">
        <v>80</v>
      </c>
      <c r="AF631">
        <v>0</v>
      </c>
      <c r="AG631">
        <v>10</v>
      </c>
      <c r="AH631">
        <v>3</v>
      </c>
      <c r="AI631">
        <v>3</v>
      </c>
      <c r="AJ631">
        <v>10</v>
      </c>
      <c r="AK631">
        <v>9</v>
      </c>
      <c r="AL631">
        <v>8</v>
      </c>
    </row>
    <row r="632" spans="1:38" x14ac:dyDescent="0.3">
      <c r="A632" t="s">
        <v>700</v>
      </c>
      <c r="B632">
        <v>34</v>
      </c>
      <c r="C632" t="s">
        <v>189</v>
      </c>
      <c r="D632" t="s">
        <v>48</v>
      </c>
      <c r="E632">
        <f t="shared" si="9"/>
        <v>0</v>
      </c>
      <c r="F632" t="s">
        <v>40</v>
      </c>
      <c r="G632">
        <v>1440</v>
      </c>
      <c r="H632" t="s">
        <v>50</v>
      </c>
      <c r="I632">
        <v>7</v>
      </c>
      <c r="J632">
        <v>2</v>
      </c>
      <c r="K632" t="s">
        <v>67</v>
      </c>
      <c r="L632">
        <v>1</v>
      </c>
      <c r="M632">
        <v>1541</v>
      </c>
      <c r="N632">
        <v>2</v>
      </c>
      <c r="O632" t="s">
        <v>43</v>
      </c>
      <c r="P632">
        <v>55</v>
      </c>
      <c r="Q632">
        <v>3</v>
      </c>
      <c r="R632">
        <v>1</v>
      </c>
      <c r="S632" t="s">
        <v>53</v>
      </c>
      <c r="T632">
        <v>3</v>
      </c>
      <c r="U632" t="s">
        <v>104</v>
      </c>
      <c r="V632">
        <v>2308</v>
      </c>
      <c r="W632" t="s">
        <v>46</v>
      </c>
      <c r="X632">
        <v>4944</v>
      </c>
      <c r="Y632">
        <v>0</v>
      </c>
      <c r="Z632" t="s">
        <v>47</v>
      </c>
      <c r="AA632" t="s">
        <v>39</v>
      </c>
      <c r="AB632">
        <v>25</v>
      </c>
      <c r="AC632">
        <v>4</v>
      </c>
      <c r="AD632">
        <v>2</v>
      </c>
      <c r="AE632">
        <v>80</v>
      </c>
      <c r="AF632">
        <v>1</v>
      </c>
      <c r="AG632">
        <v>12</v>
      </c>
      <c r="AH632">
        <v>4</v>
      </c>
      <c r="AI632">
        <v>3</v>
      </c>
      <c r="AJ632">
        <v>11</v>
      </c>
      <c r="AK632">
        <v>10</v>
      </c>
      <c r="AL632">
        <v>5</v>
      </c>
    </row>
    <row r="633" spans="1:38" x14ac:dyDescent="0.3">
      <c r="A633" t="s">
        <v>701</v>
      </c>
      <c r="B633">
        <v>34</v>
      </c>
      <c r="C633" t="s">
        <v>189</v>
      </c>
      <c r="D633" t="s">
        <v>48</v>
      </c>
      <c r="E633">
        <f t="shared" si="9"/>
        <v>0</v>
      </c>
      <c r="F633" t="s">
        <v>40</v>
      </c>
      <c r="G633">
        <v>479</v>
      </c>
      <c r="H633" t="s">
        <v>41</v>
      </c>
      <c r="I633">
        <v>7</v>
      </c>
      <c r="J633">
        <v>4</v>
      </c>
      <c r="K633" t="s">
        <v>51</v>
      </c>
      <c r="L633">
        <v>1</v>
      </c>
      <c r="M633">
        <v>1577</v>
      </c>
      <c r="N633">
        <v>1</v>
      </c>
      <c r="O633" t="s">
        <v>43</v>
      </c>
      <c r="P633">
        <v>35</v>
      </c>
      <c r="Q633">
        <v>3</v>
      </c>
      <c r="R633">
        <v>1</v>
      </c>
      <c r="S633" t="s">
        <v>59</v>
      </c>
      <c r="T633">
        <v>4</v>
      </c>
      <c r="U633" t="s">
        <v>45</v>
      </c>
      <c r="V633">
        <v>2972</v>
      </c>
      <c r="W633" t="s">
        <v>46</v>
      </c>
      <c r="X633">
        <v>22061</v>
      </c>
      <c r="Y633">
        <v>1</v>
      </c>
      <c r="Z633" t="s">
        <v>47</v>
      </c>
      <c r="AA633" t="s">
        <v>48</v>
      </c>
      <c r="AB633">
        <v>13</v>
      </c>
      <c r="AC633">
        <v>3</v>
      </c>
      <c r="AD633">
        <v>3</v>
      </c>
      <c r="AE633">
        <v>80</v>
      </c>
      <c r="AF633">
        <v>0</v>
      </c>
      <c r="AG633">
        <v>1</v>
      </c>
      <c r="AH633">
        <v>4</v>
      </c>
      <c r="AI633">
        <v>1</v>
      </c>
      <c r="AJ633">
        <v>1</v>
      </c>
      <c r="AK633">
        <v>0</v>
      </c>
      <c r="AL633">
        <v>0</v>
      </c>
    </row>
    <row r="634" spans="1:38" x14ac:dyDescent="0.3">
      <c r="A634" t="s">
        <v>702</v>
      </c>
      <c r="B634">
        <v>34</v>
      </c>
      <c r="C634" t="s">
        <v>189</v>
      </c>
      <c r="D634" t="s">
        <v>48</v>
      </c>
      <c r="E634">
        <f t="shared" si="9"/>
        <v>0</v>
      </c>
      <c r="F634" t="s">
        <v>40</v>
      </c>
      <c r="G634">
        <v>1351</v>
      </c>
      <c r="H634" t="s">
        <v>41</v>
      </c>
      <c r="I634">
        <v>1</v>
      </c>
      <c r="J634">
        <v>4</v>
      </c>
      <c r="K634" t="s">
        <v>42</v>
      </c>
      <c r="L634">
        <v>1</v>
      </c>
      <c r="M634">
        <v>1580</v>
      </c>
      <c r="N634">
        <v>2</v>
      </c>
      <c r="O634" t="s">
        <v>43</v>
      </c>
      <c r="P634">
        <v>45</v>
      </c>
      <c r="Q634">
        <v>3</v>
      </c>
      <c r="R634">
        <v>2</v>
      </c>
      <c r="S634" t="s">
        <v>59</v>
      </c>
      <c r="T634">
        <v>4</v>
      </c>
      <c r="U634" t="s">
        <v>104</v>
      </c>
      <c r="V634">
        <v>5484</v>
      </c>
      <c r="W634" t="s">
        <v>162</v>
      </c>
      <c r="X634">
        <v>13008</v>
      </c>
      <c r="Y634">
        <v>9</v>
      </c>
      <c r="Z634" t="s">
        <v>47</v>
      </c>
      <c r="AA634" t="s">
        <v>48</v>
      </c>
      <c r="AB634">
        <v>17</v>
      </c>
      <c r="AC634">
        <v>3</v>
      </c>
      <c r="AD634">
        <v>2</v>
      </c>
      <c r="AE634">
        <v>80</v>
      </c>
      <c r="AF634">
        <v>1</v>
      </c>
      <c r="AG634">
        <v>9</v>
      </c>
      <c r="AH634">
        <v>3</v>
      </c>
      <c r="AI634">
        <v>2</v>
      </c>
      <c r="AJ634">
        <v>2</v>
      </c>
      <c r="AK634">
        <v>2</v>
      </c>
      <c r="AL634">
        <v>2</v>
      </c>
    </row>
    <row r="635" spans="1:38" x14ac:dyDescent="0.3">
      <c r="A635" t="s">
        <v>703</v>
      </c>
      <c r="B635">
        <v>34</v>
      </c>
      <c r="C635" t="s">
        <v>189</v>
      </c>
      <c r="D635" t="s">
        <v>48</v>
      </c>
      <c r="E635">
        <f t="shared" si="9"/>
        <v>0</v>
      </c>
      <c r="F635" t="s">
        <v>55</v>
      </c>
      <c r="G635">
        <v>653</v>
      </c>
      <c r="H635" t="s">
        <v>41</v>
      </c>
      <c r="I635">
        <v>10</v>
      </c>
      <c r="J635">
        <v>4</v>
      </c>
      <c r="K635" t="s">
        <v>67</v>
      </c>
      <c r="L635">
        <v>1</v>
      </c>
      <c r="M635">
        <v>1597</v>
      </c>
      <c r="N635">
        <v>4</v>
      </c>
      <c r="O635" t="s">
        <v>43</v>
      </c>
      <c r="P635">
        <v>92</v>
      </c>
      <c r="Q635">
        <v>2</v>
      </c>
      <c r="R635">
        <v>2</v>
      </c>
      <c r="S635" t="s">
        <v>160</v>
      </c>
      <c r="T635">
        <v>3</v>
      </c>
      <c r="U635" t="s">
        <v>104</v>
      </c>
      <c r="V635">
        <v>5063</v>
      </c>
      <c r="W635" t="s">
        <v>162</v>
      </c>
      <c r="X635">
        <v>15332</v>
      </c>
      <c r="Y635">
        <v>1</v>
      </c>
      <c r="Z635" t="s">
        <v>47</v>
      </c>
      <c r="AA635" t="s">
        <v>48</v>
      </c>
      <c r="AB635">
        <v>14</v>
      </c>
      <c r="AC635">
        <v>3</v>
      </c>
      <c r="AD635">
        <v>2</v>
      </c>
      <c r="AE635">
        <v>80</v>
      </c>
      <c r="AF635">
        <v>1</v>
      </c>
      <c r="AG635">
        <v>8</v>
      </c>
      <c r="AH635">
        <v>3</v>
      </c>
      <c r="AI635">
        <v>2</v>
      </c>
      <c r="AJ635">
        <v>8</v>
      </c>
      <c r="AK635">
        <v>2</v>
      </c>
      <c r="AL635">
        <v>7</v>
      </c>
    </row>
    <row r="636" spans="1:38" x14ac:dyDescent="0.3">
      <c r="A636" t="s">
        <v>704</v>
      </c>
      <c r="B636">
        <v>34</v>
      </c>
      <c r="C636" t="s">
        <v>189</v>
      </c>
      <c r="D636" t="s">
        <v>48</v>
      </c>
      <c r="E636">
        <f t="shared" si="9"/>
        <v>0</v>
      </c>
      <c r="F636" t="s">
        <v>55</v>
      </c>
      <c r="G636">
        <v>426</v>
      </c>
      <c r="H636" t="s">
        <v>41</v>
      </c>
      <c r="I636">
        <v>10</v>
      </c>
      <c r="J636">
        <v>4</v>
      </c>
      <c r="K636" t="s">
        <v>42</v>
      </c>
      <c r="L636">
        <v>1</v>
      </c>
      <c r="M636">
        <v>1615</v>
      </c>
      <c r="N636">
        <v>3</v>
      </c>
      <c r="O636" t="s">
        <v>43</v>
      </c>
      <c r="P636">
        <v>42</v>
      </c>
      <c r="Q636">
        <v>4</v>
      </c>
      <c r="R636">
        <v>2</v>
      </c>
      <c r="S636" t="s">
        <v>111</v>
      </c>
      <c r="T636">
        <v>4</v>
      </c>
      <c r="U636" t="s">
        <v>101</v>
      </c>
      <c r="V636">
        <v>4724</v>
      </c>
      <c r="W636" t="s">
        <v>46</v>
      </c>
      <c r="X636">
        <v>17000</v>
      </c>
      <c r="Y636">
        <v>1</v>
      </c>
      <c r="Z636" t="s">
        <v>47</v>
      </c>
      <c r="AA636" t="s">
        <v>48</v>
      </c>
      <c r="AB636">
        <v>13</v>
      </c>
      <c r="AC636">
        <v>3</v>
      </c>
      <c r="AD636">
        <v>1</v>
      </c>
      <c r="AE636">
        <v>80</v>
      </c>
      <c r="AF636">
        <v>1</v>
      </c>
      <c r="AG636">
        <v>9</v>
      </c>
      <c r="AH636">
        <v>3</v>
      </c>
      <c r="AI636">
        <v>3</v>
      </c>
      <c r="AJ636">
        <v>9</v>
      </c>
      <c r="AK636">
        <v>7</v>
      </c>
      <c r="AL636">
        <v>7</v>
      </c>
    </row>
    <row r="637" spans="1:38" x14ac:dyDescent="0.3">
      <c r="A637" t="s">
        <v>705</v>
      </c>
      <c r="B637">
        <v>34</v>
      </c>
      <c r="C637" t="s">
        <v>189</v>
      </c>
      <c r="D637" t="s">
        <v>48</v>
      </c>
      <c r="E637">
        <f t="shared" si="9"/>
        <v>0</v>
      </c>
      <c r="F637" t="s">
        <v>40</v>
      </c>
      <c r="G637">
        <v>1130</v>
      </c>
      <c r="H637" t="s">
        <v>41</v>
      </c>
      <c r="I637">
        <v>3</v>
      </c>
      <c r="J637">
        <v>3</v>
      </c>
      <c r="K637" t="s">
        <v>42</v>
      </c>
      <c r="L637">
        <v>1</v>
      </c>
      <c r="M637">
        <v>1658</v>
      </c>
      <c r="N637">
        <v>4</v>
      </c>
      <c r="O637" t="s">
        <v>52</v>
      </c>
      <c r="P637">
        <v>66</v>
      </c>
      <c r="Q637">
        <v>3</v>
      </c>
      <c r="R637">
        <v>2</v>
      </c>
      <c r="S637" t="s">
        <v>59</v>
      </c>
      <c r="T637">
        <v>2</v>
      </c>
      <c r="U637" t="s">
        <v>101</v>
      </c>
      <c r="V637">
        <v>5433</v>
      </c>
      <c r="W637" t="s">
        <v>162</v>
      </c>
      <c r="X637">
        <v>19332</v>
      </c>
      <c r="Y637">
        <v>1</v>
      </c>
      <c r="Z637" t="s">
        <v>47</v>
      </c>
      <c r="AA637" t="s">
        <v>48</v>
      </c>
      <c r="AB637">
        <v>12</v>
      </c>
      <c r="AC637">
        <v>3</v>
      </c>
      <c r="AD637">
        <v>3</v>
      </c>
      <c r="AE637">
        <v>80</v>
      </c>
      <c r="AF637">
        <v>1</v>
      </c>
      <c r="AG637">
        <v>11</v>
      </c>
      <c r="AH637">
        <v>2</v>
      </c>
      <c r="AI637">
        <v>3</v>
      </c>
      <c r="AJ637">
        <v>11</v>
      </c>
      <c r="AK637">
        <v>8</v>
      </c>
      <c r="AL637">
        <v>7</v>
      </c>
    </row>
    <row r="638" spans="1:38" x14ac:dyDescent="0.3">
      <c r="A638" t="s">
        <v>706</v>
      </c>
      <c r="B638">
        <v>34</v>
      </c>
      <c r="C638" t="s">
        <v>189</v>
      </c>
      <c r="D638" t="s">
        <v>48</v>
      </c>
      <c r="E638">
        <f t="shared" si="9"/>
        <v>0</v>
      </c>
      <c r="F638" t="s">
        <v>40</v>
      </c>
      <c r="G638">
        <v>1157</v>
      </c>
      <c r="H638" t="s">
        <v>41</v>
      </c>
      <c r="I638">
        <v>5</v>
      </c>
      <c r="J638">
        <v>2</v>
      </c>
      <c r="K638" t="s">
        <v>51</v>
      </c>
      <c r="L638">
        <v>1</v>
      </c>
      <c r="M638">
        <v>1696</v>
      </c>
      <c r="N638">
        <v>2</v>
      </c>
      <c r="O638" t="s">
        <v>43</v>
      </c>
      <c r="P638">
        <v>57</v>
      </c>
      <c r="Q638">
        <v>2</v>
      </c>
      <c r="R638">
        <v>2</v>
      </c>
      <c r="S638" t="s">
        <v>44</v>
      </c>
      <c r="T638">
        <v>4</v>
      </c>
      <c r="U638" t="s">
        <v>104</v>
      </c>
      <c r="V638">
        <v>3986</v>
      </c>
      <c r="W638" t="s">
        <v>46</v>
      </c>
      <c r="X638">
        <v>11912</v>
      </c>
      <c r="Y638">
        <v>1</v>
      </c>
      <c r="Z638" t="s">
        <v>47</v>
      </c>
      <c r="AA638" t="s">
        <v>48</v>
      </c>
      <c r="AB638">
        <v>14</v>
      </c>
      <c r="AC638">
        <v>3</v>
      </c>
      <c r="AD638">
        <v>3</v>
      </c>
      <c r="AE638">
        <v>80</v>
      </c>
      <c r="AF638">
        <v>1</v>
      </c>
      <c r="AG638">
        <v>15</v>
      </c>
      <c r="AH638">
        <v>3</v>
      </c>
      <c r="AI638">
        <v>4</v>
      </c>
      <c r="AJ638">
        <v>15</v>
      </c>
      <c r="AK638">
        <v>10</v>
      </c>
      <c r="AL638">
        <v>4</v>
      </c>
    </row>
    <row r="639" spans="1:38" x14ac:dyDescent="0.3">
      <c r="A639" t="s">
        <v>707</v>
      </c>
      <c r="B639">
        <v>34</v>
      </c>
      <c r="C639" t="s">
        <v>189</v>
      </c>
      <c r="D639" t="s">
        <v>48</v>
      </c>
      <c r="E639">
        <f t="shared" si="9"/>
        <v>0</v>
      </c>
      <c r="F639" t="s">
        <v>40</v>
      </c>
      <c r="G639">
        <v>678</v>
      </c>
      <c r="H639" t="s">
        <v>41</v>
      </c>
      <c r="I639">
        <v>19</v>
      </c>
      <c r="J639">
        <v>3</v>
      </c>
      <c r="K639" t="s">
        <v>42</v>
      </c>
      <c r="L639">
        <v>1</v>
      </c>
      <c r="M639">
        <v>1701</v>
      </c>
      <c r="N639">
        <v>2</v>
      </c>
      <c r="O639" t="s">
        <v>52</v>
      </c>
      <c r="P639">
        <v>35</v>
      </c>
      <c r="Q639">
        <v>2</v>
      </c>
      <c r="R639">
        <v>1</v>
      </c>
      <c r="S639" t="s">
        <v>59</v>
      </c>
      <c r="T639">
        <v>4</v>
      </c>
      <c r="U639" t="s">
        <v>104</v>
      </c>
      <c r="V639">
        <v>2929</v>
      </c>
      <c r="W639" t="s">
        <v>46</v>
      </c>
      <c r="X639">
        <v>20338</v>
      </c>
      <c r="Y639">
        <v>1</v>
      </c>
      <c r="Z639" t="s">
        <v>47</v>
      </c>
      <c r="AA639" t="s">
        <v>48</v>
      </c>
      <c r="AB639">
        <v>12</v>
      </c>
      <c r="AC639">
        <v>3</v>
      </c>
      <c r="AD639">
        <v>2</v>
      </c>
      <c r="AE639">
        <v>80</v>
      </c>
      <c r="AF639">
        <v>0</v>
      </c>
      <c r="AG639">
        <v>10</v>
      </c>
      <c r="AH639">
        <v>3</v>
      </c>
      <c r="AI639">
        <v>3</v>
      </c>
      <c r="AJ639">
        <v>10</v>
      </c>
      <c r="AK639">
        <v>9</v>
      </c>
      <c r="AL639">
        <v>8</v>
      </c>
    </row>
    <row r="640" spans="1:38" x14ac:dyDescent="0.3">
      <c r="A640" t="s">
        <v>708</v>
      </c>
      <c r="B640">
        <v>34</v>
      </c>
      <c r="C640" t="s">
        <v>189</v>
      </c>
      <c r="D640" t="s">
        <v>48</v>
      </c>
      <c r="E640">
        <f t="shared" si="9"/>
        <v>0</v>
      </c>
      <c r="F640" t="s">
        <v>40</v>
      </c>
      <c r="G640">
        <v>181</v>
      </c>
      <c r="H640" t="s">
        <v>41</v>
      </c>
      <c r="I640">
        <v>2</v>
      </c>
      <c r="J640">
        <v>4</v>
      </c>
      <c r="K640" t="s">
        <v>51</v>
      </c>
      <c r="L640">
        <v>1</v>
      </c>
      <c r="M640">
        <v>1755</v>
      </c>
      <c r="N640">
        <v>4</v>
      </c>
      <c r="O640" t="s">
        <v>43</v>
      </c>
      <c r="P640">
        <v>97</v>
      </c>
      <c r="Q640">
        <v>4</v>
      </c>
      <c r="R640">
        <v>1</v>
      </c>
      <c r="S640" t="s">
        <v>59</v>
      </c>
      <c r="T640">
        <v>4</v>
      </c>
      <c r="U640" t="s">
        <v>104</v>
      </c>
      <c r="V640">
        <v>2932</v>
      </c>
      <c r="W640" t="s">
        <v>46</v>
      </c>
      <c r="X640">
        <v>5586</v>
      </c>
      <c r="Y640">
        <v>0</v>
      </c>
      <c r="Z640" t="s">
        <v>47</v>
      </c>
      <c r="AA640" t="s">
        <v>39</v>
      </c>
      <c r="AB640">
        <v>14</v>
      </c>
      <c r="AC640">
        <v>3</v>
      </c>
      <c r="AD640">
        <v>1</v>
      </c>
      <c r="AE640">
        <v>80</v>
      </c>
      <c r="AF640">
        <v>3</v>
      </c>
      <c r="AG640">
        <v>6</v>
      </c>
      <c r="AH640">
        <v>3</v>
      </c>
      <c r="AI640">
        <v>3</v>
      </c>
      <c r="AJ640">
        <v>5</v>
      </c>
      <c r="AK640">
        <v>0</v>
      </c>
      <c r="AL640">
        <v>1</v>
      </c>
    </row>
    <row r="641" spans="1:38" x14ac:dyDescent="0.3">
      <c r="A641" t="s">
        <v>709</v>
      </c>
      <c r="B641">
        <v>34</v>
      </c>
      <c r="C641" t="s">
        <v>189</v>
      </c>
      <c r="D641" t="s">
        <v>48</v>
      </c>
      <c r="E641">
        <f t="shared" si="9"/>
        <v>0</v>
      </c>
      <c r="F641" t="s">
        <v>58</v>
      </c>
      <c r="G641">
        <v>1375</v>
      </c>
      <c r="H641" t="s">
        <v>50</v>
      </c>
      <c r="I641">
        <v>10</v>
      </c>
      <c r="J641">
        <v>3</v>
      </c>
      <c r="K641" t="s">
        <v>42</v>
      </c>
      <c r="L641">
        <v>1</v>
      </c>
      <c r="M641">
        <v>1774</v>
      </c>
      <c r="N641">
        <v>4</v>
      </c>
      <c r="O641" t="s">
        <v>43</v>
      </c>
      <c r="P641">
        <v>87</v>
      </c>
      <c r="Q641">
        <v>3</v>
      </c>
      <c r="R641">
        <v>2</v>
      </c>
      <c r="S641" t="s">
        <v>136</v>
      </c>
      <c r="T641">
        <v>3</v>
      </c>
      <c r="U641" t="s">
        <v>101</v>
      </c>
      <c r="V641">
        <v>4001</v>
      </c>
      <c r="W641" t="s">
        <v>46</v>
      </c>
      <c r="X641">
        <v>12313</v>
      </c>
      <c r="Y641">
        <v>1</v>
      </c>
      <c r="Z641" t="s">
        <v>47</v>
      </c>
      <c r="AA641" t="s">
        <v>39</v>
      </c>
      <c r="AB641">
        <v>14</v>
      </c>
      <c r="AC641">
        <v>3</v>
      </c>
      <c r="AD641">
        <v>3</v>
      </c>
      <c r="AE641">
        <v>80</v>
      </c>
      <c r="AF641">
        <v>1</v>
      </c>
      <c r="AG641">
        <v>15</v>
      </c>
      <c r="AH641">
        <v>3</v>
      </c>
      <c r="AI641">
        <v>3</v>
      </c>
      <c r="AJ641">
        <v>15</v>
      </c>
      <c r="AK641">
        <v>14</v>
      </c>
      <c r="AL641">
        <v>0</v>
      </c>
    </row>
    <row r="642" spans="1:38" x14ac:dyDescent="0.3">
      <c r="A642" t="s">
        <v>710</v>
      </c>
      <c r="B642">
        <v>34</v>
      </c>
      <c r="C642" t="s">
        <v>189</v>
      </c>
      <c r="D642" t="s">
        <v>48</v>
      </c>
      <c r="E642">
        <f t="shared" si="9"/>
        <v>0</v>
      </c>
      <c r="F642" t="s">
        <v>40</v>
      </c>
      <c r="G642">
        <v>511</v>
      </c>
      <c r="H642" t="s">
        <v>50</v>
      </c>
      <c r="I642">
        <v>3</v>
      </c>
      <c r="J642">
        <v>2</v>
      </c>
      <c r="K642" t="s">
        <v>42</v>
      </c>
      <c r="L642">
        <v>1</v>
      </c>
      <c r="M642">
        <v>1779</v>
      </c>
      <c r="N642">
        <v>4</v>
      </c>
      <c r="O642" t="s">
        <v>52</v>
      </c>
      <c r="P642">
        <v>32</v>
      </c>
      <c r="Q642">
        <v>1</v>
      </c>
      <c r="R642">
        <v>2</v>
      </c>
      <c r="S642" t="s">
        <v>136</v>
      </c>
      <c r="T642">
        <v>4</v>
      </c>
      <c r="U642" t="s">
        <v>45</v>
      </c>
      <c r="V642">
        <v>6029</v>
      </c>
      <c r="W642" t="s">
        <v>162</v>
      </c>
      <c r="X642">
        <v>25353</v>
      </c>
      <c r="Y642">
        <v>5</v>
      </c>
      <c r="Z642" t="s">
        <v>47</v>
      </c>
      <c r="AA642" t="s">
        <v>48</v>
      </c>
      <c r="AB642">
        <v>12</v>
      </c>
      <c r="AC642">
        <v>3</v>
      </c>
      <c r="AD642">
        <v>1</v>
      </c>
      <c r="AE642">
        <v>80</v>
      </c>
      <c r="AF642">
        <v>0</v>
      </c>
      <c r="AG642">
        <v>6</v>
      </c>
      <c r="AH642">
        <v>3</v>
      </c>
      <c r="AI642">
        <v>3</v>
      </c>
      <c r="AJ642">
        <v>2</v>
      </c>
      <c r="AK642">
        <v>2</v>
      </c>
      <c r="AL642">
        <v>2</v>
      </c>
    </row>
    <row r="643" spans="1:38" x14ac:dyDescent="0.3">
      <c r="A643" t="s">
        <v>711</v>
      </c>
      <c r="B643">
        <v>34</v>
      </c>
      <c r="C643" t="s">
        <v>189</v>
      </c>
      <c r="D643" t="s">
        <v>39</v>
      </c>
      <c r="E643">
        <f t="shared" ref="E643:E706" si="10">IF(D643="Yes",1,0)</f>
        <v>1</v>
      </c>
      <c r="F643" t="s">
        <v>55</v>
      </c>
      <c r="G643">
        <v>234</v>
      </c>
      <c r="H643" t="s">
        <v>41</v>
      </c>
      <c r="I643">
        <v>9</v>
      </c>
      <c r="J643">
        <v>4</v>
      </c>
      <c r="K643" t="s">
        <v>42</v>
      </c>
      <c r="L643">
        <v>1</v>
      </c>
      <c r="M643">
        <v>1807</v>
      </c>
      <c r="N643">
        <v>4</v>
      </c>
      <c r="O643" t="s">
        <v>43</v>
      </c>
      <c r="P643">
        <v>93</v>
      </c>
      <c r="Q643">
        <v>3</v>
      </c>
      <c r="R643">
        <v>2</v>
      </c>
      <c r="S643" t="s">
        <v>44</v>
      </c>
      <c r="T643">
        <v>1</v>
      </c>
      <c r="U643" t="s">
        <v>104</v>
      </c>
      <c r="V643">
        <v>5346</v>
      </c>
      <c r="W643" t="s">
        <v>162</v>
      </c>
      <c r="X643">
        <v>6208</v>
      </c>
      <c r="Y643">
        <v>4</v>
      </c>
      <c r="Z643" t="s">
        <v>47</v>
      </c>
      <c r="AA643" t="s">
        <v>48</v>
      </c>
      <c r="AB643">
        <v>17</v>
      </c>
      <c r="AC643">
        <v>3</v>
      </c>
      <c r="AD643">
        <v>3</v>
      </c>
      <c r="AE643">
        <v>80</v>
      </c>
      <c r="AF643">
        <v>1</v>
      </c>
      <c r="AG643">
        <v>11</v>
      </c>
      <c r="AH643">
        <v>3</v>
      </c>
      <c r="AI643">
        <v>2</v>
      </c>
      <c r="AJ643">
        <v>7</v>
      </c>
      <c r="AK643">
        <v>1</v>
      </c>
      <c r="AL643">
        <v>0</v>
      </c>
    </row>
    <row r="644" spans="1:38" x14ac:dyDescent="0.3">
      <c r="A644" t="s">
        <v>712</v>
      </c>
      <c r="B644">
        <v>34</v>
      </c>
      <c r="C644" t="s">
        <v>189</v>
      </c>
      <c r="D644" t="s">
        <v>48</v>
      </c>
      <c r="E644">
        <f t="shared" si="10"/>
        <v>0</v>
      </c>
      <c r="F644" t="s">
        <v>40</v>
      </c>
      <c r="G644">
        <v>810</v>
      </c>
      <c r="H644" t="s">
        <v>50</v>
      </c>
      <c r="I644">
        <v>8</v>
      </c>
      <c r="J644">
        <v>2</v>
      </c>
      <c r="K644" t="s">
        <v>67</v>
      </c>
      <c r="L644">
        <v>1</v>
      </c>
      <c r="M644">
        <v>1823</v>
      </c>
      <c r="N644">
        <v>2</v>
      </c>
      <c r="O644" t="s">
        <v>43</v>
      </c>
      <c r="P644">
        <v>92</v>
      </c>
      <c r="Q644">
        <v>4</v>
      </c>
      <c r="R644">
        <v>2</v>
      </c>
      <c r="S644" t="s">
        <v>136</v>
      </c>
      <c r="T644">
        <v>3</v>
      </c>
      <c r="U644" t="s">
        <v>104</v>
      </c>
      <c r="V644">
        <v>6799</v>
      </c>
      <c r="W644" t="s">
        <v>162</v>
      </c>
      <c r="X644">
        <v>22128</v>
      </c>
      <c r="Y644">
        <v>1</v>
      </c>
      <c r="Z644" t="s">
        <v>47</v>
      </c>
      <c r="AA644" t="s">
        <v>48</v>
      </c>
      <c r="AB644">
        <v>21</v>
      </c>
      <c r="AC644">
        <v>4</v>
      </c>
      <c r="AD644">
        <v>3</v>
      </c>
      <c r="AE644">
        <v>80</v>
      </c>
      <c r="AF644">
        <v>2</v>
      </c>
      <c r="AG644">
        <v>10</v>
      </c>
      <c r="AH644">
        <v>5</v>
      </c>
      <c r="AI644">
        <v>3</v>
      </c>
      <c r="AJ644">
        <v>10</v>
      </c>
      <c r="AK644">
        <v>8</v>
      </c>
      <c r="AL644">
        <v>4</v>
      </c>
    </row>
    <row r="645" spans="1:38" x14ac:dyDescent="0.3">
      <c r="A645" t="s">
        <v>713</v>
      </c>
      <c r="B645">
        <v>34</v>
      </c>
      <c r="C645" t="s">
        <v>189</v>
      </c>
      <c r="D645" t="s">
        <v>48</v>
      </c>
      <c r="E645">
        <f t="shared" si="10"/>
        <v>0</v>
      </c>
      <c r="F645" t="s">
        <v>40</v>
      </c>
      <c r="G645">
        <v>1480</v>
      </c>
      <c r="H645" t="s">
        <v>50</v>
      </c>
      <c r="I645">
        <v>4</v>
      </c>
      <c r="J645">
        <v>3</v>
      </c>
      <c r="K645" t="s">
        <v>42</v>
      </c>
      <c r="L645">
        <v>1</v>
      </c>
      <c r="M645">
        <v>1882</v>
      </c>
      <c r="N645">
        <v>3</v>
      </c>
      <c r="O645" t="s">
        <v>43</v>
      </c>
      <c r="P645">
        <v>64</v>
      </c>
      <c r="Q645">
        <v>3</v>
      </c>
      <c r="R645">
        <v>3</v>
      </c>
      <c r="S645" t="s">
        <v>136</v>
      </c>
      <c r="T645">
        <v>4</v>
      </c>
      <c r="U645" t="s">
        <v>104</v>
      </c>
      <c r="V645">
        <v>9713</v>
      </c>
      <c r="W645" t="s">
        <v>162</v>
      </c>
      <c r="X645">
        <v>24444</v>
      </c>
      <c r="Y645">
        <v>2</v>
      </c>
      <c r="Z645" t="s">
        <v>47</v>
      </c>
      <c r="AA645" t="s">
        <v>39</v>
      </c>
      <c r="AB645">
        <v>13</v>
      </c>
      <c r="AC645">
        <v>3</v>
      </c>
      <c r="AD645">
        <v>4</v>
      </c>
      <c r="AE645">
        <v>80</v>
      </c>
      <c r="AF645">
        <v>3</v>
      </c>
      <c r="AG645">
        <v>9</v>
      </c>
      <c r="AH645">
        <v>3</v>
      </c>
      <c r="AI645">
        <v>3</v>
      </c>
      <c r="AJ645">
        <v>5</v>
      </c>
      <c r="AK645">
        <v>3</v>
      </c>
      <c r="AL645">
        <v>1</v>
      </c>
    </row>
    <row r="646" spans="1:38" x14ac:dyDescent="0.3">
      <c r="A646" t="s">
        <v>714</v>
      </c>
      <c r="B646">
        <v>34</v>
      </c>
      <c r="C646" t="s">
        <v>189</v>
      </c>
      <c r="D646" t="s">
        <v>39</v>
      </c>
      <c r="E646">
        <f t="shared" si="10"/>
        <v>1</v>
      </c>
      <c r="F646" t="s">
        <v>58</v>
      </c>
      <c r="G646">
        <v>967</v>
      </c>
      <c r="H646" t="s">
        <v>41</v>
      </c>
      <c r="I646">
        <v>16</v>
      </c>
      <c r="J646">
        <v>4</v>
      </c>
      <c r="K646" t="s">
        <v>67</v>
      </c>
      <c r="L646">
        <v>1</v>
      </c>
      <c r="M646">
        <v>1905</v>
      </c>
      <c r="N646">
        <v>4</v>
      </c>
      <c r="O646" t="s">
        <v>43</v>
      </c>
      <c r="P646">
        <v>85</v>
      </c>
      <c r="Q646">
        <v>1</v>
      </c>
      <c r="R646">
        <v>1</v>
      </c>
      <c r="S646" t="s">
        <v>59</v>
      </c>
      <c r="T646">
        <v>1</v>
      </c>
      <c r="U646" t="s">
        <v>104</v>
      </c>
      <c r="V646">
        <v>2307</v>
      </c>
      <c r="W646" t="s">
        <v>46</v>
      </c>
      <c r="X646">
        <v>14460</v>
      </c>
      <c r="Y646">
        <v>1</v>
      </c>
      <c r="Z646" t="s">
        <v>47</v>
      </c>
      <c r="AA646" t="s">
        <v>39</v>
      </c>
      <c r="AB646">
        <v>23</v>
      </c>
      <c r="AC646">
        <v>4</v>
      </c>
      <c r="AD646">
        <v>2</v>
      </c>
      <c r="AE646">
        <v>80</v>
      </c>
      <c r="AF646">
        <v>1</v>
      </c>
      <c r="AG646">
        <v>5</v>
      </c>
      <c r="AH646">
        <v>2</v>
      </c>
      <c r="AI646">
        <v>3</v>
      </c>
      <c r="AJ646">
        <v>5</v>
      </c>
      <c r="AK646">
        <v>2</v>
      </c>
      <c r="AL646">
        <v>3</v>
      </c>
    </row>
    <row r="647" spans="1:38" x14ac:dyDescent="0.3">
      <c r="A647" t="s">
        <v>715</v>
      </c>
      <c r="B647">
        <v>34</v>
      </c>
      <c r="C647" t="s">
        <v>189</v>
      </c>
      <c r="D647" t="s">
        <v>48</v>
      </c>
      <c r="E647">
        <f t="shared" si="10"/>
        <v>0</v>
      </c>
      <c r="F647" t="s">
        <v>40</v>
      </c>
      <c r="G647">
        <v>735</v>
      </c>
      <c r="H647" t="s">
        <v>50</v>
      </c>
      <c r="I647">
        <v>3</v>
      </c>
      <c r="J647">
        <v>1</v>
      </c>
      <c r="K647" t="s">
        <v>51</v>
      </c>
      <c r="L647">
        <v>1</v>
      </c>
      <c r="M647">
        <v>1915</v>
      </c>
      <c r="N647">
        <v>4</v>
      </c>
      <c r="O647" t="s">
        <v>52</v>
      </c>
      <c r="P647">
        <v>75</v>
      </c>
      <c r="Q647">
        <v>2</v>
      </c>
      <c r="R647">
        <v>2</v>
      </c>
      <c r="S647" t="s">
        <v>136</v>
      </c>
      <c r="T647">
        <v>4</v>
      </c>
      <c r="U647" t="s">
        <v>104</v>
      </c>
      <c r="V647">
        <v>8103</v>
      </c>
      <c r="W647" t="s">
        <v>162</v>
      </c>
      <c r="X647">
        <v>16495</v>
      </c>
      <c r="Y647">
        <v>3</v>
      </c>
      <c r="Z647" t="s">
        <v>47</v>
      </c>
      <c r="AA647" t="s">
        <v>39</v>
      </c>
      <c r="AB647">
        <v>12</v>
      </c>
      <c r="AC647">
        <v>3</v>
      </c>
      <c r="AD647">
        <v>3</v>
      </c>
      <c r="AE647">
        <v>80</v>
      </c>
      <c r="AF647">
        <v>0</v>
      </c>
      <c r="AG647">
        <v>9</v>
      </c>
      <c r="AH647">
        <v>3</v>
      </c>
      <c r="AI647">
        <v>2</v>
      </c>
      <c r="AJ647">
        <v>4</v>
      </c>
      <c r="AK647">
        <v>2</v>
      </c>
      <c r="AL647">
        <v>0</v>
      </c>
    </row>
    <row r="648" spans="1:38" x14ac:dyDescent="0.3">
      <c r="A648" t="s">
        <v>716</v>
      </c>
      <c r="B648">
        <v>34</v>
      </c>
      <c r="C648" t="s">
        <v>189</v>
      </c>
      <c r="D648" t="s">
        <v>48</v>
      </c>
      <c r="E648">
        <f t="shared" si="10"/>
        <v>0</v>
      </c>
      <c r="F648" t="s">
        <v>55</v>
      </c>
      <c r="G648">
        <v>735</v>
      </c>
      <c r="H648" t="s">
        <v>41</v>
      </c>
      <c r="I648">
        <v>22</v>
      </c>
      <c r="J648">
        <v>4</v>
      </c>
      <c r="K648" t="s">
        <v>72</v>
      </c>
      <c r="L648">
        <v>1</v>
      </c>
      <c r="M648">
        <v>1932</v>
      </c>
      <c r="N648">
        <v>3</v>
      </c>
      <c r="O648" t="s">
        <v>43</v>
      </c>
      <c r="P648">
        <v>86</v>
      </c>
      <c r="Q648">
        <v>2</v>
      </c>
      <c r="R648">
        <v>2</v>
      </c>
      <c r="S648" t="s">
        <v>59</v>
      </c>
      <c r="T648">
        <v>4</v>
      </c>
      <c r="U648" t="s">
        <v>104</v>
      </c>
      <c r="V648">
        <v>5747</v>
      </c>
      <c r="W648" t="s">
        <v>162</v>
      </c>
      <c r="X648">
        <v>26496</v>
      </c>
      <c r="Y648">
        <v>1</v>
      </c>
      <c r="Z648" t="s">
        <v>47</v>
      </c>
      <c r="AA648" t="s">
        <v>39</v>
      </c>
      <c r="AB648">
        <v>15</v>
      </c>
      <c r="AC648">
        <v>3</v>
      </c>
      <c r="AD648">
        <v>2</v>
      </c>
      <c r="AE648">
        <v>80</v>
      </c>
      <c r="AF648">
        <v>0</v>
      </c>
      <c r="AG648">
        <v>16</v>
      </c>
      <c r="AH648">
        <v>3</v>
      </c>
      <c r="AI648">
        <v>3</v>
      </c>
      <c r="AJ648">
        <v>15</v>
      </c>
      <c r="AK648">
        <v>10</v>
      </c>
      <c r="AL648">
        <v>6</v>
      </c>
    </row>
    <row r="649" spans="1:38" x14ac:dyDescent="0.3">
      <c r="A649" t="s">
        <v>717</v>
      </c>
      <c r="B649">
        <v>34</v>
      </c>
      <c r="C649" t="s">
        <v>189</v>
      </c>
      <c r="D649" t="s">
        <v>48</v>
      </c>
      <c r="E649">
        <f t="shared" si="10"/>
        <v>0</v>
      </c>
      <c r="F649" t="s">
        <v>40</v>
      </c>
      <c r="G649">
        <v>937</v>
      </c>
      <c r="H649" t="s">
        <v>50</v>
      </c>
      <c r="I649">
        <v>1</v>
      </c>
      <c r="J649">
        <v>3</v>
      </c>
      <c r="K649" t="s">
        <v>56</v>
      </c>
      <c r="L649">
        <v>1</v>
      </c>
      <c r="M649">
        <v>1950</v>
      </c>
      <c r="N649">
        <v>1</v>
      </c>
      <c r="O649" t="s">
        <v>43</v>
      </c>
      <c r="P649">
        <v>32</v>
      </c>
      <c r="Q649">
        <v>3</v>
      </c>
      <c r="R649">
        <v>3</v>
      </c>
      <c r="S649" t="s">
        <v>136</v>
      </c>
      <c r="T649">
        <v>4</v>
      </c>
      <c r="U649" t="s">
        <v>45</v>
      </c>
      <c r="V649">
        <v>9888</v>
      </c>
      <c r="W649" t="s">
        <v>162</v>
      </c>
      <c r="X649">
        <v>6770</v>
      </c>
      <c r="Y649">
        <v>1</v>
      </c>
      <c r="Z649" t="s">
        <v>47</v>
      </c>
      <c r="AA649" t="s">
        <v>48</v>
      </c>
      <c r="AB649">
        <v>21</v>
      </c>
      <c r="AC649">
        <v>4</v>
      </c>
      <c r="AD649">
        <v>1</v>
      </c>
      <c r="AE649">
        <v>80</v>
      </c>
      <c r="AF649">
        <v>0</v>
      </c>
      <c r="AG649">
        <v>14</v>
      </c>
      <c r="AH649">
        <v>3</v>
      </c>
      <c r="AI649">
        <v>2</v>
      </c>
      <c r="AJ649">
        <v>14</v>
      </c>
      <c r="AK649">
        <v>8</v>
      </c>
      <c r="AL649">
        <v>2</v>
      </c>
    </row>
    <row r="650" spans="1:38" x14ac:dyDescent="0.3">
      <c r="A650" t="s">
        <v>718</v>
      </c>
      <c r="B650">
        <v>34</v>
      </c>
      <c r="C650" t="s">
        <v>189</v>
      </c>
      <c r="D650" t="s">
        <v>48</v>
      </c>
      <c r="E650">
        <f t="shared" si="10"/>
        <v>0</v>
      </c>
      <c r="F650" t="s">
        <v>40</v>
      </c>
      <c r="G650">
        <v>1239</v>
      </c>
      <c r="H650" t="s">
        <v>50</v>
      </c>
      <c r="I650">
        <v>13</v>
      </c>
      <c r="J650">
        <v>4</v>
      </c>
      <c r="K650" t="s">
        <v>51</v>
      </c>
      <c r="L650">
        <v>1</v>
      </c>
      <c r="M650">
        <v>1951</v>
      </c>
      <c r="N650">
        <v>4</v>
      </c>
      <c r="O650" t="s">
        <v>43</v>
      </c>
      <c r="P650">
        <v>39</v>
      </c>
      <c r="Q650">
        <v>3</v>
      </c>
      <c r="R650">
        <v>3</v>
      </c>
      <c r="S650" t="s">
        <v>136</v>
      </c>
      <c r="T650">
        <v>3</v>
      </c>
      <c r="U650" t="s">
        <v>101</v>
      </c>
      <c r="V650">
        <v>8628</v>
      </c>
      <c r="W650" t="s">
        <v>162</v>
      </c>
      <c r="X650">
        <v>22914</v>
      </c>
      <c r="Y650">
        <v>1</v>
      </c>
      <c r="Z650" t="s">
        <v>47</v>
      </c>
      <c r="AA650" t="s">
        <v>48</v>
      </c>
      <c r="AB650">
        <v>18</v>
      </c>
      <c r="AC650">
        <v>3</v>
      </c>
      <c r="AD650">
        <v>3</v>
      </c>
      <c r="AE650">
        <v>80</v>
      </c>
      <c r="AF650">
        <v>1</v>
      </c>
      <c r="AG650">
        <v>9</v>
      </c>
      <c r="AH650">
        <v>2</v>
      </c>
      <c r="AI650">
        <v>2</v>
      </c>
      <c r="AJ650">
        <v>8</v>
      </c>
      <c r="AK650">
        <v>7</v>
      </c>
      <c r="AL650">
        <v>1</v>
      </c>
    </row>
    <row r="651" spans="1:38" x14ac:dyDescent="0.3">
      <c r="A651" t="s">
        <v>719</v>
      </c>
      <c r="B651">
        <v>34</v>
      </c>
      <c r="C651" t="s">
        <v>189</v>
      </c>
      <c r="D651" t="s">
        <v>48</v>
      </c>
      <c r="E651">
        <f t="shared" si="10"/>
        <v>0</v>
      </c>
      <c r="F651" t="s">
        <v>40</v>
      </c>
      <c r="G651">
        <v>704</v>
      </c>
      <c r="H651" t="s">
        <v>50</v>
      </c>
      <c r="I651">
        <v>28</v>
      </c>
      <c r="J651">
        <v>3</v>
      </c>
      <c r="K651" t="s">
        <v>56</v>
      </c>
      <c r="L651">
        <v>1</v>
      </c>
      <c r="M651">
        <v>2035</v>
      </c>
      <c r="N651">
        <v>4</v>
      </c>
      <c r="O651" t="s">
        <v>52</v>
      </c>
      <c r="P651">
        <v>95</v>
      </c>
      <c r="Q651">
        <v>2</v>
      </c>
      <c r="R651">
        <v>2</v>
      </c>
      <c r="S651" t="s">
        <v>136</v>
      </c>
      <c r="T651">
        <v>3</v>
      </c>
      <c r="U651" t="s">
        <v>104</v>
      </c>
      <c r="V651">
        <v>6712</v>
      </c>
      <c r="W651" t="s">
        <v>162</v>
      </c>
      <c r="X651">
        <v>8978</v>
      </c>
      <c r="Y651">
        <v>1</v>
      </c>
      <c r="Z651" t="s">
        <v>47</v>
      </c>
      <c r="AA651" t="s">
        <v>48</v>
      </c>
      <c r="AB651">
        <v>21</v>
      </c>
      <c r="AC651">
        <v>4</v>
      </c>
      <c r="AD651">
        <v>4</v>
      </c>
      <c r="AE651">
        <v>80</v>
      </c>
      <c r="AF651">
        <v>2</v>
      </c>
      <c r="AG651">
        <v>8</v>
      </c>
      <c r="AH651">
        <v>2</v>
      </c>
      <c r="AI651">
        <v>3</v>
      </c>
      <c r="AJ651">
        <v>8</v>
      </c>
      <c r="AK651">
        <v>7</v>
      </c>
      <c r="AL651">
        <v>1</v>
      </c>
    </row>
    <row r="652" spans="1:38" x14ac:dyDescent="0.3">
      <c r="A652" t="s">
        <v>720</v>
      </c>
      <c r="B652">
        <v>34</v>
      </c>
      <c r="C652" t="s">
        <v>189</v>
      </c>
      <c r="D652" t="s">
        <v>48</v>
      </c>
      <c r="E652">
        <f t="shared" si="10"/>
        <v>0</v>
      </c>
      <c r="F652" t="s">
        <v>40</v>
      </c>
      <c r="G652">
        <v>628</v>
      </c>
      <c r="H652" t="s">
        <v>41</v>
      </c>
      <c r="I652">
        <v>8</v>
      </c>
      <c r="J652">
        <v>3</v>
      </c>
      <c r="K652" t="s">
        <v>51</v>
      </c>
      <c r="L652">
        <v>1</v>
      </c>
      <c r="M652">
        <v>2068</v>
      </c>
      <c r="N652">
        <v>2</v>
      </c>
      <c r="O652" t="s">
        <v>43</v>
      </c>
      <c r="P652">
        <v>82</v>
      </c>
      <c r="Q652">
        <v>4</v>
      </c>
      <c r="R652">
        <v>2</v>
      </c>
      <c r="S652" t="s">
        <v>44</v>
      </c>
      <c r="T652">
        <v>3</v>
      </c>
      <c r="U652" t="s">
        <v>104</v>
      </c>
      <c r="V652">
        <v>4404</v>
      </c>
      <c r="W652" t="s">
        <v>46</v>
      </c>
      <c r="X652">
        <v>10228</v>
      </c>
      <c r="Y652">
        <v>2</v>
      </c>
      <c r="Z652" t="s">
        <v>47</v>
      </c>
      <c r="AA652" t="s">
        <v>48</v>
      </c>
      <c r="AB652">
        <v>12</v>
      </c>
      <c r="AC652">
        <v>3</v>
      </c>
      <c r="AD652">
        <v>1</v>
      </c>
      <c r="AE652">
        <v>80</v>
      </c>
      <c r="AF652">
        <v>0</v>
      </c>
      <c r="AG652">
        <v>6</v>
      </c>
      <c r="AH652">
        <v>3</v>
      </c>
      <c r="AI652">
        <v>4</v>
      </c>
      <c r="AJ652">
        <v>4</v>
      </c>
      <c r="AK652">
        <v>3</v>
      </c>
      <c r="AL652">
        <v>1</v>
      </c>
    </row>
    <row r="653" spans="1:38" x14ac:dyDescent="0.3">
      <c r="A653" t="s">
        <v>721</v>
      </c>
      <c r="B653">
        <v>35</v>
      </c>
      <c r="C653" t="s">
        <v>189</v>
      </c>
      <c r="D653" t="s">
        <v>48</v>
      </c>
      <c r="E653">
        <f t="shared" si="10"/>
        <v>0</v>
      </c>
      <c r="F653" t="s">
        <v>40</v>
      </c>
      <c r="G653">
        <v>809</v>
      </c>
      <c r="H653" t="s">
        <v>41</v>
      </c>
      <c r="I653">
        <v>16</v>
      </c>
      <c r="J653">
        <v>3</v>
      </c>
      <c r="K653" t="s">
        <v>51</v>
      </c>
      <c r="L653">
        <v>1</v>
      </c>
      <c r="M653">
        <v>14</v>
      </c>
      <c r="N653">
        <v>1</v>
      </c>
      <c r="O653" t="s">
        <v>43</v>
      </c>
      <c r="P653">
        <v>84</v>
      </c>
      <c r="Q653">
        <v>4</v>
      </c>
      <c r="R653">
        <v>1</v>
      </c>
      <c r="S653" t="s">
        <v>44</v>
      </c>
      <c r="T653">
        <v>2</v>
      </c>
      <c r="U653" t="s">
        <v>104</v>
      </c>
      <c r="V653">
        <v>2426</v>
      </c>
      <c r="W653" t="s">
        <v>46</v>
      </c>
      <c r="X653">
        <v>16479</v>
      </c>
      <c r="Y653">
        <v>0</v>
      </c>
      <c r="Z653" t="s">
        <v>47</v>
      </c>
      <c r="AA653" t="s">
        <v>48</v>
      </c>
      <c r="AB653">
        <v>13</v>
      </c>
      <c r="AC653">
        <v>3</v>
      </c>
      <c r="AD653">
        <v>3</v>
      </c>
      <c r="AE653">
        <v>80</v>
      </c>
      <c r="AF653">
        <v>1</v>
      </c>
      <c r="AG653">
        <v>6</v>
      </c>
      <c r="AH653">
        <v>5</v>
      </c>
      <c r="AI653">
        <v>3</v>
      </c>
      <c r="AJ653">
        <v>5</v>
      </c>
      <c r="AK653">
        <v>4</v>
      </c>
      <c r="AL653">
        <v>0</v>
      </c>
    </row>
    <row r="654" spans="1:38" x14ac:dyDescent="0.3">
      <c r="A654" t="s">
        <v>722</v>
      </c>
      <c r="B654">
        <v>35</v>
      </c>
      <c r="C654" t="s">
        <v>189</v>
      </c>
      <c r="D654" t="s">
        <v>48</v>
      </c>
      <c r="E654">
        <f t="shared" si="10"/>
        <v>0</v>
      </c>
      <c r="F654" t="s">
        <v>40</v>
      </c>
      <c r="G654">
        <v>890</v>
      </c>
      <c r="H654" t="s">
        <v>50</v>
      </c>
      <c r="I654">
        <v>2</v>
      </c>
      <c r="J654">
        <v>3</v>
      </c>
      <c r="K654" t="s">
        <v>56</v>
      </c>
      <c r="L654">
        <v>1</v>
      </c>
      <c r="M654">
        <v>49</v>
      </c>
      <c r="N654">
        <v>4</v>
      </c>
      <c r="O654" t="s">
        <v>52</v>
      </c>
      <c r="P654">
        <v>97</v>
      </c>
      <c r="Q654">
        <v>3</v>
      </c>
      <c r="R654">
        <v>1</v>
      </c>
      <c r="S654" t="s">
        <v>53</v>
      </c>
      <c r="T654">
        <v>4</v>
      </c>
      <c r="U654" t="s">
        <v>104</v>
      </c>
      <c r="V654">
        <v>2014</v>
      </c>
      <c r="W654" t="s">
        <v>46</v>
      </c>
      <c r="X654">
        <v>9687</v>
      </c>
      <c r="Y654">
        <v>1</v>
      </c>
      <c r="Z654" t="s">
        <v>47</v>
      </c>
      <c r="AA654" t="s">
        <v>48</v>
      </c>
      <c r="AB654">
        <v>13</v>
      </c>
      <c r="AC654">
        <v>3</v>
      </c>
      <c r="AD654">
        <v>1</v>
      </c>
      <c r="AE654">
        <v>80</v>
      </c>
      <c r="AF654">
        <v>0</v>
      </c>
      <c r="AG654">
        <v>2</v>
      </c>
      <c r="AH654">
        <v>3</v>
      </c>
      <c r="AI654">
        <v>3</v>
      </c>
      <c r="AJ654">
        <v>2</v>
      </c>
      <c r="AK654">
        <v>2</v>
      </c>
      <c r="AL654">
        <v>2</v>
      </c>
    </row>
    <row r="655" spans="1:38" x14ac:dyDescent="0.3">
      <c r="A655" t="s">
        <v>723</v>
      </c>
      <c r="B655">
        <v>35</v>
      </c>
      <c r="C655" t="s">
        <v>189</v>
      </c>
      <c r="D655" t="s">
        <v>48</v>
      </c>
      <c r="E655">
        <f t="shared" si="10"/>
        <v>0</v>
      </c>
      <c r="F655" t="s">
        <v>40</v>
      </c>
      <c r="G655">
        <v>464</v>
      </c>
      <c r="H655" t="s">
        <v>41</v>
      </c>
      <c r="I655">
        <v>4</v>
      </c>
      <c r="J655">
        <v>2</v>
      </c>
      <c r="K655" t="s">
        <v>72</v>
      </c>
      <c r="L655">
        <v>1</v>
      </c>
      <c r="M655">
        <v>53</v>
      </c>
      <c r="N655">
        <v>3</v>
      </c>
      <c r="O655" t="s">
        <v>43</v>
      </c>
      <c r="P655">
        <v>75</v>
      </c>
      <c r="Q655">
        <v>3</v>
      </c>
      <c r="R655">
        <v>1</v>
      </c>
      <c r="S655" t="s">
        <v>44</v>
      </c>
      <c r="T655">
        <v>4</v>
      </c>
      <c r="U655" t="s">
        <v>101</v>
      </c>
      <c r="V655">
        <v>1951</v>
      </c>
      <c r="W655" t="s">
        <v>46</v>
      </c>
      <c r="X655">
        <v>10910</v>
      </c>
      <c r="Y655">
        <v>1</v>
      </c>
      <c r="Z655" t="s">
        <v>47</v>
      </c>
      <c r="AA655" t="s">
        <v>48</v>
      </c>
      <c r="AB655">
        <v>12</v>
      </c>
      <c r="AC655">
        <v>3</v>
      </c>
      <c r="AD655">
        <v>3</v>
      </c>
      <c r="AE655">
        <v>80</v>
      </c>
      <c r="AF655">
        <v>1</v>
      </c>
      <c r="AG655">
        <v>1</v>
      </c>
      <c r="AH655">
        <v>3</v>
      </c>
      <c r="AI655">
        <v>3</v>
      </c>
      <c r="AJ655">
        <v>1</v>
      </c>
      <c r="AK655">
        <v>0</v>
      </c>
      <c r="AL655">
        <v>0</v>
      </c>
    </row>
    <row r="656" spans="1:38" x14ac:dyDescent="0.3">
      <c r="A656" t="s">
        <v>724</v>
      </c>
      <c r="B656">
        <v>35</v>
      </c>
      <c r="C656" t="s">
        <v>189</v>
      </c>
      <c r="D656" t="s">
        <v>48</v>
      </c>
      <c r="E656">
        <f t="shared" si="10"/>
        <v>0</v>
      </c>
      <c r="F656" t="s">
        <v>40</v>
      </c>
      <c r="G656">
        <v>1229</v>
      </c>
      <c r="H656" t="s">
        <v>41</v>
      </c>
      <c r="I656">
        <v>8</v>
      </c>
      <c r="J656">
        <v>1</v>
      </c>
      <c r="K656" t="s">
        <v>42</v>
      </c>
      <c r="L656">
        <v>1</v>
      </c>
      <c r="M656">
        <v>63</v>
      </c>
      <c r="N656">
        <v>4</v>
      </c>
      <c r="O656" t="s">
        <v>43</v>
      </c>
      <c r="P656">
        <v>36</v>
      </c>
      <c r="Q656">
        <v>4</v>
      </c>
      <c r="R656">
        <v>1</v>
      </c>
      <c r="S656" t="s">
        <v>44</v>
      </c>
      <c r="T656">
        <v>4</v>
      </c>
      <c r="U656" t="s">
        <v>104</v>
      </c>
      <c r="V656">
        <v>2269</v>
      </c>
      <c r="W656" t="s">
        <v>46</v>
      </c>
      <c r="X656">
        <v>4892</v>
      </c>
      <c r="Y656">
        <v>1</v>
      </c>
      <c r="Z656" t="s">
        <v>47</v>
      </c>
      <c r="AA656" t="s">
        <v>48</v>
      </c>
      <c r="AB656">
        <v>19</v>
      </c>
      <c r="AC656">
        <v>3</v>
      </c>
      <c r="AD656">
        <v>4</v>
      </c>
      <c r="AE656">
        <v>80</v>
      </c>
      <c r="AF656">
        <v>0</v>
      </c>
      <c r="AG656">
        <v>1</v>
      </c>
      <c r="AH656">
        <v>2</v>
      </c>
      <c r="AI656">
        <v>3</v>
      </c>
      <c r="AJ656">
        <v>1</v>
      </c>
      <c r="AK656">
        <v>0</v>
      </c>
      <c r="AL656">
        <v>0</v>
      </c>
    </row>
    <row r="657" spans="1:38" x14ac:dyDescent="0.3">
      <c r="A657" t="s">
        <v>725</v>
      </c>
      <c r="B657">
        <v>35</v>
      </c>
      <c r="C657" t="s">
        <v>189</v>
      </c>
      <c r="D657" t="s">
        <v>48</v>
      </c>
      <c r="E657">
        <f t="shared" si="10"/>
        <v>0</v>
      </c>
      <c r="F657" t="s">
        <v>58</v>
      </c>
      <c r="G657">
        <v>1097</v>
      </c>
      <c r="H657" t="s">
        <v>41</v>
      </c>
      <c r="I657">
        <v>11</v>
      </c>
      <c r="J657">
        <v>2</v>
      </c>
      <c r="K657" t="s">
        <v>51</v>
      </c>
      <c r="L657">
        <v>1</v>
      </c>
      <c r="M657">
        <v>70</v>
      </c>
      <c r="N657">
        <v>3</v>
      </c>
      <c r="O657" t="s">
        <v>43</v>
      </c>
      <c r="P657">
        <v>79</v>
      </c>
      <c r="Q657">
        <v>2</v>
      </c>
      <c r="R657">
        <v>3</v>
      </c>
      <c r="S657" t="s">
        <v>160</v>
      </c>
      <c r="T657">
        <v>1</v>
      </c>
      <c r="U657" t="s">
        <v>104</v>
      </c>
      <c r="V657">
        <v>9884</v>
      </c>
      <c r="W657" t="s">
        <v>162</v>
      </c>
      <c r="X657">
        <v>8302</v>
      </c>
      <c r="Y657">
        <v>2</v>
      </c>
      <c r="Z657" t="s">
        <v>47</v>
      </c>
      <c r="AA657" t="s">
        <v>39</v>
      </c>
      <c r="AB657">
        <v>13</v>
      </c>
      <c r="AC657">
        <v>3</v>
      </c>
      <c r="AD657">
        <v>3</v>
      </c>
      <c r="AE657">
        <v>80</v>
      </c>
      <c r="AF657">
        <v>1</v>
      </c>
      <c r="AG657">
        <v>10</v>
      </c>
      <c r="AH657">
        <v>3</v>
      </c>
      <c r="AI657">
        <v>3</v>
      </c>
      <c r="AJ657">
        <v>4</v>
      </c>
      <c r="AK657">
        <v>0</v>
      </c>
      <c r="AL657">
        <v>2</v>
      </c>
    </row>
    <row r="658" spans="1:38" x14ac:dyDescent="0.3">
      <c r="A658" t="s">
        <v>726</v>
      </c>
      <c r="B658">
        <v>35</v>
      </c>
      <c r="C658" t="s">
        <v>189</v>
      </c>
      <c r="D658" t="s">
        <v>48</v>
      </c>
      <c r="E658">
        <f t="shared" si="10"/>
        <v>0</v>
      </c>
      <c r="F658" t="s">
        <v>55</v>
      </c>
      <c r="G658">
        <v>853</v>
      </c>
      <c r="H658" t="s">
        <v>50</v>
      </c>
      <c r="I658">
        <v>18</v>
      </c>
      <c r="J658">
        <v>5</v>
      </c>
      <c r="K658" t="s">
        <v>42</v>
      </c>
      <c r="L658">
        <v>1</v>
      </c>
      <c r="M658">
        <v>74</v>
      </c>
      <c r="N658">
        <v>2</v>
      </c>
      <c r="O658" t="s">
        <v>43</v>
      </c>
      <c r="P658">
        <v>71</v>
      </c>
      <c r="Q658">
        <v>3</v>
      </c>
      <c r="R658">
        <v>3</v>
      </c>
      <c r="S658" t="s">
        <v>136</v>
      </c>
      <c r="T658">
        <v>1</v>
      </c>
      <c r="U658" t="s">
        <v>104</v>
      </c>
      <c r="V658">
        <v>9069</v>
      </c>
      <c r="W658" t="s">
        <v>162</v>
      </c>
      <c r="X658">
        <v>11031</v>
      </c>
      <c r="Y658">
        <v>1</v>
      </c>
      <c r="Z658" t="s">
        <v>47</v>
      </c>
      <c r="AA658" t="s">
        <v>48</v>
      </c>
      <c r="AB658">
        <v>22</v>
      </c>
      <c r="AC658">
        <v>4</v>
      </c>
      <c r="AD658">
        <v>4</v>
      </c>
      <c r="AE658">
        <v>80</v>
      </c>
      <c r="AF658">
        <v>1</v>
      </c>
      <c r="AG658">
        <v>9</v>
      </c>
      <c r="AH658">
        <v>3</v>
      </c>
      <c r="AI658">
        <v>2</v>
      </c>
      <c r="AJ658">
        <v>9</v>
      </c>
      <c r="AK658">
        <v>8</v>
      </c>
      <c r="AL658">
        <v>1</v>
      </c>
    </row>
    <row r="659" spans="1:38" x14ac:dyDescent="0.3">
      <c r="A659" t="s">
        <v>727</v>
      </c>
      <c r="B659">
        <v>35</v>
      </c>
      <c r="C659" t="s">
        <v>189</v>
      </c>
      <c r="D659" t="s">
        <v>48</v>
      </c>
      <c r="E659">
        <f t="shared" si="10"/>
        <v>0</v>
      </c>
      <c r="F659" t="s">
        <v>40</v>
      </c>
      <c r="G659">
        <v>1142</v>
      </c>
      <c r="H659" t="s">
        <v>41</v>
      </c>
      <c r="I659">
        <v>23</v>
      </c>
      <c r="J659">
        <v>4</v>
      </c>
      <c r="K659" t="s">
        <v>51</v>
      </c>
      <c r="L659">
        <v>1</v>
      </c>
      <c r="M659">
        <v>75</v>
      </c>
      <c r="N659">
        <v>3</v>
      </c>
      <c r="O659" t="s">
        <v>52</v>
      </c>
      <c r="P659">
        <v>30</v>
      </c>
      <c r="Q659">
        <v>3</v>
      </c>
      <c r="R659">
        <v>1</v>
      </c>
      <c r="S659" t="s">
        <v>44</v>
      </c>
      <c r="T659">
        <v>1</v>
      </c>
      <c r="U659" t="s">
        <v>104</v>
      </c>
      <c r="V659">
        <v>4014</v>
      </c>
      <c r="W659" t="s">
        <v>46</v>
      </c>
      <c r="X659">
        <v>16002</v>
      </c>
      <c r="Y659">
        <v>3</v>
      </c>
      <c r="Z659" t="s">
        <v>47</v>
      </c>
      <c r="AA659" t="s">
        <v>39</v>
      </c>
      <c r="AB659">
        <v>15</v>
      </c>
      <c r="AC659">
        <v>3</v>
      </c>
      <c r="AD659">
        <v>3</v>
      </c>
      <c r="AE659">
        <v>80</v>
      </c>
      <c r="AF659">
        <v>1</v>
      </c>
      <c r="AG659">
        <v>4</v>
      </c>
      <c r="AH659">
        <v>3</v>
      </c>
      <c r="AI659">
        <v>3</v>
      </c>
      <c r="AJ659">
        <v>2</v>
      </c>
      <c r="AK659">
        <v>2</v>
      </c>
      <c r="AL659">
        <v>2</v>
      </c>
    </row>
    <row r="660" spans="1:38" x14ac:dyDescent="0.3">
      <c r="A660" t="s">
        <v>728</v>
      </c>
      <c r="B660">
        <v>35</v>
      </c>
      <c r="C660" t="s">
        <v>189</v>
      </c>
      <c r="D660" t="s">
        <v>48</v>
      </c>
      <c r="E660">
        <f t="shared" si="10"/>
        <v>0</v>
      </c>
      <c r="F660" t="s">
        <v>55</v>
      </c>
      <c r="G660">
        <v>664</v>
      </c>
      <c r="H660" t="s">
        <v>41</v>
      </c>
      <c r="I660">
        <v>1</v>
      </c>
      <c r="J660">
        <v>3</v>
      </c>
      <c r="K660" t="s">
        <v>51</v>
      </c>
      <c r="L660">
        <v>1</v>
      </c>
      <c r="M660">
        <v>88</v>
      </c>
      <c r="N660">
        <v>2</v>
      </c>
      <c r="O660" t="s">
        <v>43</v>
      </c>
      <c r="P660">
        <v>79</v>
      </c>
      <c r="Q660">
        <v>3</v>
      </c>
      <c r="R660">
        <v>1</v>
      </c>
      <c r="S660" t="s">
        <v>59</v>
      </c>
      <c r="T660">
        <v>1</v>
      </c>
      <c r="U660" t="s">
        <v>104</v>
      </c>
      <c r="V660">
        <v>2194</v>
      </c>
      <c r="W660" t="s">
        <v>46</v>
      </c>
      <c r="X660">
        <v>5868</v>
      </c>
      <c r="Y660">
        <v>4</v>
      </c>
      <c r="Z660" t="s">
        <v>47</v>
      </c>
      <c r="AA660" t="s">
        <v>48</v>
      </c>
      <c r="AB660">
        <v>13</v>
      </c>
      <c r="AC660">
        <v>3</v>
      </c>
      <c r="AD660">
        <v>4</v>
      </c>
      <c r="AE660">
        <v>80</v>
      </c>
      <c r="AF660">
        <v>1</v>
      </c>
      <c r="AG660">
        <v>5</v>
      </c>
      <c r="AH660">
        <v>2</v>
      </c>
      <c r="AI660">
        <v>2</v>
      </c>
      <c r="AJ660">
        <v>3</v>
      </c>
      <c r="AK660">
        <v>2</v>
      </c>
      <c r="AL660">
        <v>1</v>
      </c>
    </row>
    <row r="661" spans="1:38" x14ac:dyDescent="0.3">
      <c r="A661" t="s">
        <v>729</v>
      </c>
      <c r="B661">
        <v>35</v>
      </c>
      <c r="C661" t="s">
        <v>189</v>
      </c>
      <c r="D661" t="s">
        <v>48</v>
      </c>
      <c r="E661">
        <f t="shared" si="10"/>
        <v>0</v>
      </c>
      <c r="F661" t="s">
        <v>40</v>
      </c>
      <c r="G661">
        <v>776</v>
      </c>
      <c r="H661" t="s">
        <v>50</v>
      </c>
      <c r="I661">
        <v>1</v>
      </c>
      <c r="J661">
        <v>4</v>
      </c>
      <c r="K661" t="s">
        <v>56</v>
      </c>
      <c r="L661">
        <v>1</v>
      </c>
      <c r="M661">
        <v>100</v>
      </c>
      <c r="N661">
        <v>3</v>
      </c>
      <c r="O661" t="s">
        <v>43</v>
      </c>
      <c r="P661">
        <v>32</v>
      </c>
      <c r="Q661">
        <v>2</v>
      </c>
      <c r="R661">
        <v>2</v>
      </c>
      <c r="S661" t="s">
        <v>136</v>
      </c>
      <c r="T661">
        <v>1</v>
      </c>
      <c r="U661" t="s">
        <v>45</v>
      </c>
      <c r="V661">
        <v>4312</v>
      </c>
      <c r="W661" t="s">
        <v>46</v>
      </c>
      <c r="X661">
        <v>23016</v>
      </c>
      <c r="Y661">
        <v>0</v>
      </c>
      <c r="Z661" t="s">
        <v>47</v>
      </c>
      <c r="AA661" t="s">
        <v>48</v>
      </c>
      <c r="AB661">
        <v>14</v>
      </c>
      <c r="AC661">
        <v>3</v>
      </c>
      <c r="AD661">
        <v>2</v>
      </c>
      <c r="AE661">
        <v>80</v>
      </c>
      <c r="AF661">
        <v>0</v>
      </c>
      <c r="AG661">
        <v>16</v>
      </c>
      <c r="AH661">
        <v>2</v>
      </c>
      <c r="AI661">
        <v>3</v>
      </c>
      <c r="AJ661">
        <v>15</v>
      </c>
      <c r="AK661">
        <v>13</v>
      </c>
      <c r="AL661">
        <v>2</v>
      </c>
    </row>
    <row r="662" spans="1:38" x14ac:dyDescent="0.3">
      <c r="A662" t="s">
        <v>730</v>
      </c>
      <c r="B662">
        <v>35</v>
      </c>
      <c r="C662" t="s">
        <v>189</v>
      </c>
      <c r="D662" t="s">
        <v>48</v>
      </c>
      <c r="E662">
        <f t="shared" si="10"/>
        <v>0</v>
      </c>
      <c r="F662" t="s">
        <v>40</v>
      </c>
      <c r="G662">
        <v>1214</v>
      </c>
      <c r="H662" t="s">
        <v>41</v>
      </c>
      <c r="I662">
        <v>1</v>
      </c>
      <c r="J662">
        <v>3</v>
      </c>
      <c r="K662" t="s">
        <v>51</v>
      </c>
      <c r="L662">
        <v>1</v>
      </c>
      <c r="M662">
        <v>105</v>
      </c>
      <c r="N662">
        <v>2</v>
      </c>
      <c r="O662" t="s">
        <v>43</v>
      </c>
      <c r="P662">
        <v>30</v>
      </c>
      <c r="Q662">
        <v>2</v>
      </c>
      <c r="R662">
        <v>1</v>
      </c>
      <c r="S662" t="s">
        <v>59</v>
      </c>
      <c r="T662">
        <v>3</v>
      </c>
      <c r="U662" t="s">
        <v>45</v>
      </c>
      <c r="V662">
        <v>2859</v>
      </c>
      <c r="W662" t="s">
        <v>46</v>
      </c>
      <c r="X662">
        <v>26278</v>
      </c>
      <c r="Y662">
        <v>1</v>
      </c>
      <c r="Z662" t="s">
        <v>47</v>
      </c>
      <c r="AA662" t="s">
        <v>48</v>
      </c>
      <c r="AB662">
        <v>18</v>
      </c>
      <c r="AC662">
        <v>3</v>
      </c>
      <c r="AD662">
        <v>1</v>
      </c>
      <c r="AE662">
        <v>80</v>
      </c>
      <c r="AF662">
        <v>0</v>
      </c>
      <c r="AG662">
        <v>6</v>
      </c>
      <c r="AH662">
        <v>3</v>
      </c>
      <c r="AI662">
        <v>3</v>
      </c>
      <c r="AJ662">
        <v>6</v>
      </c>
      <c r="AK662">
        <v>4</v>
      </c>
      <c r="AL662">
        <v>0</v>
      </c>
    </row>
    <row r="663" spans="1:38" x14ac:dyDescent="0.3">
      <c r="A663" t="s">
        <v>731</v>
      </c>
      <c r="B663">
        <v>35</v>
      </c>
      <c r="C663" t="s">
        <v>189</v>
      </c>
      <c r="D663" t="s">
        <v>48</v>
      </c>
      <c r="E663">
        <f t="shared" si="10"/>
        <v>0</v>
      </c>
      <c r="F663" t="s">
        <v>40</v>
      </c>
      <c r="G663">
        <v>662</v>
      </c>
      <c r="H663" t="s">
        <v>50</v>
      </c>
      <c r="I663">
        <v>1</v>
      </c>
      <c r="J663">
        <v>5</v>
      </c>
      <c r="K663" t="s">
        <v>56</v>
      </c>
      <c r="L663">
        <v>1</v>
      </c>
      <c r="M663">
        <v>204</v>
      </c>
      <c r="N663">
        <v>3</v>
      </c>
      <c r="O663" t="s">
        <v>43</v>
      </c>
      <c r="P663">
        <v>94</v>
      </c>
      <c r="Q663">
        <v>3</v>
      </c>
      <c r="R663">
        <v>3</v>
      </c>
      <c r="S663" t="s">
        <v>136</v>
      </c>
      <c r="T663">
        <v>2</v>
      </c>
      <c r="U663" t="s">
        <v>104</v>
      </c>
      <c r="V663">
        <v>7295</v>
      </c>
      <c r="W663" t="s">
        <v>162</v>
      </c>
      <c r="X663">
        <v>11439</v>
      </c>
      <c r="Y663">
        <v>1</v>
      </c>
      <c r="Z663" t="s">
        <v>47</v>
      </c>
      <c r="AA663" t="s">
        <v>48</v>
      </c>
      <c r="AB663">
        <v>13</v>
      </c>
      <c r="AC663">
        <v>3</v>
      </c>
      <c r="AD663">
        <v>1</v>
      </c>
      <c r="AE663">
        <v>80</v>
      </c>
      <c r="AF663">
        <v>2</v>
      </c>
      <c r="AG663">
        <v>10</v>
      </c>
      <c r="AH663">
        <v>3</v>
      </c>
      <c r="AI663">
        <v>3</v>
      </c>
      <c r="AJ663">
        <v>10</v>
      </c>
      <c r="AK663">
        <v>8</v>
      </c>
      <c r="AL663">
        <v>0</v>
      </c>
    </row>
    <row r="664" spans="1:38" x14ac:dyDescent="0.3">
      <c r="A664" t="s">
        <v>732</v>
      </c>
      <c r="B664">
        <v>35</v>
      </c>
      <c r="C664" t="s">
        <v>189</v>
      </c>
      <c r="D664" t="s">
        <v>39</v>
      </c>
      <c r="E664">
        <f t="shared" si="10"/>
        <v>1</v>
      </c>
      <c r="F664" t="s">
        <v>40</v>
      </c>
      <c r="G664">
        <v>556</v>
      </c>
      <c r="H664" t="s">
        <v>41</v>
      </c>
      <c r="I664">
        <v>23</v>
      </c>
      <c r="J664">
        <v>2</v>
      </c>
      <c r="K664" t="s">
        <v>42</v>
      </c>
      <c r="L664">
        <v>1</v>
      </c>
      <c r="M664">
        <v>261</v>
      </c>
      <c r="N664">
        <v>2</v>
      </c>
      <c r="O664" t="s">
        <v>43</v>
      </c>
      <c r="P664">
        <v>50</v>
      </c>
      <c r="Q664">
        <v>2</v>
      </c>
      <c r="R664">
        <v>2</v>
      </c>
      <c r="S664" t="s">
        <v>111</v>
      </c>
      <c r="T664">
        <v>3</v>
      </c>
      <c r="U664" t="s">
        <v>104</v>
      </c>
      <c r="V664">
        <v>5916</v>
      </c>
      <c r="W664" t="s">
        <v>162</v>
      </c>
      <c r="X664">
        <v>15497</v>
      </c>
      <c r="Y664">
        <v>3</v>
      </c>
      <c r="Z664" t="s">
        <v>47</v>
      </c>
      <c r="AA664" t="s">
        <v>39</v>
      </c>
      <c r="AB664">
        <v>13</v>
      </c>
      <c r="AC664">
        <v>3</v>
      </c>
      <c r="AD664">
        <v>1</v>
      </c>
      <c r="AE664">
        <v>80</v>
      </c>
      <c r="AF664">
        <v>0</v>
      </c>
      <c r="AG664">
        <v>8</v>
      </c>
      <c r="AH664">
        <v>1</v>
      </c>
      <c r="AI664">
        <v>3</v>
      </c>
      <c r="AJ664">
        <v>1</v>
      </c>
      <c r="AK664">
        <v>0</v>
      </c>
      <c r="AL664">
        <v>0</v>
      </c>
    </row>
    <row r="665" spans="1:38" x14ac:dyDescent="0.3">
      <c r="A665" t="s">
        <v>733</v>
      </c>
      <c r="B665">
        <v>35</v>
      </c>
      <c r="C665" t="s">
        <v>189</v>
      </c>
      <c r="D665" t="s">
        <v>48</v>
      </c>
      <c r="E665">
        <f t="shared" si="10"/>
        <v>0</v>
      </c>
      <c r="F665" t="s">
        <v>55</v>
      </c>
      <c r="G665">
        <v>138</v>
      </c>
      <c r="H665" t="s">
        <v>41</v>
      </c>
      <c r="I665">
        <v>2</v>
      </c>
      <c r="J665">
        <v>3</v>
      </c>
      <c r="K665" t="s">
        <v>51</v>
      </c>
      <c r="L665">
        <v>1</v>
      </c>
      <c r="M665">
        <v>269</v>
      </c>
      <c r="N665">
        <v>2</v>
      </c>
      <c r="O665" t="s">
        <v>52</v>
      </c>
      <c r="P665">
        <v>37</v>
      </c>
      <c r="Q665">
        <v>3</v>
      </c>
      <c r="R665">
        <v>2</v>
      </c>
      <c r="S665" t="s">
        <v>44</v>
      </c>
      <c r="T665">
        <v>2</v>
      </c>
      <c r="U665" t="s">
        <v>45</v>
      </c>
      <c r="V665">
        <v>4425</v>
      </c>
      <c r="W665" t="s">
        <v>46</v>
      </c>
      <c r="X665">
        <v>15986</v>
      </c>
      <c r="Y665">
        <v>5</v>
      </c>
      <c r="Z665" t="s">
        <v>47</v>
      </c>
      <c r="AA665" t="s">
        <v>48</v>
      </c>
      <c r="AB665">
        <v>11</v>
      </c>
      <c r="AC665">
        <v>3</v>
      </c>
      <c r="AD665">
        <v>4</v>
      </c>
      <c r="AE665">
        <v>80</v>
      </c>
      <c r="AF665">
        <v>0</v>
      </c>
      <c r="AG665">
        <v>10</v>
      </c>
      <c r="AH665">
        <v>5</v>
      </c>
      <c r="AI665">
        <v>3</v>
      </c>
      <c r="AJ665">
        <v>6</v>
      </c>
      <c r="AK665">
        <v>2</v>
      </c>
      <c r="AL665">
        <v>1</v>
      </c>
    </row>
    <row r="666" spans="1:38" x14ac:dyDescent="0.3">
      <c r="A666" t="s">
        <v>734</v>
      </c>
      <c r="B666">
        <v>35</v>
      </c>
      <c r="C666" t="s">
        <v>189</v>
      </c>
      <c r="D666" t="s">
        <v>48</v>
      </c>
      <c r="E666">
        <f t="shared" si="10"/>
        <v>0</v>
      </c>
      <c r="F666" t="s">
        <v>55</v>
      </c>
      <c r="G666">
        <v>944</v>
      </c>
      <c r="H666" t="s">
        <v>50</v>
      </c>
      <c r="I666">
        <v>1</v>
      </c>
      <c r="J666">
        <v>3</v>
      </c>
      <c r="K666" t="s">
        <v>56</v>
      </c>
      <c r="L666">
        <v>1</v>
      </c>
      <c r="M666">
        <v>314</v>
      </c>
      <c r="N666">
        <v>3</v>
      </c>
      <c r="O666" t="s">
        <v>52</v>
      </c>
      <c r="P666">
        <v>92</v>
      </c>
      <c r="Q666">
        <v>3</v>
      </c>
      <c r="R666">
        <v>3</v>
      </c>
      <c r="S666" t="s">
        <v>136</v>
      </c>
      <c r="T666">
        <v>3</v>
      </c>
      <c r="U666" t="s">
        <v>45</v>
      </c>
      <c r="V666">
        <v>8789</v>
      </c>
      <c r="W666" t="s">
        <v>162</v>
      </c>
      <c r="X666">
        <v>9096</v>
      </c>
      <c r="Y666">
        <v>1</v>
      </c>
      <c r="Z666" t="s">
        <v>47</v>
      </c>
      <c r="AA666" t="s">
        <v>48</v>
      </c>
      <c r="AB666">
        <v>14</v>
      </c>
      <c r="AC666">
        <v>3</v>
      </c>
      <c r="AD666">
        <v>1</v>
      </c>
      <c r="AE666">
        <v>80</v>
      </c>
      <c r="AF666">
        <v>0</v>
      </c>
      <c r="AG666">
        <v>10</v>
      </c>
      <c r="AH666">
        <v>3</v>
      </c>
      <c r="AI666">
        <v>4</v>
      </c>
      <c r="AJ666">
        <v>10</v>
      </c>
      <c r="AK666">
        <v>7</v>
      </c>
      <c r="AL666">
        <v>0</v>
      </c>
    </row>
    <row r="667" spans="1:38" x14ac:dyDescent="0.3">
      <c r="A667" t="s">
        <v>735</v>
      </c>
      <c r="B667">
        <v>35</v>
      </c>
      <c r="C667" t="s">
        <v>189</v>
      </c>
      <c r="D667" t="s">
        <v>48</v>
      </c>
      <c r="E667">
        <f t="shared" si="10"/>
        <v>0</v>
      </c>
      <c r="F667" t="s">
        <v>40</v>
      </c>
      <c r="G667">
        <v>1315</v>
      </c>
      <c r="H667" t="s">
        <v>41</v>
      </c>
      <c r="I667">
        <v>22</v>
      </c>
      <c r="J667">
        <v>3</v>
      </c>
      <c r="K667" t="s">
        <v>42</v>
      </c>
      <c r="L667">
        <v>1</v>
      </c>
      <c r="M667">
        <v>381</v>
      </c>
      <c r="N667">
        <v>2</v>
      </c>
      <c r="O667" t="s">
        <v>52</v>
      </c>
      <c r="P667">
        <v>71</v>
      </c>
      <c r="Q667">
        <v>4</v>
      </c>
      <c r="R667">
        <v>3</v>
      </c>
      <c r="S667" t="s">
        <v>440</v>
      </c>
      <c r="T667">
        <v>2</v>
      </c>
      <c r="U667" t="s">
        <v>101</v>
      </c>
      <c r="V667">
        <v>11996</v>
      </c>
      <c r="W667" t="s">
        <v>252</v>
      </c>
      <c r="X667">
        <v>19100</v>
      </c>
      <c r="Y667">
        <v>7</v>
      </c>
      <c r="Z667" t="s">
        <v>47</v>
      </c>
      <c r="AA667" t="s">
        <v>48</v>
      </c>
      <c r="AB667">
        <v>18</v>
      </c>
      <c r="AC667">
        <v>3</v>
      </c>
      <c r="AD667">
        <v>2</v>
      </c>
      <c r="AE667">
        <v>80</v>
      </c>
      <c r="AF667">
        <v>1</v>
      </c>
      <c r="AG667">
        <v>10</v>
      </c>
      <c r="AH667">
        <v>6</v>
      </c>
      <c r="AI667">
        <v>2</v>
      </c>
      <c r="AJ667">
        <v>7</v>
      </c>
      <c r="AK667">
        <v>7</v>
      </c>
      <c r="AL667">
        <v>6</v>
      </c>
    </row>
    <row r="668" spans="1:38" x14ac:dyDescent="0.3">
      <c r="A668" t="s">
        <v>736</v>
      </c>
      <c r="B668">
        <v>35</v>
      </c>
      <c r="C668" t="s">
        <v>189</v>
      </c>
      <c r="D668" t="s">
        <v>48</v>
      </c>
      <c r="E668">
        <f t="shared" si="10"/>
        <v>0</v>
      </c>
      <c r="F668" t="s">
        <v>40</v>
      </c>
      <c r="G668">
        <v>1232</v>
      </c>
      <c r="H668" t="s">
        <v>50</v>
      </c>
      <c r="I668">
        <v>16</v>
      </c>
      <c r="J668">
        <v>3</v>
      </c>
      <c r="K668" t="s">
        <v>56</v>
      </c>
      <c r="L668">
        <v>1</v>
      </c>
      <c r="M668">
        <v>406</v>
      </c>
      <c r="N668">
        <v>3</v>
      </c>
      <c r="O668" t="s">
        <v>43</v>
      </c>
      <c r="P668">
        <v>96</v>
      </c>
      <c r="Q668">
        <v>3</v>
      </c>
      <c r="R668">
        <v>3</v>
      </c>
      <c r="S668" t="s">
        <v>136</v>
      </c>
      <c r="T668">
        <v>2</v>
      </c>
      <c r="U668" t="s">
        <v>104</v>
      </c>
      <c r="V668">
        <v>8020</v>
      </c>
      <c r="W668" t="s">
        <v>162</v>
      </c>
      <c r="X668">
        <v>5100</v>
      </c>
      <c r="Y668">
        <v>0</v>
      </c>
      <c r="Z668" t="s">
        <v>47</v>
      </c>
      <c r="AA668" t="s">
        <v>48</v>
      </c>
      <c r="AB668">
        <v>15</v>
      </c>
      <c r="AC668">
        <v>3</v>
      </c>
      <c r="AD668">
        <v>3</v>
      </c>
      <c r="AE668">
        <v>80</v>
      </c>
      <c r="AF668">
        <v>2</v>
      </c>
      <c r="AG668">
        <v>12</v>
      </c>
      <c r="AH668">
        <v>3</v>
      </c>
      <c r="AI668">
        <v>2</v>
      </c>
      <c r="AJ668">
        <v>11</v>
      </c>
      <c r="AK668">
        <v>9</v>
      </c>
      <c r="AL668">
        <v>6</v>
      </c>
    </row>
    <row r="669" spans="1:38" x14ac:dyDescent="0.3">
      <c r="A669" t="s">
        <v>737</v>
      </c>
      <c r="B669">
        <v>35</v>
      </c>
      <c r="C669" t="s">
        <v>189</v>
      </c>
      <c r="D669" t="s">
        <v>48</v>
      </c>
      <c r="E669">
        <f t="shared" si="10"/>
        <v>0</v>
      </c>
      <c r="F669" t="s">
        <v>40</v>
      </c>
      <c r="G669">
        <v>1296</v>
      </c>
      <c r="H669" t="s">
        <v>41</v>
      </c>
      <c r="I669">
        <v>5</v>
      </c>
      <c r="J669">
        <v>4</v>
      </c>
      <c r="K669" t="s">
        <v>67</v>
      </c>
      <c r="L669">
        <v>1</v>
      </c>
      <c r="M669">
        <v>464</v>
      </c>
      <c r="N669">
        <v>3</v>
      </c>
      <c r="O669" t="s">
        <v>43</v>
      </c>
      <c r="P669">
        <v>62</v>
      </c>
      <c r="Q669">
        <v>3</v>
      </c>
      <c r="R669">
        <v>3</v>
      </c>
      <c r="S669" t="s">
        <v>111</v>
      </c>
      <c r="T669">
        <v>2</v>
      </c>
      <c r="U669" t="s">
        <v>45</v>
      </c>
      <c r="V669">
        <v>8095</v>
      </c>
      <c r="W669" t="s">
        <v>162</v>
      </c>
      <c r="X669">
        <v>18264</v>
      </c>
      <c r="Y669">
        <v>0</v>
      </c>
      <c r="Z669" t="s">
        <v>47</v>
      </c>
      <c r="AA669" t="s">
        <v>48</v>
      </c>
      <c r="AB669">
        <v>13</v>
      </c>
      <c r="AC669">
        <v>3</v>
      </c>
      <c r="AD669">
        <v>4</v>
      </c>
      <c r="AE669">
        <v>80</v>
      </c>
      <c r="AF669">
        <v>0</v>
      </c>
      <c r="AG669">
        <v>17</v>
      </c>
      <c r="AH669">
        <v>5</v>
      </c>
      <c r="AI669">
        <v>3</v>
      </c>
      <c r="AJ669">
        <v>16</v>
      </c>
      <c r="AK669">
        <v>6</v>
      </c>
      <c r="AL669">
        <v>0</v>
      </c>
    </row>
    <row r="670" spans="1:38" x14ac:dyDescent="0.3">
      <c r="A670" t="s">
        <v>738</v>
      </c>
      <c r="B670">
        <v>35</v>
      </c>
      <c r="C670" t="s">
        <v>189</v>
      </c>
      <c r="D670" t="s">
        <v>48</v>
      </c>
      <c r="E670">
        <f t="shared" si="10"/>
        <v>0</v>
      </c>
      <c r="F670" t="s">
        <v>40</v>
      </c>
      <c r="G670">
        <v>755</v>
      </c>
      <c r="H670" t="s">
        <v>41</v>
      </c>
      <c r="I670">
        <v>9</v>
      </c>
      <c r="J670">
        <v>4</v>
      </c>
      <c r="K670" t="s">
        <v>42</v>
      </c>
      <c r="L670">
        <v>1</v>
      </c>
      <c r="M670">
        <v>496</v>
      </c>
      <c r="N670">
        <v>3</v>
      </c>
      <c r="O670" t="s">
        <v>43</v>
      </c>
      <c r="P670">
        <v>97</v>
      </c>
      <c r="Q670">
        <v>2</v>
      </c>
      <c r="R670">
        <v>2</v>
      </c>
      <c r="S670" t="s">
        <v>160</v>
      </c>
      <c r="T670">
        <v>2</v>
      </c>
      <c r="U670" t="s">
        <v>45</v>
      </c>
      <c r="V670">
        <v>6540</v>
      </c>
      <c r="W670" t="s">
        <v>162</v>
      </c>
      <c r="X670">
        <v>19394</v>
      </c>
      <c r="Y670">
        <v>9</v>
      </c>
      <c r="Z670" t="s">
        <v>47</v>
      </c>
      <c r="AA670" t="s">
        <v>48</v>
      </c>
      <c r="AB670">
        <v>19</v>
      </c>
      <c r="AC670">
        <v>3</v>
      </c>
      <c r="AD670">
        <v>3</v>
      </c>
      <c r="AE670">
        <v>80</v>
      </c>
      <c r="AF670">
        <v>0</v>
      </c>
      <c r="AG670">
        <v>10</v>
      </c>
      <c r="AH670">
        <v>5</v>
      </c>
      <c r="AI670">
        <v>3</v>
      </c>
      <c r="AJ670">
        <v>1</v>
      </c>
      <c r="AK670">
        <v>1</v>
      </c>
      <c r="AL670">
        <v>0</v>
      </c>
    </row>
    <row r="671" spans="1:38" x14ac:dyDescent="0.3">
      <c r="A671" t="s">
        <v>739</v>
      </c>
      <c r="B671">
        <v>35</v>
      </c>
      <c r="C671" t="s">
        <v>189</v>
      </c>
      <c r="D671" t="s">
        <v>48</v>
      </c>
      <c r="E671">
        <f t="shared" si="10"/>
        <v>0</v>
      </c>
      <c r="F671" t="s">
        <v>40</v>
      </c>
      <c r="G671">
        <v>144</v>
      </c>
      <c r="H671" t="s">
        <v>41</v>
      </c>
      <c r="I671">
        <v>22</v>
      </c>
      <c r="J671">
        <v>3</v>
      </c>
      <c r="K671" t="s">
        <v>42</v>
      </c>
      <c r="L671">
        <v>1</v>
      </c>
      <c r="M671">
        <v>577</v>
      </c>
      <c r="N671">
        <v>4</v>
      </c>
      <c r="O671" t="s">
        <v>43</v>
      </c>
      <c r="P671">
        <v>46</v>
      </c>
      <c r="Q671">
        <v>1</v>
      </c>
      <c r="R671">
        <v>1</v>
      </c>
      <c r="S671" t="s">
        <v>44</v>
      </c>
      <c r="T671">
        <v>3</v>
      </c>
      <c r="U671" t="s">
        <v>45</v>
      </c>
      <c r="V671">
        <v>4230</v>
      </c>
      <c r="W671" t="s">
        <v>46</v>
      </c>
      <c r="X671">
        <v>19225</v>
      </c>
      <c r="Y671">
        <v>0</v>
      </c>
      <c r="Z671" t="s">
        <v>47</v>
      </c>
      <c r="AA671" t="s">
        <v>48</v>
      </c>
      <c r="AB671">
        <v>15</v>
      </c>
      <c r="AC671">
        <v>3</v>
      </c>
      <c r="AD671">
        <v>3</v>
      </c>
      <c r="AE671">
        <v>80</v>
      </c>
      <c r="AF671">
        <v>0</v>
      </c>
      <c r="AG671">
        <v>6</v>
      </c>
      <c r="AH671">
        <v>2</v>
      </c>
      <c r="AI671">
        <v>3</v>
      </c>
      <c r="AJ671">
        <v>5</v>
      </c>
      <c r="AK671">
        <v>4</v>
      </c>
      <c r="AL671">
        <v>4</v>
      </c>
    </row>
    <row r="672" spans="1:38" x14ac:dyDescent="0.3">
      <c r="A672" t="s">
        <v>740</v>
      </c>
      <c r="B672">
        <v>35</v>
      </c>
      <c r="C672" t="s">
        <v>189</v>
      </c>
      <c r="D672" t="s">
        <v>48</v>
      </c>
      <c r="E672">
        <f t="shared" si="10"/>
        <v>0</v>
      </c>
      <c r="F672" t="s">
        <v>40</v>
      </c>
      <c r="G672">
        <v>1276</v>
      </c>
      <c r="H672" t="s">
        <v>41</v>
      </c>
      <c r="I672">
        <v>16</v>
      </c>
      <c r="J672">
        <v>3</v>
      </c>
      <c r="K672" t="s">
        <v>42</v>
      </c>
      <c r="L672">
        <v>1</v>
      </c>
      <c r="M672">
        <v>586</v>
      </c>
      <c r="N672">
        <v>4</v>
      </c>
      <c r="O672" t="s">
        <v>43</v>
      </c>
      <c r="P672">
        <v>72</v>
      </c>
      <c r="Q672">
        <v>3</v>
      </c>
      <c r="R672">
        <v>3</v>
      </c>
      <c r="S672" t="s">
        <v>160</v>
      </c>
      <c r="T672">
        <v>3</v>
      </c>
      <c r="U672" t="s">
        <v>104</v>
      </c>
      <c r="V672">
        <v>7632</v>
      </c>
      <c r="W672" t="s">
        <v>162</v>
      </c>
      <c r="X672">
        <v>14295</v>
      </c>
      <c r="Y672">
        <v>4</v>
      </c>
      <c r="Z672" t="s">
        <v>47</v>
      </c>
      <c r="AA672" t="s">
        <v>39</v>
      </c>
      <c r="AB672">
        <v>12</v>
      </c>
      <c r="AC672">
        <v>3</v>
      </c>
      <c r="AD672">
        <v>3</v>
      </c>
      <c r="AE672">
        <v>80</v>
      </c>
      <c r="AF672">
        <v>0</v>
      </c>
      <c r="AG672">
        <v>10</v>
      </c>
      <c r="AH672">
        <v>2</v>
      </c>
      <c r="AI672">
        <v>3</v>
      </c>
      <c r="AJ672">
        <v>8</v>
      </c>
      <c r="AK672">
        <v>7</v>
      </c>
      <c r="AL672">
        <v>0</v>
      </c>
    </row>
    <row r="673" spans="1:38" x14ac:dyDescent="0.3">
      <c r="A673" t="s">
        <v>741</v>
      </c>
      <c r="B673">
        <v>35</v>
      </c>
      <c r="C673" t="s">
        <v>189</v>
      </c>
      <c r="D673" t="s">
        <v>48</v>
      </c>
      <c r="E673">
        <f t="shared" si="10"/>
        <v>0</v>
      </c>
      <c r="F673" t="s">
        <v>40</v>
      </c>
      <c r="G673">
        <v>619</v>
      </c>
      <c r="H673" t="s">
        <v>50</v>
      </c>
      <c r="I673">
        <v>1</v>
      </c>
      <c r="J673">
        <v>3</v>
      </c>
      <c r="K673" t="s">
        <v>56</v>
      </c>
      <c r="L673">
        <v>1</v>
      </c>
      <c r="M673">
        <v>600</v>
      </c>
      <c r="N673">
        <v>2</v>
      </c>
      <c r="O673" t="s">
        <v>43</v>
      </c>
      <c r="P673">
        <v>85</v>
      </c>
      <c r="Q673">
        <v>3</v>
      </c>
      <c r="R673">
        <v>2</v>
      </c>
      <c r="S673" t="s">
        <v>136</v>
      </c>
      <c r="T673">
        <v>3</v>
      </c>
      <c r="U673" t="s">
        <v>104</v>
      </c>
      <c r="V673">
        <v>4717</v>
      </c>
      <c r="W673" t="s">
        <v>46</v>
      </c>
      <c r="X673">
        <v>18659</v>
      </c>
      <c r="Y673">
        <v>9</v>
      </c>
      <c r="Z673" t="s">
        <v>47</v>
      </c>
      <c r="AA673" t="s">
        <v>48</v>
      </c>
      <c r="AB673">
        <v>11</v>
      </c>
      <c r="AC673">
        <v>3</v>
      </c>
      <c r="AD673">
        <v>3</v>
      </c>
      <c r="AE673">
        <v>80</v>
      </c>
      <c r="AF673">
        <v>0</v>
      </c>
      <c r="AG673">
        <v>15</v>
      </c>
      <c r="AH673">
        <v>2</v>
      </c>
      <c r="AI673">
        <v>3</v>
      </c>
      <c r="AJ673">
        <v>11</v>
      </c>
      <c r="AK673">
        <v>9</v>
      </c>
      <c r="AL673">
        <v>6</v>
      </c>
    </row>
    <row r="674" spans="1:38" x14ac:dyDescent="0.3">
      <c r="A674" t="s">
        <v>742</v>
      </c>
      <c r="B674">
        <v>35</v>
      </c>
      <c r="C674" t="s">
        <v>189</v>
      </c>
      <c r="D674" t="s">
        <v>48</v>
      </c>
      <c r="E674">
        <f t="shared" si="10"/>
        <v>0</v>
      </c>
      <c r="F674" t="s">
        <v>40</v>
      </c>
      <c r="G674">
        <v>195</v>
      </c>
      <c r="H674" t="s">
        <v>50</v>
      </c>
      <c r="I674">
        <v>1</v>
      </c>
      <c r="J674">
        <v>3</v>
      </c>
      <c r="K674" t="s">
        <v>51</v>
      </c>
      <c r="L674">
        <v>1</v>
      </c>
      <c r="M674">
        <v>620</v>
      </c>
      <c r="N674">
        <v>1</v>
      </c>
      <c r="O674" t="s">
        <v>52</v>
      </c>
      <c r="P674">
        <v>80</v>
      </c>
      <c r="Q674">
        <v>3</v>
      </c>
      <c r="R674">
        <v>2</v>
      </c>
      <c r="S674" t="s">
        <v>136</v>
      </c>
      <c r="T674">
        <v>3</v>
      </c>
      <c r="U674" t="s">
        <v>45</v>
      </c>
      <c r="V674">
        <v>4859</v>
      </c>
      <c r="W674" t="s">
        <v>46</v>
      </c>
      <c r="X674">
        <v>6698</v>
      </c>
      <c r="Y674">
        <v>1</v>
      </c>
      <c r="Z674" t="s">
        <v>47</v>
      </c>
      <c r="AA674" t="s">
        <v>48</v>
      </c>
      <c r="AB674">
        <v>16</v>
      </c>
      <c r="AC674">
        <v>3</v>
      </c>
      <c r="AD674">
        <v>4</v>
      </c>
      <c r="AE674">
        <v>80</v>
      </c>
      <c r="AF674">
        <v>0</v>
      </c>
      <c r="AG674">
        <v>5</v>
      </c>
      <c r="AH674">
        <v>3</v>
      </c>
      <c r="AI674">
        <v>3</v>
      </c>
      <c r="AJ674">
        <v>5</v>
      </c>
      <c r="AK674">
        <v>4</v>
      </c>
      <c r="AL674">
        <v>0</v>
      </c>
    </row>
    <row r="675" spans="1:38" x14ac:dyDescent="0.3">
      <c r="A675" t="s">
        <v>743</v>
      </c>
      <c r="B675">
        <v>35</v>
      </c>
      <c r="C675" t="s">
        <v>189</v>
      </c>
      <c r="D675" t="s">
        <v>48</v>
      </c>
      <c r="E675">
        <f t="shared" si="10"/>
        <v>0</v>
      </c>
      <c r="F675" t="s">
        <v>40</v>
      </c>
      <c r="G675">
        <v>538</v>
      </c>
      <c r="H675" t="s">
        <v>41</v>
      </c>
      <c r="I675">
        <v>25</v>
      </c>
      <c r="J675">
        <v>2</v>
      </c>
      <c r="K675" t="s">
        <v>72</v>
      </c>
      <c r="L675">
        <v>1</v>
      </c>
      <c r="M675">
        <v>652</v>
      </c>
      <c r="N675">
        <v>1</v>
      </c>
      <c r="O675" t="s">
        <v>43</v>
      </c>
      <c r="P675">
        <v>54</v>
      </c>
      <c r="Q675">
        <v>2</v>
      </c>
      <c r="R675">
        <v>2</v>
      </c>
      <c r="S675" t="s">
        <v>44</v>
      </c>
      <c r="T675">
        <v>4</v>
      </c>
      <c r="U675" t="s">
        <v>45</v>
      </c>
      <c r="V675">
        <v>3681</v>
      </c>
      <c r="W675" t="s">
        <v>46</v>
      </c>
      <c r="X675">
        <v>14004</v>
      </c>
      <c r="Y675">
        <v>4</v>
      </c>
      <c r="Z675" t="s">
        <v>47</v>
      </c>
      <c r="AA675" t="s">
        <v>48</v>
      </c>
      <c r="AB675">
        <v>14</v>
      </c>
      <c r="AC675">
        <v>3</v>
      </c>
      <c r="AD675">
        <v>4</v>
      </c>
      <c r="AE675">
        <v>80</v>
      </c>
      <c r="AF675">
        <v>0</v>
      </c>
      <c r="AG675">
        <v>9</v>
      </c>
      <c r="AH675">
        <v>3</v>
      </c>
      <c r="AI675">
        <v>3</v>
      </c>
      <c r="AJ675">
        <v>3</v>
      </c>
      <c r="AK675">
        <v>2</v>
      </c>
      <c r="AL675">
        <v>0</v>
      </c>
    </row>
    <row r="676" spans="1:38" x14ac:dyDescent="0.3">
      <c r="A676" t="s">
        <v>744</v>
      </c>
      <c r="B676">
        <v>35</v>
      </c>
      <c r="C676" t="s">
        <v>189</v>
      </c>
      <c r="D676" t="s">
        <v>48</v>
      </c>
      <c r="E676">
        <f t="shared" si="10"/>
        <v>0</v>
      </c>
      <c r="F676" t="s">
        <v>40</v>
      </c>
      <c r="G676">
        <v>1017</v>
      </c>
      <c r="H676" t="s">
        <v>41</v>
      </c>
      <c r="I676">
        <v>6</v>
      </c>
      <c r="J676">
        <v>4</v>
      </c>
      <c r="K676" t="s">
        <v>42</v>
      </c>
      <c r="L676">
        <v>1</v>
      </c>
      <c r="M676">
        <v>691</v>
      </c>
      <c r="N676">
        <v>2</v>
      </c>
      <c r="O676" t="s">
        <v>43</v>
      </c>
      <c r="P676">
        <v>82</v>
      </c>
      <c r="Q676">
        <v>1</v>
      </c>
      <c r="R676">
        <v>2</v>
      </c>
      <c r="S676" t="s">
        <v>59</v>
      </c>
      <c r="T676">
        <v>4</v>
      </c>
      <c r="U676" t="s">
        <v>45</v>
      </c>
      <c r="V676">
        <v>6646</v>
      </c>
      <c r="W676" t="s">
        <v>162</v>
      </c>
      <c r="X676">
        <v>19368</v>
      </c>
      <c r="Y676">
        <v>1</v>
      </c>
      <c r="Z676" t="s">
        <v>47</v>
      </c>
      <c r="AA676" t="s">
        <v>48</v>
      </c>
      <c r="AB676">
        <v>13</v>
      </c>
      <c r="AC676">
        <v>3</v>
      </c>
      <c r="AD676">
        <v>2</v>
      </c>
      <c r="AE676">
        <v>80</v>
      </c>
      <c r="AF676">
        <v>0</v>
      </c>
      <c r="AG676">
        <v>17</v>
      </c>
      <c r="AH676">
        <v>3</v>
      </c>
      <c r="AI676">
        <v>3</v>
      </c>
      <c r="AJ676">
        <v>17</v>
      </c>
      <c r="AK676">
        <v>11</v>
      </c>
      <c r="AL676">
        <v>11</v>
      </c>
    </row>
    <row r="677" spans="1:38" x14ac:dyDescent="0.3">
      <c r="A677" t="s">
        <v>745</v>
      </c>
      <c r="B677">
        <v>35</v>
      </c>
      <c r="C677" t="s">
        <v>189</v>
      </c>
      <c r="D677" t="s">
        <v>48</v>
      </c>
      <c r="E677">
        <f t="shared" si="10"/>
        <v>0</v>
      </c>
      <c r="F677" t="s">
        <v>58</v>
      </c>
      <c r="G677">
        <v>727</v>
      </c>
      <c r="H677" t="s">
        <v>41</v>
      </c>
      <c r="I677">
        <v>3</v>
      </c>
      <c r="J677">
        <v>3</v>
      </c>
      <c r="K677" t="s">
        <v>42</v>
      </c>
      <c r="L677">
        <v>1</v>
      </c>
      <c r="M677">
        <v>704</v>
      </c>
      <c r="N677">
        <v>3</v>
      </c>
      <c r="O677" t="s">
        <v>43</v>
      </c>
      <c r="P677">
        <v>41</v>
      </c>
      <c r="Q677">
        <v>2</v>
      </c>
      <c r="R677">
        <v>1</v>
      </c>
      <c r="S677" t="s">
        <v>44</v>
      </c>
      <c r="T677">
        <v>3</v>
      </c>
      <c r="U677" t="s">
        <v>104</v>
      </c>
      <c r="V677">
        <v>1281</v>
      </c>
      <c r="W677" t="s">
        <v>46</v>
      </c>
      <c r="X677">
        <v>16900</v>
      </c>
      <c r="Y677">
        <v>1</v>
      </c>
      <c r="Z677" t="s">
        <v>47</v>
      </c>
      <c r="AA677" t="s">
        <v>48</v>
      </c>
      <c r="AB677">
        <v>18</v>
      </c>
      <c r="AC677">
        <v>3</v>
      </c>
      <c r="AD677">
        <v>3</v>
      </c>
      <c r="AE677">
        <v>80</v>
      </c>
      <c r="AF677">
        <v>2</v>
      </c>
      <c r="AG677">
        <v>1</v>
      </c>
      <c r="AH677">
        <v>3</v>
      </c>
      <c r="AI677">
        <v>3</v>
      </c>
      <c r="AJ677">
        <v>1</v>
      </c>
      <c r="AK677">
        <v>0</v>
      </c>
      <c r="AL677">
        <v>0</v>
      </c>
    </row>
    <row r="678" spans="1:38" x14ac:dyDescent="0.3">
      <c r="A678" t="s">
        <v>746</v>
      </c>
      <c r="B678">
        <v>35</v>
      </c>
      <c r="C678" t="s">
        <v>189</v>
      </c>
      <c r="D678" t="s">
        <v>48</v>
      </c>
      <c r="E678">
        <f t="shared" si="10"/>
        <v>0</v>
      </c>
      <c r="F678" t="s">
        <v>58</v>
      </c>
      <c r="G678">
        <v>1225</v>
      </c>
      <c r="H678" t="s">
        <v>41</v>
      </c>
      <c r="I678">
        <v>2</v>
      </c>
      <c r="J678">
        <v>4</v>
      </c>
      <c r="K678" t="s">
        <v>42</v>
      </c>
      <c r="L678">
        <v>1</v>
      </c>
      <c r="M678">
        <v>771</v>
      </c>
      <c r="N678">
        <v>4</v>
      </c>
      <c r="O678" t="s">
        <v>52</v>
      </c>
      <c r="P678">
        <v>61</v>
      </c>
      <c r="Q678">
        <v>3</v>
      </c>
      <c r="R678">
        <v>2</v>
      </c>
      <c r="S678" t="s">
        <v>160</v>
      </c>
      <c r="T678">
        <v>1</v>
      </c>
      <c r="U678" t="s">
        <v>101</v>
      </c>
      <c r="V678">
        <v>5093</v>
      </c>
      <c r="W678" t="s">
        <v>162</v>
      </c>
      <c r="X678">
        <v>4761</v>
      </c>
      <c r="Y678">
        <v>2</v>
      </c>
      <c r="Z678" t="s">
        <v>47</v>
      </c>
      <c r="AA678" t="s">
        <v>48</v>
      </c>
      <c r="AB678">
        <v>11</v>
      </c>
      <c r="AC678">
        <v>3</v>
      </c>
      <c r="AD678">
        <v>1</v>
      </c>
      <c r="AE678">
        <v>80</v>
      </c>
      <c r="AF678">
        <v>1</v>
      </c>
      <c r="AG678">
        <v>16</v>
      </c>
      <c r="AH678">
        <v>2</v>
      </c>
      <c r="AI678">
        <v>4</v>
      </c>
      <c r="AJ678">
        <v>1</v>
      </c>
      <c r="AK678">
        <v>0</v>
      </c>
      <c r="AL678">
        <v>0</v>
      </c>
    </row>
    <row r="679" spans="1:38" x14ac:dyDescent="0.3">
      <c r="A679" t="s">
        <v>747</v>
      </c>
      <c r="B679">
        <v>35</v>
      </c>
      <c r="C679" t="s">
        <v>189</v>
      </c>
      <c r="D679" t="s">
        <v>48</v>
      </c>
      <c r="E679">
        <f t="shared" si="10"/>
        <v>0</v>
      </c>
      <c r="F679" t="s">
        <v>40</v>
      </c>
      <c r="G679">
        <v>384</v>
      </c>
      <c r="H679" t="s">
        <v>50</v>
      </c>
      <c r="I679">
        <v>8</v>
      </c>
      <c r="J679">
        <v>4</v>
      </c>
      <c r="K679" t="s">
        <v>42</v>
      </c>
      <c r="L679">
        <v>1</v>
      </c>
      <c r="M679">
        <v>805</v>
      </c>
      <c r="N679">
        <v>1</v>
      </c>
      <c r="O679" t="s">
        <v>52</v>
      </c>
      <c r="P679">
        <v>72</v>
      </c>
      <c r="Q679">
        <v>3</v>
      </c>
      <c r="R679">
        <v>1</v>
      </c>
      <c r="S679" t="s">
        <v>53</v>
      </c>
      <c r="T679">
        <v>4</v>
      </c>
      <c r="U679" t="s">
        <v>104</v>
      </c>
      <c r="V679">
        <v>2572</v>
      </c>
      <c r="W679" t="s">
        <v>46</v>
      </c>
      <c r="X679">
        <v>20317</v>
      </c>
      <c r="Y679">
        <v>1</v>
      </c>
      <c r="Z679" t="s">
        <v>47</v>
      </c>
      <c r="AA679" t="s">
        <v>48</v>
      </c>
      <c r="AB679">
        <v>16</v>
      </c>
      <c r="AC679">
        <v>3</v>
      </c>
      <c r="AD679">
        <v>2</v>
      </c>
      <c r="AE679">
        <v>80</v>
      </c>
      <c r="AF679">
        <v>1</v>
      </c>
      <c r="AG679">
        <v>3</v>
      </c>
      <c r="AH679">
        <v>1</v>
      </c>
      <c r="AI679">
        <v>2</v>
      </c>
      <c r="AJ679">
        <v>3</v>
      </c>
      <c r="AK679">
        <v>2</v>
      </c>
      <c r="AL679">
        <v>0</v>
      </c>
    </row>
    <row r="680" spans="1:38" x14ac:dyDescent="0.3">
      <c r="A680" t="s">
        <v>748</v>
      </c>
      <c r="B680">
        <v>35</v>
      </c>
      <c r="C680" t="s">
        <v>189</v>
      </c>
      <c r="D680" t="s">
        <v>48</v>
      </c>
      <c r="E680">
        <f t="shared" si="10"/>
        <v>0</v>
      </c>
      <c r="F680" t="s">
        <v>40</v>
      </c>
      <c r="G680">
        <v>1258</v>
      </c>
      <c r="H680" t="s">
        <v>41</v>
      </c>
      <c r="I680">
        <v>1</v>
      </c>
      <c r="J680">
        <v>4</v>
      </c>
      <c r="K680" t="s">
        <v>42</v>
      </c>
      <c r="L680">
        <v>1</v>
      </c>
      <c r="M680">
        <v>826</v>
      </c>
      <c r="N680">
        <v>4</v>
      </c>
      <c r="O680" t="s">
        <v>52</v>
      </c>
      <c r="P680">
        <v>40</v>
      </c>
      <c r="Q680">
        <v>4</v>
      </c>
      <c r="R680">
        <v>1</v>
      </c>
      <c r="S680" t="s">
        <v>59</v>
      </c>
      <c r="T680">
        <v>3</v>
      </c>
      <c r="U680" t="s">
        <v>45</v>
      </c>
      <c r="V680">
        <v>2506</v>
      </c>
      <c r="W680" t="s">
        <v>46</v>
      </c>
      <c r="X680">
        <v>13301</v>
      </c>
      <c r="Y680">
        <v>3</v>
      </c>
      <c r="Z680" t="s">
        <v>47</v>
      </c>
      <c r="AA680" t="s">
        <v>48</v>
      </c>
      <c r="AB680">
        <v>13</v>
      </c>
      <c r="AC680">
        <v>3</v>
      </c>
      <c r="AD680">
        <v>3</v>
      </c>
      <c r="AE680">
        <v>80</v>
      </c>
      <c r="AF680">
        <v>0</v>
      </c>
      <c r="AG680">
        <v>7</v>
      </c>
      <c r="AH680">
        <v>0</v>
      </c>
      <c r="AI680">
        <v>3</v>
      </c>
      <c r="AJ680">
        <v>2</v>
      </c>
      <c r="AK680">
        <v>2</v>
      </c>
      <c r="AL680">
        <v>2</v>
      </c>
    </row>
    <row r="681" spans="1:38" x14ac:dyDescent="0.3">
      <c r="A681" t="s">
        <v>749</v>
      </c>
      <c r="B681">
        <v>35</v>
      </c>
      <c r="C681" t="s">
        <v>189</v>
      </c>
      <c r="D681" t="s">
        <v>48</v>
      </c>
      <c r="E681">
        <f t="shared" si="10"/>
        <v>0</v>
      </c>
      <c r="F681" t="s">
        <v>40</v>
      </c>
      <c r="G681">
        <v>950</v>
      </c>
      <c r="H681" t="s">
        <v>41</v>
      </c>
      <c r="I681">
        <v>7</v>
      </c>
      <c r="J681">
        <v>3</v>
      </c>
      <c r="K681" t="s">
        <v>72</v>
      </c>
      <c r="L681">
        <v>1</v>
      </c>
      <c r="M681">
        <v>845</v>
      </c>
      <c r="N681">
        <v>3</v>
      </c>
      <c r="O681" t="s">
        <v>43</v>
      </c>
      <c r="P681">
        <v>59</v>
      </c>
      <c r="Q681">
        <v>3</v>
      </c>
      <c r="R681">
        <v>3</v>
      </c>
      <c r="S681" t="s">
        <v>111</v>
      </c>
      <c r="T681">
        <v>3</v>
      </c>
      <c r="U681" t="s">
        <v>45</v>
      </c>
      <c r="V681">
        <v>10221</v>
      </c>
      <c r="W681" t="s">
        <v>252</v>
      </c>
      <c r="X681">
        <v>18869</v>
      </c>
      <c r="Y681">
        <v>3</v>
      </c>
      <c r="Z681" t="s">
        <v>47</v>
      </c>
      <c r="AA681" t="s">
        <v>48</v>
      </c>
      <c r="AB681">
        <v>21</v>
      </c>
      <c r="AC681">
        <v>4</v>
      </c>
      <c r="AD681">
        <v>2</v>
      </c>
      <c r="AE681">
        <v>80</v>
      </c>
      <c r="AF681">
        <v>0</v>
      </c>
      <c r="AG681">
        <v>17</v>
      </c>
      <c r="AH681">
        <v>3</v>
      </c>
      <c r="AI681">
        <v>4</v>
      </c>
      <c r="AJ681">
        <v>8</v>
      </c>
      <c r="AK681">
        <v>5</v>
      </c>
      <c r="AL681">
        <v>1</v>
      </c>
    </row>
    <row r="682" spans="1:38" x14ac:dyDescent="0.3">
      <c r="A682" t="s">
        <v>750</v>
      </c>
      <c r="B682">
        <v>35</v>
      </c>
      <c r="C682" t="s">
        <v>189</v>
      </c>
      <c r="D682" t="s">
        <v>48</v>
      </c>
      <c r="E682">
        <f t="shared" si="10"/>
        <v>0</v>
      </c>
      <c r="F682" t="s">
        <v>40</v>
      </c>
      <c r="G682">
        <v>1343</v>
      </c>
      <c r="H682" t="s">
        <v>41</v>
      </c>
      <c r="I682">
        <v>27</v>
      </c>
      <c r="J682">
        <v>1</v>
      </c>
      <c r="K682" t="s">
        <v>51</v>
      </c>
      <c r="L682">
        <v>1</v>
      </c>
      <c r="M682">
        <v>856</v>
      </c>
      <c r="N682">
        <v>3</v>
      </c>
      <c r="O682" t="s">
        <v>52</v>
      </c>
      <c r="P682">
        <v>53</v>
      </c>
      <c r="Q682">
        <v>2</v>
      </c>
      <c r="R682">
        <v>1</v>
      </c>
      <c r="S682" t="s">
        <v>59</v>
      </c>
      <c r="T682">
        <v>1</v>
      </c>
      <c r="U682" t="s">
        <v>45</v>
      </c>
      <c r="V682">
        <v>2559</v>
      </c>
      <c r="W682" t="s">
        <v>46</v>
      </c>
      <c r="X682">
        <v>17852</v>
      </c>
      <c r="Y682">
        <v>1</v>
      </c>
      <c r="Z682" t="s">
        <v>47</v>
      </c>
      <c r="AA682" t="s">
        <v>48</v>
      </c>
      <c r="AB682">
        <v>11</v>
      </c>
      <c r="AC682">
        <v>3</v>
      </c>
      <c r="AD682">
        <v>4</v>
      </c>
      <c r="AE682">
        <v>80</v>
      </c>
      <c r="AF682">
        <v>0</v>
      </c>
      <c r="AG682">
        <v>6</v>
      </c>
      <c r="AH682">
        <v>3</v>
      </c>
      <c r="AI682">
        <v>2</v>
      </c>
      <c r="AJ682">
        <v>6</v>
      </c>
      <c r="AK682">
        <v>5</v>
      </c>
      <c r="AL682">
        <v>1</v>
      </c>
    </row>
    <row r="683" spans="1:38" x14ac:dyDescent="0.3">
      <c r="A683" t="s">
        <v>751</v>
      </c>
      <c r="B683">
        <v>35</v>
      </c>
      <c r="C683" t="s">
        <v>189</v>
      </c>
      <c r="D683" t="s">
        <v>48</v>
      </c>
      <c r="E683">
        <f t="shared" si="10"/>
        <v>0</v>
      </c>
      <c r="F683" t="s">
        <v>40</v>
      </c>
      <c r="G683">
        <v>607</v>
      </c>
      <c r="H683" t="s">
        <v>41</v>
      </c>
      <c r="I683">
        <v>9</v>
      </c>
      <c r="J683">
        <v>3</v>
      </c>
      <c r="K683" t="s">
        <v>42</v>
      </c>
      <c r="L683">
        <v>1</v>
      </c>
      <c r="M683">
        <v>880</v>
      </c>
      <c r="N683">
        <v>4</v>
      </c>
      <c r="O683" t="s">
        <v>52</v>
      </c>
      <c r="P683">
        <v>66</v>
      </c>
      <c r="Q683">
        <v>2</v>
      </c>
      <c r="R683">
        <v>3</v>
      </c>
      <c r="S683" t="s">
        <v>111</v>
      </c>
      <c r="T683">
        <v>3</v>
      </c>
      <c r="U683" t="s">
        <v>104</v>
      </c>
      <c r="V683">
        <v>10685</v>
      </c>
      <c r="W683" t="s">
        <v>252</v>
      </c>
      <c r="X683">
        <v>23457</v>
      </c>
      <c r="Y683">
        <v>1</v>
      </c>
      <c r="Z683" t="s">
        <v>47</v>
      </c>
      <c r="AA683" t="s">
        <v>39</v>
      </c>
      <c r="AB683">
        <v>20</v>
      </c>
      <c r="AC683">
        <v>4</v>
      </c>
      <c r="AD683">
        <v>2</v>
      </c>
      <c r="AE683">
        <v>80</v>
      </c>
      <c r="AF683">
        <v>1</v>
      </c>
      <c r="AG683">
        <v>17</v>
      </c>
      <c r="AH683">
        <v>2</v>
      </c>
      <c r="AI683">
        <v>3</v>
      </c>
      <c r="AJ683">
        <v>17</v>
      </c>
      <c r="AK683">
        <v>14</v>
      </c>
      <c r="AL683">
        <v>5</v>
      </c>
    </row>
    <row r="684" spans="1:38" x14ac:dyDescent="0.3">
      <c r="A684" t="s">
        <v>752</v>
      </c>
      <c r="B684">
        <v>35</v>
      </c>
      <c r="C684" t="s">
        <v>189</v>
      </c>
      <c r="D684" t="s">
        <v>39</v>
      </c>
      <c r="E684">
        <f t="shared" si="10"/>
        <v>1</v>
      </c>
      <c r="F684" t="s">
        <v>55</v>
      </c>
      <c r="G684">
        <v>130</v>
      </c>
      <c r="H684" t="s">
        <v>41</v>
      </c>
      <c r="I684">
        <v>25</v>
      </c>
      <c r="J684">
        <v>4</v>
      </c>
      <c r="K684" t="s">
        <v>42</v>
      </c>
      <c r="L684">
        <v>1</v>
      </c>
      <c r="M684">
        <v>881</v>
      </c>
      <c r="N684">
        <v>4</v>
      </c>
      <c r="O684" t="s">
        <v>52</v>
      </c>
      <c r="P684">
        <v>96</v>
      </c>
      <c r="Q684">
        <v>3</v>
      </c>
      <c r="R684">
        <v>1</v>
      </c>
      <c r="S684" t="s">
        <v>59</v>
      </c>
      <c r="T684">
        <v>2</v>
      </c>
      <c r="U684" t="s">
        <v>101</v>
      </c>
      <c r="V684">
        <v>2022</v>
      </c>
      <c r="W684" t="s">
        <v>46</v>
      </c>
      <c r="X684">
        <v>16612</v>
      </c>
      <c r="Y684">
        <v>1</v>
      </c>
      <c r="Z684" t="s">
        <v>47</v>
      </c>
      <c r="AA684" t="s">
        <v>39</v>
      </c>
      <c r="AB684">
        <v>19</v>
      </c>
      <c r="AC684">
        <v>3</v>
      </c>
      <c r="AD684">
        <v>1</v>
      </c>
      <c r="AE684">
        <v>80</v>
      </c>
      <c r="AF684">
        <v>1</v>
      </c>
      <c r="AG684">
        <v>10</v>
      </c>
      <c r="AH684">
        <v>3</v>
      </c>
      <c r="AI684">
        <v>2</v>
      </c>
      <c r="AJ684">
        <v>10</v>
      </c>
      <c r="AK684">
        <v>2</v>
      </c>
      <c r="AL684">
        <v>7</v>
      </c>
    </row>
    <row r="685" spans="1:38" x14ac:dyDescent="0.3">
      <c r="A685" t="s">
        <v>753</v>
      </c>
      <c r="B685">
        <v>35</v>
      </c>
      <c r="C685" t="s">
        <v>189</v>
      </c>
      <c r="D685" t="s">
        <v>48</v>
      </c>
      <c r="E685">
        <f t="shared" si="10"/>
        <v>0</v>
      </c>
      <c r="F685" t="s">
        <v>40</v>
      </c>
      <c r="G685">
        <v>672</v>
      </c>
      <c r="H685" t="s">
        <v>41</v>
      </c>
      <c r="I685">
        <v>25</v>
      </c>
      <c r="J685">
        <v>3</v>
      </c>
      <c r="K685" t="s">
        <v>67</v>
      </c>
      <c r="L685">
        <v>1</v>
      </c>
      <c r="M685">
        <v>899</v>
      </c>
      <c r="N685">
        <v>4</v>
      </c>
      <c r="O685" t="s">
        <v>43</v>
      </c>
      <c r="P685">
        <v>78</v>
      </c>
      <c r="Q685">
        <v>2</v>
      </c>
      <c r="R685">
        <v>3</v>
      </c>
      <c r="S685" t="s">
        <v>111</v>
      </c>
      <c r="T685">
        <v>2</v>
      </c>
      <c r="U685" t="s">
        <v>104</v>
      </c>
      <c r="V685">
        <v>10903</v>
      </c>
      <c r="W685" t="s">
        <v>252</v>
      </c>
      <c r="X685">
        <v>9129</v>
      </c>
      <c r="Y685">
        <v>3</v>
      </c>
      <c r="Z685" t="s">
        <v>47</v>
      </c>
      <c r="AA685" t="s">
        <v>48</v>
      </c>
      <c r="AB685">
        <v>16</v>
      </c>
      <c r="AC685">
        <v>3</v>
      </c>
      <c r="AD685">
        <v>1</v>
      </c>
      <c r="AE685">
        <v>80</v>
      </c>
      <c r="AF685">
        <v>0</v>
      </c>
      <c r="AG685">
        <v>16</v>
      </c>
      <c r="AH685">
        <v>2</v>
      </c>
      <c r="AI685">
        <v>3</v>
      </c>
      <c r="AJ685">
        <v>13</v>
      </c>
      <c r="AK685">
        <v>10</v>
      </c>
      <c r="AL685">
        <v>4</v>
      </c>
    </row>
    <row r="686" spans="1:38" x14ac:dyDescent="0.3">
      <c r="A686" t="s">
        <v>754</v>
      </c>
      <c r="B686">
        <v>35</v>
      </c>
      <c r="C686" t="s">
        <v>189</v>
      </c>
      <c r="D686" t="s">
        <v>48</v>
      </c>
      <c r="E686">
        <f t="shared" si="10"/>
        <v>0</v>
      </c>
      <c r="F686" t="s">
        <v>40</v>
      </c>
      <c r="G686">
        <v>1137</v>
      </c>
      <c r="H686" t="s">
        <v>41</v>
      </c>
      <c r="I686">
        <v>21</v>
      </c>
      <c r="J686">
        <v>1</v>
      </c>
      <c r="K686" t="s">
        <v>42</v>
      </c>
      <c r="L686">
        <v>1</v>
      </c>
      <c r="M686">
        <v>942</v>
      </c>
      <c r="N686">
        <v>4</v>
      </c>
      <c r="O686" t="s">
        <v>52</v>
      </c>
      <c r="P686">
        <v>51</v>
      </c>
      <c r="Q686">
        <v>3</v>
      </c>
      <c r="R686">
        <v>2</v>
      </c>
      <c r="S686" t="s">
        <v>160</v>
      </c>
      <c r="T686">
        <v>4</v>
      </c>
      <c r="U686" t="s">
        <v>104</v>
      </c>
      <c r="V686">
        <v>4014</v>
      </c>
      <c r="W686" t="s">
        <v>46</v>
      </c>
      <c r="X686">
        <v>19170</v>
      </c>
      <c r="Y686">
        <v>1</v>
      </c>
      <c r="Z686" t="s">
        <v>47</v>
      </c>
      <c r="AA686" t="s">
        <v>39</v>
      </c>
      <c r="AB686">
        <v>25</v>
      </c>
      <c r="AC686">
        <v>4</v>
      </c>
      <c r="AD686">
        <v>4</v>
      </c>
      <c r="AE686">
        <v>80</v>
      </c>
      <c r="AF686">
        <v>1</v>
      </c>
      <c r="AG686">
        <v>10</v>
      </c>
      <c r="AH686">
        <v>2</v>
      </c>
      <c r="AI686">
        <v>1</v>
      </c>
      <c r="AJ686">
        <v>10</v>
      </c>
      <c r="AK686">
        <v>6</v>
      </c>
      <c r="AL686">
        <v>0</v>
      </c>
    </row>
    <row r="687" spans="1:38" x14ac:dyDescent="0.3">
      <c r="A687" t="s">
        <v>755</v>
      </c>
      <c r="B687">
        <v>35</v>
      </c>
      <c r="C687" t="s">
        <v>189</v>
      </c>
      <c r="D687" t="s">
        <v>48</v>
      </c>
      <c r="E687">
        <f t="shared" si="10"/>
        <v>0</v>
      </c>
      <c r="F687" t="s">
        <v>40</v>
      </c>
      <c r="G687">
        <v>1219</v>
      </c>
      <c r="H687" t="s">
        <v>50</v>
      </c>
      <c r="I687">
        <v>18</v>
      </c>
      <c r="J687">
        <v>3</v>
      </c>
      <c r="K687" t="s">
        <v>51</v>
      </c>
      <c r="L687">
        <v>1</v>
      </c>
      <c r="M687">
        <v>975</v>
      </c>
      <c r="N687">
        <v>3</v>
      </c>
      <c r="O687" t="s">
        <v>52</v>
      </c>
      <c r="P687">
        <v>86</v>
      </c>
      <c r="Q687">
        <v>3</v>
      </c>
      <c r="R687">
        <v>2</v>
      </c>
      <c r="S687" t="s">
        <v>136</v>
      </c>
      <c r="T687">
        <v>3</v>
      </c>
      <c r="U687" t="s">
        <v>104</v>
      </c>
      <c r="V687">
        <v>4601</v>
      </c>
      <c r="W687" t="s">
        <v>46</v>
      </c>
      <c r="X687">
        <v>6179</v>
      </c>
      <c r="Y687">
        <v>1</v>
      </c>
      <c r="Z687" t="s">
        <v>47</v>
      </c>
      <c r="AA687" t="s">
        <v>48</v>
      </c>
      <c r="AB687">
        <v>16</v>
      </c>
      <c r="AC687">
        <v>3</v>
      </c>
      <c r="AD687">
        <v>2</v>
      </c>
      <c r="AE687">
        <v>80</v>
      </c>
      <c r="AF687">
        <v>0</v>
      </c>
      <c r="AG687">
        <v>5</v>
      </c>
      <c r="AH687">
        <v>3</v>
      </c>
      <c r="AI687">
        <v>3</v>
      </c>
      <c r="AJ687">
        <v>5</v>
      </c>
      <c r="AK687">
        <v>2</v>
      </c>
      <c r="AL687">
        <v>1</v>
      </c>
    </row>
    <row r="688" spans="1:38" x14ac:dyDescent="0.3">
      <c r="A688" t="s">
        <v>756</v>
      </c>
      <c r="B688">
        <v>35</v>
      </c>
      <c r="C688" t="s">
        <v>189</v>
      </c>
      <c r="D688" t="s">
        <v>48</v>
      </c>
      <c r="E688">
        <f t="shared" si="10"/>
        <v>0</v>
      </c>
      <c r="F688" t="s">
        <v>40</v>
      </c>
      <c r="G688">
        <v>882</v>
      </c>
      <c r="H688" t="s">
        <v>50</v>
      </c>
      <c r="I688">
        <v>3</v>
      </c>
      <c r="J688">
        <v>4</v>
      </c>
      <c r="K688" t="s">
        <v>42</v>
      </c>
      <c r="L688">
        <v>1</v>
      </c>
      <c r="M688">
        <v>984</v>
      </c>
      <c r="N688">
        <v>4</v>
      </c>
      <c r="O688" t="s">
        <v>43</v>
      </c>
      <c r="P688">
        <v>92</v>
      </c>
      <c r="Q688">
        <v>3</v>
      </c>
      <c r="R688">
        <v>3</v>
      </c>
      <c r="S688" t="s">
        <v>136</v>
      </c>
      <c r="T688">
        <v>4</v>
      </c>
      <c r="U688" t="s">
        <v>101</v>
      </c>
      <c r="V688">
        <v>7823</v>
      </c>
      <c r="W688" t="s">
        <v>162</v>
      </c>
      <c r="X688">
        <v>6812</v>
      </c>
      <c r="Y688">
        <v>6</v>
      </c>
      <c r="Z688" t="s">
        <v>47</v>
      </c>
      <c r="AA688" t="s">
        <v>48</v>
      </c>
      <c r="AB688">
        <v>13</v>
      </c>
      <c r="AC688">
        <v>3</v>
      </c>
      <c r="AD688">
        <v>2</v>
      </c>
      <c r="AE688">
        <v>80</v>
      </c>
      <c r="AF688">
        <v>1</v>
      </c>
      <c r="AG688">
        <v>12</v>
      </c>
      <c r="AH688">
        <v>2</v>
      </c>
      <c r="AI688">
        <v>3</v>
      </c>
      <c r="AJ688">
        <v>10</v>
      </c>
      <c r="AK688">
        <v>9</v>
      </c>
      <c r="AL688">
        <v>0</v>
      </c>
    </row>
    <row r="689" spans="1:38" x14ac:dyDescent="0.3">
      <c r="A689" t="s">
        <v>757</v>
      </c>
      <c r="B689">
        <v>35</v>
      </c>
      <c r="C689" t="s">
        <v>189</v>
      </c>
      <c r="D689" t="s">
        <v>39</v>
      </c>
      <c r="E689">
        <f t="shared" si="10"/>
        <v>1</v>
      </c>
      <c r="F689" t="s">
        <v>40</v>
      </c>
      <c r="G689">
        <v>622</v>
      </c>
      <c r="H689" t="s">
        <v>41</v>
      </c>
      <c r="I689">
        <v>14</v>
      </c>
      <c r="J689">
        <v>4</v>
      </c>
      <c r="K689" t="s">
        <v>72</v>
      </c>
      <c r="L689">
        <v>1</v>
      </c>
      <c r="M689">
        <v>1010</v>
      </c>
      <c r="N689">
        <v>3</v>
      </c>
      <c r="O689" t="s">
        <v>43</v>
      </c>
      <c r="P689">
        <v>39</v>
      </c>
      <c r="Q689">
        <v>2</v>
      </c>
      <c r="R689">
        <v>1</v>
      </c>
      <c r="S689" t="s">
        <v>44</v>
      </c>
      <c r="T689">
        <v>2</v>
      </c>
      <c r="U689" t="s">
        <v>101</v>
      </c>
      <c r="V689">
        <v>3743</v>
      </c>
      <c r="W689" t="s">
        <v>46</v>
      </c>
      <c r="X689">
        <v>10074</v>
      </c>
      <c r="Y689">
        <v>1</v>
      </c>
      <c r="Z689" t="s">
        <v>47</v>
      </c>
      <c r="AA689" t="s">
        <v>39</v>
      </c>
      <c r="AB689">
        <v>24</v>
      </c>
      <c r="AC689">
        <v>4</v>
      </c>
      <c r="AD689">
        <v>4</v>
      </c>
      <c r="AE689">
        <v>80</v>
      </c>
      <c r="AF689">
        <v>1</v>
      </c>
      <c r="AG689">
        <v>5</v>
      </c>
      <c r="AH689">
        <v>2</v>
      </c>
      <c r="AI689">
        <v>1</v>
      </c>
      <c r="AJ689">
        <v>4</v>
      </c>
      <c r="AK689">
        <v>2</v>
      </c>
      <c r="AL689">
        <v>0</v>
      </c>
    </row>
    <row r="690" spans="1:38" x14ac:dyDescent="0.3">
      <c r="A690" t="s">
        <v>758</v>
      </c>
      <c r="B690">
        <v>35</v>
      </c>
      <c r="C690" t="s">
        <v>189</v>
      </c>
      <c r="D690" t="s">
        <v>48</v>
      </c>
      <c r="E690">
        <f t="shared" si="10"/>
        <v>0</v>
      </c>
      <c r="F690" t="s">
        <v>40</v>
      </c>
      <c r="G690">
        <v>583</v>
      </c>
      <c r="H690" t="s">
        <v>41</v>
      </c>
      <c r="I690">
        <v>25</v>
      </c>
      <c r="J690">
        <v>4</v>
      </c>
      <c r="K690" t="s">
        <v>51</v>
      </c>
      <c r="L690">
        <v>1</v>
      </c>
      <c r="M690">
        <v>1014</v>
      </c>
      <c r="N690">
        <v>3</v>
      </c>
      <c r="O690" t="s">
        <v>52</v>
      </c>
      <c r="P690">
        <v>57</v>
      </c>
      <c r="Q690">
        <v>3</v>
      </c>
      <c r="R690">
        <v>3</v>
      </c>
      <c r="S690" t="s">
        <v>160</v>
      </c>
      <c r="T690">
        <v>3</v>
      </c>
      <c r="U690" t="s">
        <v>101</v>
      </c>
      <c r="V690">
        <v>10388</v>
      </c>
      <c r="W690" t="s">
        <v>252</v>
      </c>
      <c r="X690">
        <v>6975</v>
      </c>
      <c r="Y690">
        <v>1</v>
      </c>
      <c r="Z690" t="s">
        <v>47</v>
      </c>
      <c r="AA690" t="s">
        <v>39</v>
      </c>
      <c r="AB690">
        <v>11</v>
      </c>
      <c r="AC690">
        <v>3</v>
      </c>
      <c r="AD690">
        <v>3</v>
      </c>
      <c r="AE690">
        <v>80</v>
      </c>
      <c r="AF690">
        <v>1</v>
      </c>
      <c r="AG690">
        <v>16</v>
      </c>
      <c r="AH690">
        <v>3</v>
      </c>
      <c r="AI690">
        <v>2</v>
      </c>
      <c r="AJ690">
        <v>16</v>
      </c>
      <c r="AK690">
        <v>10</v>
      </c>
      <c r="AL690">
        <v>10</v>
      </c>
    </row>
    <row r="691" spans="1:38" x14ac:dyDescent="0.3">
      <c r="A691" t="s">
        <v>759</v>
      </c>
      <c r="B691">
        <v>35</v>
      </c>
      <c r="C691" t="s">
        <v>189</v>
      </c>
      <c r="D691" t="s">
        <v>48</v>
      </c>
      <c r="E691">
        <f t="shared" si="10"/>
        <v>0</v>
      </c>
      <c r="F691" t="s">
        <v>40</v>
      </c>
      <c r="G691">
        <v>802</v>
      </c>
      <c r="H691" t="s">
        <v>41</v>
      </c>
      <c r="I691">
        <v>10</v>
      </c>
      <c r="J691">
        <v>3</v>
      </c>
      <c r="K691" t="s">
        <v>72</v>
      </c>
      <c r="L691">
        <v>1</v>
      </c>
      <c r="M691">
        <v>1028</v>
      </c>
      <c r="N691">
        <v>2</v>
      </c>
      <c r="O691" t="s">
        <v>43</v>
      </c>
      <c r="P691">
        <v>45</v>
      </c>
      <c r="Q691">
        <v>3</v>
      </c>
      <c r="R691">
        <v>1</v>
      </c>
      <c r="S691" t="s">
        <v>44</v>
      </c>
      <c r="T691">
        <v>4</v>
      </c>
      <c r="U691" t="s">
        <v>101</v>
      </c>
      <c r="V691">
        <v>3917</v>
      </c>
      <c r="W691" t="s">
        <v>46</v>
      </c>
      <c r="X691">
        <v>9541</v>
      </c>
      <c r="Y691">
        <v>1</v>
      </c>
      <c r="Z691" t="s">
        <v>47</v>
      </c>
      <c r="AA691" t="s">
        <v>48</v>
      </c>
      <c r="AB691">
        <v>20</v>
      </c>
      <c r="AC691">
        <v>4</v>
      </c>
      <c r="AD691">
        <v>1</v>
      </c>
      <c r="AE691">
        <v>80</v>
      </c>
      <c r="AF691">
        <v>1</v>
      </c>
      <c r="AG691">
        <v>3</v>
      </c>
      <c r="AH691">
        <v>4</v>
      </c>
      <c r="AI691">
        <v>2</v>
      </c>
      <c r="AJ691">
        <v>3</v>
      </c>
      <c r="AK691">
        <v>2</v>
      </c>
      <c r="AL691">
        <v>1</v>
      </c>
    </row>
    <row r="692" spans="1:38" x14ac:dyDescent="0.3">
      <c r="A692" t="s">
        <v>760</v>
      </c>
      <c r="B692">
        <v>35</v>
      </c>
      <c r="C692" t="s">
        <v>189</v>
      </c>
      <c r="D692" t="s">
        <v>39</v>
      </c>
      <c r="E692">
        <f t="shared" si="10"/>
        <v>1</v>
      </c>
      <c r="F692" t="s">
        <v>40</v>
      </c>
      <c r="G692">
        <v>1204</v>
      </c>
      <c r="H692" t="s">
        <v>50</v>
      </c>
      <c r="I692">
        <v>4</v>
      </c>
      <c r="J692">
        <v>3</v>
      </c>
      <c r="K692" t="s">
        <v>67</v>
      </c>
      <c r="L692">
        <v>1</v>
      </c>
      <c r="M692">
        <v>1100</v>
      </c>
      <c r="N692">
        <v>4</v>
      </c>
      <c r="O692" t="s">
        <v>43</v>
      </c>
      <c r="P692">
        <v>86</v>
      </c>
      <c r="Q692">
        <v>3</v>
      </c>
      <c r="R692">
        <v>3</v>
      </c>
      <c r="S692" t="s">
        <v>136</v>
      </c>
      <c r="T692">
        <v>1</v>
      </c>
      <c r="U692" t="s">
        <v>45</v>
      </c>
      <c r="V692">
        <v>9582</v>
      </c>
      <c r="W692" t="s">
        <v>162</v>
      </c>
      <c r="X692">
        <v>10333</v>
      </c>
      <c r="Y692">
        <v>0</v>
      </c>
      <c r="Z692" t="s">
        <v>47</v>
      </c>
      <c r="AA692" t="s">
        <v>39</v>
      </c>
      <c r="AB692">
        <v>22</v>
      </c>
      <c r="AC692">
        <v>4</v>
      </c>
      <c r="AD692">
        <v>1</v>
      </c>
      <c r="AE692">
        <v>80</v>
      </c>
      <c r="AF692">
        <v>0</v>
      </c>
      <c r="AG692">
        <v>9</v>
      </c>
      <c r="AH692">
        <v>2</v>
      </c>
      <c r="AI692">
        <v>3</v>
      </c>
      <c r="AJ692">
        <v>8</v>
      </c>
      <c r="AK692">
        <v>7</v>
      </c>
      <c r="AL692">
        <v>4</v>
      </c>
    </row>
    <row r="693" spans="1:38" x14ac:dyDescent="0.3">
      <c r="A693" t="s">
        <v>761</v>
      </c>
      <c r="B693">
        <v>35</v>
      </c>
      <c r="C693" t="s">
        <v>189</v>
      </c>
      <c r="D693" t="s">
        <v>48</v>
      </c>
      <c r="E693">
        <f t="shared" si="10"/>
        <v>0</v>
      </c>
      <c r="F693" t="s">
        <v>55</v>
      </c>
      <c r="G693">
        <v>1182</v>
      </c>
      <c r="H693" t="s">
        <v>50</v>
      </c>
      <c r="I693">
        <v>11</v>
      </c>
      <c r="J693">
        <v>2</v>
      </c>
      <c r="K693" t="s">
        <v>56</v>
      </c>
      <c r="L693">
        <v>1</v>
      </c>
      <c r="M693">
        <v>1137</v>
      </c>
      <c r="N693">
        <v>4</v>
      </c>
      <c r="O693" t="s">
        <v>43</v>
      </c>
      <c r="P693">
        <v>54</v>
      </c>
      <c r="Q693">
        <v>3</v>
      </c>
      <c r="R693">
        <v>2</v>
      </c>
      <c r="S693" t="s">
        <v>136</v>
      </c>
      <c r="T693">
        <v>4</v>
      </c>
      <c r="U693" t="s">
        <v>101</v>
      </c>
      <c r="V693">
        <v>4968</v>
      </c>
      <c r="W693" t="s">
        <v>46</v>
      </c>
      <c r="X693">
        <v>18500</v>
      </c>
      <c r="Y693">
        <v>1</v>
      </c>
      <c r="Z693" t="s">
        <v>47</v>
      </c>
      <c r="AA693" t="s">
        <v>48</v>
      </c>
      <c r="AB693">
        <v>11</v>
      </c>
      <c r="AC693">
        <v>3</v>
      </c>
      <c r="AD693">
        <v>4</v>
      </c>
      <c r="AE693">
        <v>80</v>
      </c>
      <c r="AF693">
        <v>1</v>
      </c>
      <c r="AG693">
        <v>5</v>
      </c>
      <c r="AH693">
        <v>3</v>
      </c>
      <c r="AI693">
        <v>3</v>
      </c>
      <c r="AJ693">
        <v>5</v>
      </c>
      <c r="AK693">
        <v>2</v>
      </c>
      <c r="AL693">
        <v>0</v>
      </c>
    </row>
    <row r="694" spans="1:38" x14ac:dyDescent="0.3">
      <c r="A694" t="s">
        <v>762</v>
      </c>
      <c r="B694">
        <v>35</v>
      </c>
      <c r="C694" t="s">
        <v>189</v>
      </c>
      <c r="D694" t="s">
        <v>48</v>
      </c>
      <c r="E694">
        <f t="shared" si="10"/>
        <v>0</v>
      </c>
      <c r="F694" t="s">
        <v>40</v>
      </c>
      <c r="G694">
        <v>528</v>
      </c>
      <c r="H694" t="s">
        <v>70</v>
      </c>
      <c r="I694">
        <v>8</v>
      </c>
      <c r="J694">
        <v>4</v>
      </c>
      <c r="K694" t="s">
        <v>67</v>
      </c>
      <c r="L694">
        <v>1</v>
      </c>
      <c r="M694">
        <v>1164</v>
      </c>
      <c r="N694">
        <v>3</v>
      </c>
      <c r="O694" t="s">
        <v>43</v>
      </c>
      <c r="P694">
        <v>100</v>
      </c>
      <c r="Q694">
        <v>3</v>
      </c>
      <c r="R694">
        <v>1</v>
      </c>
      <c r="S694" t="s">
        <v>70</v>
      </c>
      <c r="T694">
        <v>3</v>
      </c>
      <c r="U694" t="s">
        <v>45</v>
      </c>
      <c r="V694">
        <v>4323</v>
      </c>
      <c r="W694" t="s">
        <v>46</v>
      </c>
      <c r="X694">
        <v>7108</v>
      </c>
      <c r="Y694">
        <v>1</v>
      </c>
      <c r="Z694" t="s">
        <v>47</v>
      </c>
      <c r="AA694" t="s">
        <v>48</v>
      </c>
      <c r="AB694">
        <v>17</v>
      </c>
      <c r="AC694">
        <v>3</v>
      </c>
      <c r="AD694">
        <v>2</v>
      </c>
      <c r="AE694">
        <v>80</v>
      </c>
      <c r="AF694">
        <v>0</v>
      </c>
      <c r="AG694">
        <v>6</v>
      </c>
      <c r="AH694">
        <v>2</v>
      </c>
      <c r="AI694">
        <v>1</v>
      </c>
      <c r="AJ694">
        <v>5</v>
      </c>
      <c r="AK694">
        <v>4</v>
      </c>
      <c r="AL694">
        <v>1</v>
      </c>
    </row>
    <row r="695" spans="1:38" x14ac:dyDescent="0.3">
      <c r="A695" t="s">
        <v>763</v>
      </c>
      <c r="B695">
        <v>35</v>
      </c>
      <c r="C695" t="s">
        <v>189</v>
      </c>
      <c r="D695" t="s">
        <v>48</v>
      </c>
      <c r="E695">
        <f t="shared" si="10"/>
        <v>0</v>
      </c>
      <c r="F695" t="s">
        <v>40</v>
      </c>
      <c r="G695">
        <v>982</v>
      </c>
      <c r="H695" t="s">
        <v>41</v>
      </c>
      <c r="I695">
        <v>1</v>
      </c>
      <c r="J695">
        <v>4</v>
      </c>
      <c r="K695" t="s">
        <v>51</v>
      </c>
      <c r="L695">
        <v>1</v>
      </c>
      <c r="M695">
        <v>1172</v>
      </c>
      <c r="N695">
        <v>4</v>
      </c>
      <c r="O695" t="s">
        <v>43</v>
      </c>
      <c r="P695">
        <v>58</v>
      </c>
      <c r="Q695">
        <v>2</v>
      </c>
      <c r="R695">
        <v>1</v>
      </c>
      <c r="S695" t="s">
        <v>44</v>
      </c>
      <c r="T695">
        <v>3</v>
      </c>
      <c r="U695" t="s">
        <v>104</v>
      </c>
      <c r="V695">
        <v>2258</v>
      </c>
      <c r="W695" t="s">
        <v>46</v>
      </c>
      <c r="X695">
        <v>16340</v>
      </c>
      <c r="Y695">
        <v>6</v>
      </c>
      <c r="Z695" t="s">
        <v>47</v>
      </c>
      <c r="AA695" t="s">
        <v>48</v>
      </c>
      <c r="AB695">
        <v>12</v>
      </c>
      <c r="AC695">
        <v>3</v>
      </c>
      <c r="AD695">
        <v>2</v>
      </c>
      <c r="AE695">
        <v>80</v>
      </c>
      <c r="AF695">
        <v>1</v>
      </c>
      <c r="AG695">
        <v>10</v>
      </c>
      <c r="AH695">
        <v>2</v>
      </c>
      <c r="AI695">
        <v>3</v>
      </c>
      <c r="AJ695">
        <v>8</v>
      </c>
      <c r="AK695">
        <v>0</v>
      </c>
      <c r="AL695">
        <v>1</v>
      </c>
    </row>
    <row r="696" spans="1:38" x14ac:dyDescent="0.3">
      <c r="A696" t="s">
        <v>764</v>
      </c>
      <c r="B696">
        <v>35</v>
      </c>
      <c r="C696" t="s">
        <v>189</v>
      </c>
      <c r="D696" t="s">
        <v>48</v>
      </c>
      <c r="E696">
        <f t="shared" si="10"/>
        <v>0</v>
      </c>
      <c r="F696" t="s">
        <v>40</v>
      </c>
      <c r="G696">
        <v>819</v>
      </c>
      <c r="H696" t="s">
        <v>41</v>
      </c>
      <c r="I696">
        <v>2</v>
      </c>
      <c r="J696">
        <v>3</v>
      </c>
      <c r="K696" t="s">
        <v>42</v>
      </c>
      <c r="L696">
        <v>1</v>
      </c>
      <c r="M696">
        <v>1182</v>
      </c>
      <c r="N696">
        <v>3</v>
      </c>
      <c r="O696" t="s">
        <v>43</v>
      </c>
      <c r="P696">
        <v>44</v>
      </c>
      <c r="Q696">
        <v>2</v>
      </c>
      <c r="R696">
        <v>3</v>
      </c>
      <c r="S696" t="s">
        <v>111</v>
      </c>
      <c r="T696">
        <v>2</v>
      </c>
      <c r="U696" t="s">
        <v>101</v>
      </c>
      <c r="V696">
        <v>10274</v>
      </c>
      <c r="W696" t="s">
        <v>252</v>
      </c>
      <c r="X696">
        <v>19588</v>
      </c>
      <c r="Y696">
        <v>2</v>
      </c>
      <c r="Z696" t="s">
        <v>47</v>
      </c>
      <c r="AA696" t="s">
        <v>48</v>
      </c>
      <c r="AB696">
        <v>18</v>
      </c>
      <c r="AC696">
        <v>3</v>
      </c>
      <c r="AD696">
        <v>2</v>
      </c>
      <c r="AE696">
        <v>80</v>
      </c>
      <c r="AF696">
        <v>1</v>
      </c>
      <c r="AG696">
        <v>15</v>
      </c>
      <c r="AH696">
        <v>2</v>
      </c>
      <c r="AI696">
        <v>4</v>
      </c>
      <c r="AJ696">
        <v>7</v>
      </c>
      <c r="AK696">
        <v>7</v>
      </c>
      <c r="AL696">
        <v>6</v>
      </c>
    </row>
    <row r="697" spans="1:38" x14ac:dyDescent="0.3">
      <c r="A697" t="s">
        <v>765</v>
      </c>
      <c r="B697">
        <v>35</v>
      </c>
      <c r="C697" t="s">
        <v>189</v>
      </c>
      <c r="D697" t="s">
        <v>48</v>
      </c>
      <c r="E697">
        <f t="shared" si="10"/>
        <v>0</v>
      </c>
      <c r="F697" t="s">
        <v>55</v>
      </c>
      <c r="G697">
        <v>636</v>
      </c>
      <c r="H697" t="s">
        <v>41</v>
      </c>
      <c r="I697">
        <v>4</v>
      </c>
      <c r="J697">
        <v>4</v>
      </c>
      <c r="K697" t="s">
        <v>72</v>
      </c>
      <c r="L697">
        <v>1</v>
      </c>
      <c r="M697">
        <v>1185</v>
      </c>
      <c r="N697">
        <v>4</v>
      </c>
      <c r="O697" t="s">
        <v>43</v>
      </c>
      <c r="P697">
        <v>47</v>
      </c>
      <c r="Q697">
        <v>2</v>
      </c>
      <c r="R697">
        <v>1</v>
      </c>
      <c r="S697" t="s">
        <v>44</v>
      </c>
      <c r="T697">
        <v>4</v>
      </c>
      <c r="U697" t="s">
        <v>104</v>
      </c>
      <c r="V697">
        <v>2376</v>
      </c>
      <c r="W697" t="s">
        <v>46</v>
      </c>
      <c r="X697">
        <v>26537</v>
      </c>
      <c r="Y697">
        <v>1</v>
      </c>
      <c r="Z697" t="s">
        <v>47</v>
      </c>
      <c r="AA697" t="s">
        <v>48</v>
      </c>
      <c r="AB697">
        <v>13</v>
      </c>
      <c r="AC697">
        <v>3</v>
      </c>
      <c r="AD697">
        <v>2</v>
      </c>
      <c r="AE697">
        <v>80</v>
      </c>
      <c r="AF697">
        <v>1</v>
      </c>
      <c r="AG697">
        <v>2</v>
      </c>
      <c r="AH697">
        <v>2</v>
      </c>
      <c r="AI697">
        <v>4</v>
      </c>
      <c r="AJ697">
        <v>2</v>
      </c>
      <c r="AK697">
        <v>2</v>
      </c>
      <c r="AL697">
        <v>2</v>
      </c>
    </row>
    <row r="698" spans="1:38" x14ac:dyDescent="0.3">
      <c r="A698" t="s">
        <v>766</v>
      </c>
      <c r="B698">
        <v>35</v>
      </c>
      <c r="C698" t="s">
        <v>189</v>
      </c>
      <c r="D698" t="s">
        <v>48</v>
      </c>
      <c r="E698">
        <f t="shared" si="10"/>
        <v>0</v>
      </c>
      <c r="F698" t="s">
        <v>40</v>
      </c>
      <c r="G698">
        <v>1361</v>
      </c>
      <c r="H698" t="s">
        <v>50</v>
      </c>
      <c r="I698">
        <v>17</v>
      </c>
      <c r="J698">
        <v>4</v>
      </c>
      <c r="K698" t="s">
        <v>42</v>
      </c>
      <c r="L698">
        <v>1</v>
      </c>
      <c r="M698">
        <v>1218</v>
      </c>
      <c r="N698">
        <v>3</v>
      </c>
      <c r="O698" t="s">
        <v>43</v>
      </c>
      <c r="P698">
        <v>94</v>
      </c>
      <c r="Q698">
        <v>3</v>
      </c>
      <c r="R698">
        <v>2</v>
      </c>
      <c r="S698" t="s">
        <v>136</v>
      </c>
      <c r="T698">
        <v>1</v>
      </c>
      <c r="U698" t="s">
        <v>104</v>
      </c>
      <c r="V698">
        <v>8966</v>
      </c>
      <c r="W698" t="s">
        <v>162</v>
      </c>
      <c r="X698">
        <v>21026</v>
      </c>
      <c r="Y698">
        <v>3</v>
      </c>
      <c r="Z698" t="s">
        <v>47</v>
      </c>
      <c r="AA698" t="s">
        <v>39</v>
      </c>
      <c r="AB698">
        <v>15</v>
      </c>
      <c r="AC698">
        <v>3</v>
      </c>
      <c r="AD698">
        <v>4</v>
      </c>
      <c r="AE698">
        <v>80</v>
      </c>
      <c r="AF698">
        <v>3</v>
      </c>
      <c r="AG698">
        <v>15</v>
      </c>
      <c r="AH698">
        <v>2</v>
      </c>
      <c r="AI698">
        <v>3</v>
      </c>
      <c r="AJ698">
        <v>7</v>
      </c>
      <c r="AK698">
        <v>7</v>
      </c>
      <c r="AL698">
        <v>1</v>
      </c>
    </row>
    <row r="699" spans="1:38" x14ac:dyDescent="0.3">
      <c r="A699" t="s">
        <v>767</v>
      </c>
      <c r="B699">
        <v>35</v>
      </c>
      <c r="C699" t="s">
        <v>189</v>
      </c>
      <c r="D699" t="s">
        <v>48</v>
      </c>
      <c r="E699">
        <f t="shared" si="10"/>
        <v>0</v>
      </c>
      <c r="F699" t="s">
        <v>58</v>
      </c>
      <c r="G699">
        <v>1212</v>
      </c>
      <c r="H699" t="s">
        <v>50</v>
      </c>
      <c r="I699">
        <v>8</v>
      </c>
      <c r="J699">
        <v>2</v>
      </c>
      <c r="K699" t="s">
        <v>56</v>
      </c>
      <c r="L699">
        <v>1</v>
      </c>
      <c r="M699">
        <v>1243</v>
      </c>
      <c r="N699">
        <v>3</v>
      </c>
      <c r="O699" t="s">
        <v>52</v>
      </c>
      <c r="P699">
        <v>78</v>
      </c>
      <c r="Q699">
        <v>2</v>
      </c>
      <c r="R699">
        <v>3</v>
      </c>
      <c r="S699" t="s">
        <v>136</v>
      </c>
      <c r="T699">
        <v>4</v>
      </c>
      <c r="U699" t="s">
        <v>104</v>
      </c>
      <c r="V699">
        <v>10377</v>
      </c>
      <c r="W699" t="s">
        <v>252</v>
      </c>
      <c r="X699">
        <v>13755</v>
      </c>
      <c r="Y699">
        <v>4</v>
      </c>
      <c r="Z699" t="s">
        <v>47</v>
      </c>
      <c r="AA699" t="s">
        <v>39</v>
      </c>
      <c r="AB699">
        <v>11</v>
      </c>
      <c r="AC699">
        <v>3</v>
      </c>
      <c r="AD699">
        <v>2</v>
      </c>
      <c r="AE699">
        <v>80</v>
      </c>
      <c r="AF699">
        <v>1</v>
      </c>
      <c r="AG699">
        <v>16</v>
      </c>
      <c r="AH699">
        <v>6</v>
      </c>
      <c r="AI699">
        <v>2</v>
      </c>
      <c r="AJ699">
        <v>13</v>
      </c>
      <c r="AK699">
        <v>2</v>
      </c>
      <c r="AL699">
        <v>4</v>
      </c>
    </row>
    <row r="700" spans="1:38" x14ac:dyDescent="0.3">
      <c r="A700" t="s">
        <v>768</v>
      </c>
      <c r="B700">
        <v>35</v>
      </c>
      <c r="C700" t="s">
        <v>189</v>
      </c>
      <c r="D700" t="s">
        <v>48</v>
      </c>
      <c r="E700">
        <f t="shared" si="10"/>
        <v>0</v>
      </c>
      <c r="F700" t="s">
        <v>40</v>
      </c>
      <c r="G700">
        <v>735</v>
      </c>
      <c r="H700" t="s">
        <v>41</v>
      </c>
      <c r="I700">
        <v>6</v>
      </c>
      <c r="J700">
        <v>1</v>
      </c>
      <c r="K700" t="s">
        <v>42</v>
      </c>
      <c r="L700">
        <v>1</v>
      </c>
      <c r="M700">
        <v>1291</v>
      </c>
      <c r="N700">
        <v>3</v>
      </c>
      <c r="O700" t="s">
        <v>43</v>
      </c>
      <c r="P700">
        <v>66</v>
      </c>
      <c r="Q700">
        <v>3</v>
      </c>
      <c r="R700">
        <v>1</v>
      </c>
      <c r="S700" t="s">
        <v>59</v>
      </c>
      <c r="T700">
        <v>3</v>
      </c>
      <c r="U700" t="s">
        <v>104</v>
      </c>
      <c r="V700">
        <v>3506</v>
      </c>
      <c r="W700" t="s">
        <v>46</v>
      </c>
      <c r="X700">
        <v>6020</v>
      </c>
      <c r="Y700">
        <v>0</v>
      </c>
      <c r="Z700" t="s">
        <v>47</v>
      </c>
      <c r="AA700" t="s">
        <v>39</v>
      </c>
      <c r="AB700">
        <v>14</v>
      </c>
      <c r="AC700">
        <v>3</v>
      </c>
      <c r="AD700">
        <v>4</v>
      </c>
      <c r="AE700">
        <v>80</v>
      </c>
      <c r="AF700">
        <v>0</v>
      </c>
      <c r="AG700">
        <v>4</v>
      </c>
      <c r="AH700">
        <v>3</v>
      </c>
      <c r="AI700">
        <v>3</v>
      </c>
      <c r="AJ700">
        <v>3</v>
      </c>
      <c r="AK700">
        <v>2</v>
      </c>
      <c r="AL700">
        <v>2</v>
      </c>
    </row>
    <row r="701" spans="1:38" x14ac:dyDescent="0.3">
      <c r="A701" t="s">
        <v>769</v>
      </c>
      <c r="B701">
        <v>35</v>
      </c>
      <c r="C701" t="s">
        <v>189</v>
      </c>
      <c r="D701" t="s">
        <v>48</v>
      </c>
      <c r="E701">
        <f t="shared" si="10"/>
        <v>0</v>
      </c>
      <c r="F701" t="s">
        <v>55</v>
      </c>
      <c r="G701">
        <v>482</v>
      </c>
      <c r="H701" t="s">
        <v>41</v>
      </c>
      <c r="I701">
        <v>4</v>
      </c>
      <c r="J701">
        <v>4</v>
      </c>
      <c r="K701" t="s">
        <v>42</v>
      </c>
      <c r="L701">
        <v>1</v>
      </c>
      <c r="M701">
        <v>1350</v>
      </c>
      <c r="N701">
        <v>3</v>
      </c>
      <c r="O701" t="s">
        <v>43</v>
      </c>
      <c r="P701">
        <v>87</v>
      </c>
      <c r="Q701">
        <v>3</v>
      </c>
      <c r="R701">
        <v>2</v>
      </c>
      <c r="S701" t="s">
        <v>59</v>
      </c>
      <c r="T701">
        <v>3</v>
      </c>
      <c r="U701" t="s">
        <v>45</v>
      </c>
      <c r="V701">
        <v>4249</v>
      </c>
      <c r="W701" t="s">
        <v>46</v>
      </c>
      <c r="X701">
        <v>2690</v>
      </c>
      <c r="Y701">
        <v>1</v>
      </c>
      <c r="Z701" t="s">
        <v>47</v>
      </c>
      <c r="AA701" t="s">
        <v>39</v>
      </c>
      <c r="AB701">
        <v>11</v>
      </c>
      <c r="AC701">
        <v>3</v>
      </c>
      <c r="AD701">
        <v>2</v>
      </c>
      <c r="AE701">
        <v>80</v>
      </c>
      <c r="AF701">
        <v>0</v>
      </c>
      <c r="AG701">
        <v>9</v>
      </c>
      <c r="AH701">
        <v>3</v>
      </c>
      <c r="AI701">
        <v>3</v>
      </c>
      <c r="AJ701">
        <v>9</v>
      </c>
      <c r="AK701">
        <v>6</v>
      </c>
      <c r="AL701">
        <v>1</v>
      </c>
    </row>
    <row r="702" spans="1:38" x14ac:dyDescent="0.3">
      <c r="A702" t="s">
        <v>770</v>
      </c>
      <c r="B702">
        <v>35</v>
      </c>
      <c r="C702" t="s">
        <v>189</v>
      </c>
      <c r="D702" t="s">
        <v>48</v>
      </c>
      <c r="E702">
        <f t="shared" si="10"/>
        <v>0</v>
      </c>
      <c r="F702" t="s">
        <v>40</v>
      </c>
      <c r="G702">
        <v>817</v>
      </c>
      <c r="H702" t="s">
        <v>41</v>
      </c>
      <c r="I702">
        <v>1</v>
      </c>
      <c r="J702">
        <v>3</v>
      </c>
      <c r="K702" t="s">
        <v>51</v>
      </c>
      <c r="L702">
        <v>1</v>
      </c>
      <c r="M702">
        <v>1369</v>
      </c>
      <c r="N702">
        <v>4</v>
      </c>
      <c r="O702" t="s">
        <v>52</v>
      </c>
      <c r="P702">
        <v>60</v>
      </c>
      <c r="Q702">
        <v>2</v>
      </c>
      <c r="R702">
        <v>2</v>
      </c>
      <c r="S702" t="s">
        <v>44</v>
      </c>
      <c r="T702">
        <v>4</v>
      </c>
      <c r="U702" t="s">
        <v>104</v>
      </c>
      <c r="V702">
        <v>5363</v>
      </c>
      <c r="W702" t="s">
        <v>162</v>
      </c>
      <c r="X702">
        <v>10846</v>
      </c>
      <c r="Y702">
        <v>0</v>
      </c>
      <c r="Z702" t="s">
        <v>47</v>
      </c>
      <c r="AA702" t="s">
        <v>48</v>
      </c>
      <c r="AB702">
        <v>12</v>
      </c>
      <c r="AC702">
        <v>3</v>
      </c>
      <c r="AD702">
        <v>2</v>
      </c>
      <c r="AE702">
        <v>80</v>
      </c>
      <c r="AF702">
        <v>1</v>
      </c>
      <c r="AG702">
        <v>10</v>
      </c>
      <c r="AH702">
        <v>0</v>
      </c>
      <c r="AI702">
        <v>3</v>
      </c>
      <c r="AJ702">
        <v>9</v>
      </c>
      <c r="AK702">
        <v>7</v>
      </c>
      <c r="AL702">
        <v>0</v>
      </c>
    </row>
    <row r="703" spans="1:38" x14ac:dyDescent="0.3">
      <c r="A703" t="s">
        <v>771</v>
      </c>
      <c r="B703">
        <v>35</v>
      </c>
      <c r="C703" t="s">
        <v>189</v>
      </c>
      <c r="D703" t="s">
        <v>39</v>
      </c>
      <c r="E703">
        <f t="shared" si="10"/>
        <v>1</v>
      </c>
      <c r="F703" t="s">
        <v>55</v>
      </c>
      <c r="G703">
        <v>662</v>
      </c>
      <c r="H703" t="s">
        <v>50</v>
      </c>
      <c r="I703">
        <v>18</v>
      </c>
      <c r="J703">
        <v>4</v>
      </c>
      <c r="K703" t="s">
        <v>56</v>
      </c>
      <c r="L703">
        <v>1</v>
      </c>
      <c r="M703">
        <v>1380</v>
      </c>
      <c r="N703">
        <v>4</v>
      </c>
      <c r="O703" t="s">
        <v>52</v>
      </c>
      <c r="P703">
        <v>67</v>
      </c>
      <c r="Q703">
        <v>3</v>
      </c>
      <c r="R703">
        <v>2</v>
      </c>
      <c r="S703" t="s">
        <v>136</v>
      </c>
      <c r="T703">
        <v>3</v>
      </c>
      <c r="U703" t="s">
        <v>104</v>
      </c>
      <c r="V703">
        <v>4614</v>
      </c>
      <c r="W703" t="s">
        <v>46</v>
      </c>
      <c r="X703">
        <v>23288</v>
      </c>
      <c r="Y703">
        <v>0</v>
      </c>
      <c r="Z703" t="s">
        <v>47</v>
      </c>
      <c r="AA703" t="s">
        <v>39</v>
      </c>
      <c r="AB703">
        <v>18</v>
      </c>
      <c r="AC703">
        <v>3</v>
      </c>
      <c r="AD703">
        <v>3</v>
      </c>
      <c r="AE703">
        <v>80</v>
      </c>
      <c r="AF703">
        <v>1</v>
      </c>
      <c r="AG703">
        <v>5</v>
      </c>
      <c r="AH703">
        <v>0</v>
      </c>
      <c r="AI703">
        <v>2</v>
      </c>
      <c r="AJ703">
        <v>4</v>
      </c>
      <c r="AK703">
        <v>2</v>
      </c>
      <c r="AL703">
        <v>3</v>
      </c>
    </row>
    <row r="704" spans="1:38" x14ac:dyDescent="0.3">
      <c r="A704" t="s">
        <v>772</v>
      </c>
      <c r="B704">
        <v>35</v>
      </c>
      <c r="C704" t="s">
        <v>189</v>
      </c>
      <c r="D704" t="s">
        <v>48</v>
      </c>
      <c r="E704">
        <f t="shared" si="10"/>
        <v>0</v>
      </c>
      <c r="F704" t="s">
        <v>55</v>
      </c>
      <c r="G704">
        <v>200</v>
      </c>
      <c r="H704" t="s">
        <v>41</v>
      </c>
      <c r="I704">
        <v>18</v>
      </c>
      <c r="J704">
        <v>2</v>
      </c>
      <c r="K704" t="s">
        <v>42</v>
      </c>
      <c r="L704">
        <v>1</v>
      </c>
      <c r="M704">
        <v>1412</v>
      </c>
      <c r="N704">
        <v>3</v>
      </c>
      <c r="O704" t="s">
        <v>43</v>
      </c>
      <c r="P704">
        <v>60</v>
      </c>
      <c r="Q704">
        <v>3</v>
      </c>
      <c r="R704">
        <v>3</v>
      </c>
      <c r="S704" t="s">
        <v>111</v>
      </c>
      <c r="T704">
        <v>4</v>
      </c>
      <c r="U704" t="s">
        <v>45</v>
      </c>
      <c r="V704">
        <v>9362</v>
      </c>
      <c r="W704" t="s">
        <v>162</v>
      </c>
      <c r="X704">
        <v>19944</v>
      </c>
      <c r="Y704">
        <v>2</v>
      </c>
      <c r="Z704" t="s">
        <v>47</v>
      </c>
      <c r="AA704" t="s">
        <v>48</v>
      </c>
      <c r="AB704">
        <v>11</v>
      </c>
      <c r="AC704">
        <v>3</v>
      </c>
      <c r="AD704">
        <v>3</v>
      </c>
      <c r="AE704">
        <v>80</v>
      </c>
      <c r="AF704">
        <v>0</v>
      </c>
      <c r="AG704">
        <v>10</v>
      </c>
      <c r="AH704">
        <v>2</v>
      </c>
      <c r="AI704">
        <v>3</v>
      </c>
      <c r="AJ704">
        <v>2</v>
      </c>
      <c r="AK704">
        <v>2</v>
      </c>
      <c r="AL704">
        <v>2</v>
      </c>
    </row>
    <row r="705" spans="1:38" x14ac:dyDescent="0.3">
      <c r="A705" t="s">
        <v>773</v>
      </c>
      <c r="B705">
        <v>35</v>
      </c>
      <c r="C705" t="s">
        <v>189</v>
      </c>
      <c r="D705" t="s">
        <v>48</v>
      </c>
      <c r="E705">
        <f t="shared" si="10"/>
        <v>0</v>
      </c>
      <c r="F705" t="s">
        <v>40</v>
      </c>
      <c r="G705">
        <v>660</v>
      </c>
      <c r="H705" t="s">
        <v>50</v>
      </c>
      <c r="I705">
        <v>7</v>
      </c>
      <c r="J705">
        <v>1</v>
      </c>
      <c r="K705" t="s">
        <v>42</v>
      </c>
      <c r="L705">
        <v>1</v>
      </c>
      <c r="M705">
        <v>1492</v>
      </c>
      <c r="N705">
        <v>4</v>
      </c>
      <c r="O705" t="s">
        <v>43</v>
      </c>
      <c r="P705">
        <v>76</v>
      </c>
      <c r="Q705">
        <v>3</v>
      </c>
      <c r="R705">
        <v>1</v>
      </c>
      <c r="S705" t="s">
        <v>53</v>
      </c>
      <c r="T705">
        <v>3</v>
      </c>
      <c r="U705" t="s">
        <v>104</v>
      </c>
      <c r="V705">
        <v>2404</v>
      </c>
      <c r="W705" t="s">
        <v>46</v>
      </c>
      <c r="X705">
        <v>16192</v>
      </c>
      <c r="Y705">
        <v>1</v>
      </c>
      <c r="Z705" t="s">
        <v>47</v>
      </c>
      <c r="AA705" t="s">
        <v>48</v>
      </c>
      <c r="AB705">
        <v>13</v>
      </c>
      <c r="AC705">
        <v>3</v>
      </c>
      <c r="AD705">
        <v>1</v>
      </c>
      <c r="AE705">
        <v>80</v>
      </c>
      <c r="AF705">
        <v>1</v>
      </c>
      <c r="AG705">
        <v>1</v>
      </c>
      <c r="AH705">
        <v>3</v>
      </c>
      <c r="AI705">
        <v>3</v>
      </c>
      <c r="AJ705">
        <v>1</v>
      </c>
      <c r="AK705">
        <v>0</v>
      </c>
      <c r="AL705">
        <v>0</v>
      </c>
    </row>
    <row r="706" spans="1:38" x14ac:dyDescent="0.3">
      <c r="A706" t="s">
        <v>774</v>
      </c>
      <c r="B706">
        <v>35</v>
      </c>
      <c r="C706" t="s">
        <v>189</v>
      </c>
      <c r="D706" t="s">
        <v>48</v>
      </c>
      <c r="E706">
        <f t="shared" si="10"/>
        <v>0</v>
      </c>
      <c r="F706" t="s">
        <v>40</v>
      </c>
      <c r="G706">
        <v>1029</v>
      </c>
      <c r="H706" t="s">
        <v>41</v>
      </c>
      <c r="I706">
        <v>16</v>
      </c>
      <c r="J706">
        <v>3</v>
      </c>
      <c r="K706" t="s">
        <v>42</v>
      </c>
      <c r="L706">
        <v>1</v>
      </c>
      <c r="M706">
        <v>1529</v>
      </c>
      <c r="N706">
        <v>4</v>
      </c>
      <c r="O706" t="s">
        <v>52</v>
      </c>
      <c r="P706">
        <v>91</v>
      </c>
      <c r="Q706">
        <v>2</v>
      </c>
      <c r="R706">
        <v>3</v>
      </c>
      <c r="S706" t="s">
        <v>160</v>
      </c>
      <c r="T706">
        <v>2</v>
      </c>
      <c r="U706" t="s">
        <v>45</v>
      </c>
      <c r="V706">
        <v>8606</v>
      </c>
      <c r="W706" t="s">
        <v>162</v>
      </c>
      <c r="X706">
        <v>21195</v>
      </c>
      <c r="Y706">
        <v>1</v>
      </c>
      <c r="Z706" t="s">
        <v>47</v>
      </c>
      <c r="AA706" t="s">
        <v>48</v>
      </c>
      <c r="AB706">
        <v>19</v>
      </c>
      <c r="AC706">
        <v>3</v>
      </c>
      <c r="AD706">
        <v>4</v>
      </c>
      <c r="AE706">
        <v>80</v>
      </c>
      <c r="AF706">
        <v>0</v>
      </c>
      <c r="AG706">
        <v>11</v>
      </c>
      <c r="AH706">
        <v>3</v>
      </c>
      <c r="AI706">
        <v>1</v>
      </c>
      <c r="AJ706">
        <v>11</v>
      </c>
      <c r="AK706">
        <v>8</v>
      </c>
      <c r="AL706">
        <v>3</v>
      </c>
    </row>
    <row r="707" spans="1:38" x14ac:dyDescent="0.3">
      <c r="A707" t="s">
        <v>775</v>
      </c>
      <c r="B707">
        <v>35</v>
      </c>
      <c r="C707" t="s">
        <v>189</v>
      </c>
      <c r="D707" t="s">
        <v>48</v>
      </c>
      <c r="E707">
        <f t="shared" ref="E707:E770" si="11">IF(D707="Yes",1,0)</f>
        <v>0</v>
      </c>
      <c r="F707" t="s">
        <v>40</v>
      </c>
      <c r="G707">
        <v>1402</v>
      </c>
      <c r="H707" t="s">
        <v>50</v>
      </c>
      <c r="I707">
        <v>28</v>
      </c>
      <c r="J707">
        <v>4</v>
      </c>
      <c r="K707" t="s">
        <v>42</v>
      </c>
      <c r="L707">
        <v>1</v>
      </c>
      <c r="M707">
        <v>1554</v>
      </c>
      <c r="N707">
        <v>2</v>
      </c>
      <c r="O707" t="s">
        <v>52</v>
      </c>
      <c r="P707">
        <v>98</v>
      </c>
      <c r="Q707">
        <v>2</v>
      </c>
      <c r="R707">
        <v>1</v>
      </c>
      <c r="S707" t="s">
        <v>53</v>
      </c>
      <c r="T707">
        <v>3</v>
      </c>
      <c r="U707" t="s">
        <v>104</v>
      </c>
      <c r="V707">
        <v>2430</v>
      </c>
      <c r="W707" t="s">
        <v>46</v>
      </c>
      <c r="X707">
        <v>26204</v>
      </c>
      <c r="Y707">
        <v>0</v>
      </c>
      <c r="Z707" t="s">
        <v>47</v>
      </c>
      <c r="AA707" t="s">
        <v>48</v>
      </c>
      <c r="AB707">
        <v>23</v>
      </c>
      <c r="AC707">
        <v>4</v>
      </c>
      <c r="AD707">
        <v>1</v>
      </c>
      <c r="AE707">
        <v>80</v>
      </c>
      <c r="AF707">
        <v>2</v>
      </c>
      <c r="AG707">
        <v>6</v>
      </c>
      <c r="AH707">
        <v>5</v>
      </c>
      <c r="AI707">
        <v>3</v>
      </c>
      <c r="AJ707">
        <v>5</v>
      </c>
      <c r="AK707">
        <v>3</v>
      </c>
      <c r="AL707">
        <v>4</v>
      </c>
    </row>
    <row r="708" spans="1:38" x14ac:dyDescent="0.3">
      <c r="A708" t="s">
        <v>776</v>
      </c>
      <c r="B708">
        <v>35</v>
      </c>
      <c r="C708" t="s">
        <v>189</v>
      </c>
      <c r="D708" t="s">
        <v>48</v>
      </c>
      <c r="E708">
        <f t="shared" si="11"/>
        <v>0</v>
      </c>
      <c r="F708" t="s">
        <v>40</v>
      </c>
      <c r="G708">
        <v>992</v>
      </c>
      <c r="H708" t="s">
        <v>41</v>
      </c>
      <c r="I708">
        <v>1</v>
      </c>
      <c r="J708">
        <v>3</v>
      </c>
      <c r="K708" t="s">
        <v>51</v>
      </c>
      <c r="L708">
        <v>1</v>
      </c>
      <c r="M708">
        <v>1564</v>
      </c>
      <c r="N708">
        <v>4</v>
      </c>
      <c r="O708" t="s">
        <v>43</v>
      </c>
      <c r="P708">
        <v>68</v>
      </c>
      <c r="Q708">
        <v>2</v>
      </c>
      <c r="R708">
        <v>1</v>
      </c>
      <c r="S708" t="s">
        <v>44</v>
      </c>
      <c r="T708">
        <v>1</v>
      </c>
      <c r="U708" t="s">
        <v>45</v>
      </c>
      <c r="V708">
        <v>2450</v>
      </c>
      <c r="W708" t="s">
        <v>46</v>
      </c>
      <c r="X708">
        <v>21731</v>
      </c>
      <c r="Y708">
        <v>1</v>
      </c>
      <c r="Z708" t="s">
        <v>47</v>
      </c>
      <c r="AA708" t="s">
        <v>48</v>
      </c>
      <c r="AB708">
        <v>19</v>
      </c>
      <c r="AC708">
        <v>3</v>
      </c>
      <c r="AD708">
        <v>2</v>
      </c>
      <c r="AE708">
        <v>80</v>
      </c>
      <c r="AF708">
        <v>0</v>
      </c>
      <c r="AG708">
        <v>3</v>
      </c>
      <c r="AH708">
        <v>3</v>
      </c>
      <c r="AI708">
        <v>3</v>
      </c>
      <c r="AJ708">
        <v>3</v>
      </c>
      <c r="AK708">
        <v>0</v>
      </c>
      <c r="AL708">
        <v>1</v>
      </c>
    </row>
    <row r="709" spans="1:38" x14ac:dyDescent="0.3">
      <c r="A709" t="s">
        <v>777</v>
      </c>
      <c r="B709">
        <v>35</v>
      </c>
      <c r="C709" t="s">
        <v>189</v>
      </c>
      <c r="D709" t="s">
        <v>39</v>
      </c>
      <c r="E709">
        <f t="shared" si="11"/>
        <v>1</v>
      </c>
      <c r="F709" t="s">
        <v>40</v>
      </c>
      <c r="G709">
        <v>104</v>
      </c>
      <c r="H709" t="s">
        <v>41</v>
      </c>
      <c r="I709">
        <v>2</v>
      </c>
      <c r="J709">
        <v>3</v>
      </c>
      <c r="K709" t="s">
        <v>42</v>
      </c>
      <c r="L709">
        <v>1</v>
      </c>
      <c r="M709">
        <v>1569</v>
      </c>
      <c r="N709">
        <v>1</v>
      </c>
      <c r="O709" t="s">
        <v>52</v>
      </c>
      <c r="P709">
        <v>69</v>
      </c>
      <c r="Q709">
        <v>3</v>
      </c>
      <c r="R709">
        <v>1</v>
      </c>
      <c r="S709" t="s">
        <v>44</v>
      </c>
      <c r="T709">
        <v>1</v>
      </c>
      <c r="U709" t="s">
        <v>101</v>
      </c>
      <c r="V709">
        <v>2074</v>
      </c>
      <c r="W709" t="s">
        <v>46</v>
      </c>
      <c r="X709">
        <v>26619</v>
      </c>
      <c r="Y709">
        <v>1</v>
      </c>
      <c r="Z709" t="s">
        <v>47</v>
      </c>
      <c r="AA709" t="s">
        <v>39</v>
      </c>
      <c r="AB709">
        <v>12</v>
      </c>
      <c r="AC709">
        <v>3</v>
      </c>
      <c r="AD709">
        <v>4</v>
      </c>
      <c r="AE709">
        <v>80</v>
      </c>
      <c r="AF709">
        <v>1</v>
      </c>
      <c r="AG709">
        <v>1</v>
      </c>
      <c r="AH709">
        <v>2</v>
      </c>
      <c r="AI709">
        <v>3</v>
      </c>
      <c r="AJ709">
        <v>1</v>
      </c>
      <c r="AK709">
        <v>0</v>
      </c>
      <c r="AL709">
        <v>0</v>
      </c>
    </row>
    <row r="710" spans="1:38" x14ac:dyDescent="0.3">
      <c r="A710" t="s">
        <v>778</v>
      </c>
      <c r="B710">
        <v>35</v>
      </c>
      <c r="C710" t="s">
        <v>189</v>
      </c>
      <c r="D710" t="s">
        <v>48</v>
      </c>
      <c r="E710">
        <f t="shared" si="11"/>
        <v>0</v>
      </c>
      <c r="F710" t="s">
        <v>40</v>
      </c>
      <c r="G710">
        <v>670</v>
      </c>
      <c r="H710" t="s">
        <v>41</v>
      </c>
      <c r="I710">
        <v>10</v>
      </c>
      <c r="J710">
        <v>4</v>
      </c>
      <c r="K710" t="s">
        <v>51</v>
      </c>
      <c r="L710">
        <v>1</v>
      </c>
      <c r="M710">
        <v>1587</v>
      </c>
      <c r="N710">
        <v>1</v>
      </c>
      <c r="O710" t="s">
        <v>52</v>
      </c>
      <c r="P710">
        <v>51</v>
      </c>
      <c r="Q710">
        <v>3</v>
      </c>
      <c r="R710">
        <v>2</v>
      </c>
      <c r="S710" t="s">
        <v>160</v>
      </c>
      <c r="T710">
        <v>3</v>
      </c>
      <c r="U710" t="s">
        <v>45</v>
      </c>
      <c r="V710">
        <v>6142</v>
      </c>
      <c r="W710" t="s">
        <v>162</v>
      </c>
      <c r="X710">
        <v>4223</v>
      </c>
      <c r="Y710">
        <v>3</v>
      </c>
      <c r="Z710" t="s">
        <v>47</v>
      </c>
      <c r="AA710" t="s">
        <v>39</v>
      </c>
      <c r="AB710">
        <v>16</v>
      </c>
      <c r="AC710">
        <v>3</v>
      </c>
      <c r="AD710">
        <v>3</v>
      </c>
      <c r="AE710">
        <v>80</v>
      </c>
      <c r="AF710">
        <v>0</v>
      </c>
      <c r="AG710">
        <v>10</v>
      </c>
      <c r="AH710">
        <v>4</v>
      </c>
      <c r="AI710">
        <v>3</v>
      </c>
      <c r="AJ710">
        <v>5</v>
      </c>
      <c r="AK710">
        <v>2</v>
      </c>
      <c r="AL710">
        <v>0</v>
      </c>
    </row>
    <row r="711" spans="1:38" x14ac:dyDescent="0.3">
      <c r="A711" t="s">
        <v>779</v>
      </c>
      <c r="B711">
        <v>35</v>
      </c>
      <c r="C711" t="s">
        <v>189</v>
      </c>
      <c r="D711" t="s">
        <v>48</v>
      </c>
      <c r="E711">
        <f t="shared" si="11"/>
        <v>0</v>
      </c>
      <c r="F711" t="s">
        <v>40</v>
      </c>
      <c r="G711">
        <v>750</v>
      </c>
      <c r="H711" t="s">
        <v>41</v>
      </c>
      <c r="I711">
        <v>28</v>
      </c>
      <c r="J711">
        <v>3</v>
      </c>
      <c r="K711" t="s">
        <v>42</v>
      </c>
      <c r="L711">
        <v>1</v>
      </c>
      <c r="M711">
        <v>1596</v>
      </c>
      <c r="N711">
        <v>2</v>
      </c>
      <c r="O711" t="s">
        <v>43</v>
      </c>
      <c r="P711">
        <v>46</v>
      </c>
      <c r="Q711">
        <v>4</v>
      </c>
      <c r="R711">
        <v>2</v>
      </c>
      <c r="S711" t="s">
        <v>44</v>
      </c>
      <c r="T711">
        <v>3</v>
      </c>
      <c r="U711" t="s">
        <v>104</v>
      </c>
      <c r="V711">
        <v>3407</v>
      </c>
      <c r="W711" t="s">
        <v>46</v>
      </c>
      <c r="X711">
        <v>25348</v>
      </c>
      <c r="Y711">
        <v>1</v>
      </c>
      <c r="Z711" t="s">
        <v>47</v>
      </c>
      <c r="AA711" t="s">
        <v>48</v>
      </c>
      <c r="AB711">
        <v>17</v>
      </c>
      <c r="AC711">
        <v>3</v>
      </c>
      <c r="AD711">
        <v>4</v>
      </c>
      <c r="AE711">
        <v>80</v>
      </c>
      <c r="AF711">
        <v>2</v>
      </c>
      <c r="AG711">
        <v>10</v>
      </c>
      <c r="AH711">
        <v>3</v>
      </c>
      <c r="AI711">
        <v>2</v>
      </c>
      <c r="AJ711">
        <v>10</v>
      </c>
      <c r="AK711">
        <v>9</v>
      </c>
      <c r="AL711">
        <v>6</v>
      </c>
    </row>
    <row r="712" spans="1:38" x14ac:dyDescent="0.3">
      <c r="A712" t="s">
        <v>780</v>
      </c>
      <c r="B712">
        <v>35</v>
      </c>
      <c r="C712" t="s">
        <v>189</v>
      </c>
      <c r="D712" t="s">
        <v>48</v>
      </c>
      <c r="E712">
        <f t="shared" si="11"/>
        <v>0</v>
      </c>
      <c r="F712" t="s">
        <v>40</v>
      </c>
      <c r="G712">
        <v>1349</v>
      </c>
      <c r="H712" t="s">
        <v>41</v>
      </c>
      <c r="I712">
        <v>7</v>
      </c>
      <c r="J712">
        <v>2</v>
      </c>
      <c r="K712" t="s">
        <v>42</v>
      </c>
      <c r="L712">
        <v>1</v>
      </c>
      <c r="M712">
        <v>1601</v>
      </c>
      <c r="N712">
        <v>3</v>
      </c>
      <c r="O712" t="s">
        <v>43</v>
      </c>
      <c r="P712">
        <v>63</v>
      </c>
      <c r="Q712">
        <v>2</v>
      </c>
      <c r="R712">
        <v>1</v>
      </c>
      <c r="S712" t="s">
        <v>44</v>
      </c>
      <c r="T712">
        <v>4</v>
      </c>
      <c r="U712" t="s">
        <v>104</v>
      </c>
      <c r="V712">
        <v>2690</v>
      </c>
      <c r="W712" t="s">
        <v>46</v>
      </c>
      <c r="X712">
        <v>7713</v>
      </c>
      <c r="Y712">
        <v>1</v>
      </c>
      <c r="Z712" t="s">
        <v>47</v>
      </c>
      <c r="AA712" t="s">
        <v>48</v>
      </c>
      <c r="AB712">
        <v>18</v>
      </c>
      <c r="AC712">
        <v>3</v>
      </c>
      <c r="AD712">
        <v>4</v>
      </c>
      <c r="AE712">
        <v>80</v>
      </c>
      <c r="AF712">
        <v>1</v>
      </c>
      <c r="AG712">
        <v>1</v>
      </c>
      <c r="AH712">
        <v>5</v>
      </c>
      <c r="AI712">
        <v>2</v>
      </c>
      <c r="AJ712">
        <v>1</v>
      </c>
      <c r="AK712">
        <v>0</v>
      </c>
      <c r="AL712">
        <v>0</v>
      </c>
    </row>
    <row r="713" spans="1:38" x14ac:dyDescent="0.3">
      <c r="A713" t="s">
        <v>781</v>
      </c>
      <c r="B713">
        <v>35</v>
      </c>
      <c r="C713" t="s">
        <v>189</v>
      </c>
      <c r="D713" t="s">
        <v>48</v>
      </c>
      <c r="E713">
        <f t="shared" si="11"/>
        <v>0</v>
      </c>
      <c r="F713" t="s">
        <v>40</v>
      </c>
      <c r="G713">
        <v>819</v>
      </c>
      <c r="H713" t="s">
        <v>41</v>
      </c>
      <c r="I713">
        <v>18</v>
      </c>
      <c r="J713">
        <v>5</v>
      </c>
      <c r="K713" t="s">
        <v>42</v>
      </c>
      <c r="L713">
        <v>1</v>
      </c>
      <c r="M713">
        <v>1621</v>
      </c>
      <c r="N713">
        <v>2</v>
      </c>
      <c r="O713" t="s">
        <v>43</v>
      </c>
      <c r="P713">
        <v>48</v>
      </c>
      <c r="Q713">
        <v>4</v>
      </c>
      <c r="R713">
        <v>2</v>
      </c>
      <c r="S713" t="s">
        <v>59</v>
      </c>
      <c r="T713">
        <v>1</v>
      </c>
      <c r="U713" t="s">
        <v>104</v>
      </c>
      <c r="V713">
        <v>5208</v>
      </c>
      <c r="W713" t="s">
        <v>162</v>
      </c>
      <c r="X713">
        <v>26312</v>
      </c>
      <c r="Y713">
        <v>1</v>
      </c>
      <c r="Z713" t="s">
        <v>47</v>
      </c>
      <c r="AA713" t="s">
        <v>48</v>
      </c>
      <c r="AB713">
        <v>11</v>
      </c>
      <c r="AC713">
        <v>3</v>
      </c>
      <c r="AD713">
        <v>4</v>
      </c>
      <c r="AE713">
        <v>80</v>
      </c>
      <c r="AF713">
        <v>0</v>
      </c>
      <c r="AG713">
        <v>16</v>
      </c>
      <c r="AH713">
        <v>2</v>
      </c>
      <c r="AI713">
        <v>3</v>
      </c>
      <c r="AJ713">
        <v>16</v>
      </c>
      <c r="AK713">
        <v>15</v>
      </c>
      <c r="AL713">
        <v>1</v>
      </c>
    </row>
    <row r="714" spans="1:38" x14ac:dyDescent="0.3">
      <c r="A714" t="s">
        <v>782</v>
      </c>
      <c r="B714">
        <v>35</v>
      </c>
      <c r="C714" t="s">
        <v>189</v>
      </c>
      <c r="D714" t="s">
        <v>48</v>
      </c>
      <c r="E714">
        <f t="shared" si="11"/>
        <v>0</v>
      </c>
      <c r="F714" t="s">
        <v>58</v>
      </c>
      <c r="G714">
        <v>208</v>
      </c>
      <c r="H714" t="s">
        <v>41</v>
      </c>
      <c r="I714">
        <v>8</v>
      </c>
      <c r="J714">
        <v>4</v>
      </c>
      <c r="K714" t="s">
        <v>42</v>
      </c>
      <c r="L714">
        <v>1</v>
      </c>
      <c r="M714">
        <v>1630</v>
      </c>
      <c r="N714">
        <v>3</v>
      </c>
      <c r="O714" t="s">
        <v>52</v>
      </c>
      <c r="P714">
        <v>52</v>
      </c>
      <c r="Q714">
        <v>3</v>
      </c>
      <c r="R714">
        <v>2</v>
      </c>
      <c r="S714" t="s">
        <v>160</v>
      </c>
      <c r="T714">
        <v>3</v>
      </c>
      <c r="U714" t="s">
        <v>104</v>
      </c>
      <c r="V714">
        <v>4148</v>
      </c>
      <c r="W714" t="s">
        <v>46</v>
      </c>
      <c r="X714">
        <v>12250</v>
      </c>
      <c r="Y714">
        <v>1</v>
      </c>
      <c r="Z714" t="s">
        <v>47</v>
      </c>
      <c r="AA714" t="s">
        <v>48</v>
      </c>
      <c r="AB714">
        <v>12</v>
      </c>
      <c r="AC714">
        <v>3</v>
      </c>
      <c r="AD714">
        <v>4</v>
      </c>
      <c r="AE714">
        <v>80</v>
      </c>
      <c r="AF714">
        <v>1</v>
      </c>
      <c r="AG714">
        <v>15</v>
      </c>
      <c r="AH714">
        <v>5</v>
      </c>
      <c r="AI714">
        <v>3</v>
      </c>
      <c r="AJ714">
        <v>14</v>
      </c>
      <c r="AK714">
        <v>11</v>
      </c>
      <c r="AL714">
        <v>2</v>
      </c>
    </row>
    <row r="715" spans="1:38" x14ac:dyDescent="0.3">
      <c r="A715" t="s">
        <v>783</v>
      </c>
      <c r="B715">
        <v>35</v>
      </c>
      <c r="C715" t="s">
        <v>189</v>
      </c>
      <c r="D715" t="s">
        <v>39</v>
      </c>
      <c r="E715">
        <f t="shared" si="11"/>
        <v>1</v>
      </c>
      <c r="F715" t="s">
        <v>40</v>
      </c>
      <c r="G715">
        <v>737</v>
      </c>
      <c r="H715" t="s">
        <v>50</v>
      </c>
      <c r="I715">
        <v>10</v>
      </c>
      <c r="J715">
        <v>3</v>
      </c>
      <c r="K715" t="s">
        <v>51</v>
      </c>
      <c r="L715">
        <v>1</v>
      </c>
      <c r="M715">
        <v>1639</v>
      </c>
      <c r="N715">
        <v>4</v>
      </c>
      <c r="O715" t="s">
        <v>43</v>
      </c>
      <c r="P715">
        <v>55</v>
      </c>
      <c r="Q715">
        <v>2</v>
      </c>
      <c r="R715">
        <v>3</v>
      </c>
      <c r="S715" t="s">
        <v>136</v>
      </c>
      <c r="T715">
        <v>1</v>
      </c>
      <c r="U715" t="s">
        <v>104</v>
      </c>
      <c r="V715">
        <v>10306</v>
      </c>
      <c r="W715" t="s">
        <v>252</v>
      </c>
      <c r="X715">
        <v>21530</v>
      </c>
      <c r="Y715">
        <v>9</v>
      </c>
      <c r="Z715" t="s">
        <v>47</v>
      </c>
      <c r="AA715" t="s">
        <v>48</v>
      </c>
      <c r="AB715">
        <v>17</v>
      </c>
      <c r="AC715">
        <v>3</v>
      </c>
      <c r="AD715">
        <v>3</v>
      </c>
      <c r="AE715">
        <v>80</v>
      </c>
      <c r="AF715">
        <v>0</v>
      </c>
      <c r="AG715">
        <v>15</v>
      </c>
      <c r="AH715">
        <v>3</v>
      </c>
      <c r="AI715">
        <v>3</v>
      </c>
      <c r="AJ715">
        <v>13</v>
      </c>
      <c r="AK715">
        <v>12</v>
      </c>
      <c r="AL715">
        <v>6</v>
      </c>
    </row>
    <row r="716" spans="1:38" x14ac:dyDescent="0.3">
      <c r="A716" t="s">
        <v>784</v>
      </c>
      <c r="B716">
        <v>35</v>
      </c>
      <c r="C716" t="s">
        <v>189</v>
      </c>
      <c r="D716" t="s">
        <v>39</v>
      </c>
      <c r="E716">
        <f t="shared" si="11"/>
        <v>1</v>
      </c>
      <c r="F716" t="s">
        <v>40</v>
      </c>
      <c r="G716">
        <v>763</v>
      </c>
      <c r="H716" t="s">
        <v>50</v>
      </c>
      <c r="I716">
        <v>15</v>
      </c>
      <c r="J716">
        <v>2</v>
      </c>
      <c r="K716" t="s">
        <v>51</v>
      </c>
      <c r="L716">
        <v>1</v>
      </c>
      <c r="M716">
        <v>1645</v>
      </c>
      <c r="N716">
        <v>1</v>
      </c>
      <c r="O716" t="s">
        <v>43</v>
      </c>
      <c r="P716">
        <v>59</v>
      </c>
      <c r="Q716">
        <v>1</v>
      </c>
      <c r="R716">
        <v>2</v>
      </c>
      <c r="S716" t="s">
        <v>136</v>
      </c>
      <c r="T716">
        <v>4</v>
      </c>
      <c r="U716" t="s">
        <v>101</v>
      </c>
      <c r="V716">
        <v>5440</v>
      </c>
      <c r="W716" t="s">
        <v>162</v>
      </c>
      <c r="X716">
        <v>22098</v>
      </c>
      <c r="Y716">
        <v>6</v>
      </c>
      <c r="Z716" t="s">
        <v>47</v>
      </c>
      <c r="AA716" t="s">
        <v>39</v>
      </c>
      <c r="AB716">
        <v>14</v>
      </c>
      <c r="AC716">
        <v>3</v>
      </c>
      <c r="AD716">
        <v>4</v>
      </c>
      <c r="AE716">
        <v>80</v>
      </c>
      <c r="AF716">
        <v>2</v>
      </c>
      <c r="AG716">
        <v>7</v>
      </c>
      <c r="AH716">
        <v>2</v>
      </c>
      <c r="AI716">
        <v>2</v>
      </c>
      <c r="AJ716">
        <v>2</v>
      </c>
      <c r="AK716">
        <v>2</v>
      </c>
      <c r="AL716">
        <v>2</v>
      </c>
    </row>
    <row r="717" spans="1:38" x14ac:dyDescent="0.3">
      <c r="A717" t="s">
        <v>785</v>
      </c>
      <c r="B717">
        <v>35</v>
      </c>
      <c r="C717" t="s">
        <v>189</v>
      </c>
      <c r="D717" t="s">
        <v>39</v>
      </c>
      <c r="E717">
        <f t="shared" si="11"/>
        <v>1</v>
      </c>
      <c r="F717" t="s">
        <v>55</v>
      </c>
      <c r="G717">
        <v>880</v>
      </c>
      <c r="H717" t="s">
        <v>50</v>
      </c>
      <c r="I717">
        <v>12</v>
      </c>
      <c r="J717">
        <v>4</v>
      </c>
      <c r="K717" t="s">
        <v>72</v>
      </c>
      <c r="L717">
        <v>1</v>
      </c>
      <c r="M717">
        <v>1667</v>
      </c>
      <c r="N717">
        <v>4</v>
      </c>
      <c r="O717" t="s">
        <v>43</v>
      </c>
      <c r="P717">
        <v>36</v>
      </c>
      <c r="Q717">
        <v>3</v>
      </c>
      <c r="R717">
        <v>2</v>
      </c>
      <c r="S717" t="s">
        <v>136</v>
      </c>
      <c r="T717">
        <v>4</v>
      </c>
      <c r="U717" t="s">
        <v>45</v>
      </c>
      <c r="V717">
        <v>4581</v>
      </c>
      <c r="W717" t="s">
        <v>46</v>
      </c>
      <c r="X717">
        <v>10414</v>
      </c>
      <c r="Y717">
        <v>3</v>
      </c>
      <c r="Z717" t="s">
        <v>47</v>
      </c>
      <c r="AA717" t="s">
        <v>39</v>
      </c>
      <c r="AB717">
        <v>24</v>
      </c>
      <c r="AC717">
        <v>4</v>
      </c>
      <c r="AD717">
        <v>1</v>
      </c>
      <c r="AE717">
        <v>80</v>
      </c>
      <c r="AF717">
        <v>0</v>
      </c>
      <c r="AG717">
        <v>13</v>
      </c>
      <c r="AH717">
        <v>2</v>
      </c>
      <c r="AI717">
        <v>4</v>
      </c>
      <c r="AJ717">
        <v>11</v>
      </c>
      <c r="AK717">
        <v>9</v>
      </c>
      <c r="AL717">
        <v>6</v>
      </c>
    </row>
    <row r="718" spans="1:38" x14ac:dyDescent="0.3">
      <c r="A718" t="s">
        <v>786</v>
      </c>
      <c r="B718">
        <v>35</v>
      </c>
      <c r="C718" t="s">
        <v>189</v>
      </c>
      <c r="D718" t="s">
        <v>48</v>
      </c>
      <c r="E718">
        <f t="shared" si="11"/>
        <v>0</v>
      </c>
      <c r="F718" t="s">
        <v>55</v>
      </c>
      <c r="G718">
        <v>146</v>
      </c>
      <c r="H718" t="s">
        <v>41</v>
      </c>
      <c r="I718">
        <v>2</v>
      </c>
      <c r="J718">
        <v>4</v>
      </c>
      <c r="K718" t="s">
        <v>51</v>
      </c>
      <c r="L718">
        <v>1</v>
      </c>
      <c r="M718">
        <v>1704</v>
      </c>
      <c r="N718">
        <v>1</v>
      </c>
      <c r="O718" t="s">
        <v>43</v>
      </c>
      <c r="P718">
        <v>79</v>
      </c>
      <c r="Q718">
        <v>2</v>
      </c>
      <c r="R718">
        <v>1</v>
      </c>
      <c r="S718" t="s">
        <v>59</v>
      </c>
      <c r="T718">
        <v>4</v>
      </c>
      <c r="U718" t="s">
        <v>45</v>
      </c>
      <c r="V718">
        <v>4930</v>
      </c>
      <c r="W718" t="s">
        <v>46</v>
      </c>
      <c r="X718">
        <v>13970</v>
      </c>
      <c r="Y718">
        <v>0</v>
      </c>
      <c r="Z718" t="s">
        <v>47</v>
      </c>
      <c r="AA718" t="s">
        <v>39</v>
      </c>
      <c r="AB718">
        <v>14</v>
      </c>
      <c r="AC718">
        <v>3</v>
      </c>
      <c r="AD718">
        <v>3</v>
      </c>
      <c r="AE718">
        <v>80</v>
      </c>
      <c r="AF718">
        <v>0</v>
      </c>
      <c r="AG718">
        <v>6</v>
      </c>
      <c r="AH718">
        <v>2</v>
      </c>
      <c r="AI718">
        <v>4</v>
      </c>
      <c r="AJ718">
        <v>5</v>
      </c>
      <c r="AK718">
        <v>4</v>
      </c>
      <c r="AL718">
        <v>1</v>
      </c>
    </row>
    <row r="719" spans="1:38" x14ac:dyDescent="0.3">
      <c r="A719" t="s">
        <v>787</v>
      </c>
      <c r="B719">
        <v>35</v>
      </c>
      <c r="C719" t="s">
        <v>189</v>
      </c>
      <c r="D719" t="s">
        <v>48</v>
      </c>
      <c r="E719">
        <f t="shared" si="11"/>
        <v>0</v>
      </c>
      <c r="F719" t="s">
        <v>40</v>
      </c>
      <c r="G719">
        <v>1370</v>
      </c>
      <c r="H719" t="s">
        <v>41</v>
      </c>
      <c r="I719">
        <v>27</v>
      </c>
      <c r="J719">
        <v>4</v>
      </c>
      <c r="K719" t="s">
        <v>42</v>
      </c>
      <c r="L719">
        <v>1</v>
      </c>
      <c r="M719">
        <v>1728</v>
      </c>
      <c r="N719">
        <v>4</v>
      </c>
      <c r="O719" t="s">
        <v>43</v>
      </c>
      <c r="P719">
        <v>49</v>
      </c>
      <c r="Q719">
        <v>3</v>
      </c>
      <c r="R719">
        <v>2</v>
      </c>
      <c r="S719" t="s">
        <v>111</v>
      </c>
      <c r="T719">
        <v>3</v>
      </c>
      <c r="U719" t="s">
        <v>104</v>
      </c>
      <c r="V719">
        <v>6883</v>
      </c>
      <c r="W719" t="s">
        <v>162</v>
      </c>
      <c r="X719">
        <v>5151</v>
      </c>
      <c r="Y719">
        <v>2</v>
      </c>
      <c r="Z719" t="s">
        <v>47</v>
      </c>
      <c r="AA719" t="s">
        <v>48</v>
      </c>
      <c r="AB719">
        <v>16</v>
      </c>
      <c r="AC719">
        <v>3</v>
      </c>
      <c r="AD719">
        <v>2</v>
      </c>
      <c r="AE719">
        <v>80</v>
      </c>
      <c r="AF719">
        <v>1</v>
      </c>
      <c r="AG719">
        <v>17</v>
      </c>
      <c r="AH719">
        <v>3</v>
      </c>
      <c r="AI719">
        <v>3</v>
      </c>
      <c r="AJ719">
        <v>7</v>
      </c>
      <c r="AK719">
        <v>7</v>
      </c>
      <c r="AL719">
        <v>0</v>
      </c>
    </row>
    <row r="720" spans="1:38" x14ac:dyDescent="0.3">
      <c r="A720" t="s">
        <v>788</v>
      </c>
      <c r="B720">
        <v>35</v>
      </c>
      <c r="C720" t="s">
        <v>189</v>
      </c>
      <c r="D720" t="s">
        <v>39</v>
      </c>
      <c r="E720">
        <f t="shared" si="11"/>
        <v>1</v>
      </c>
      <c r="F720" t="s">
        <v>40</v>
      </c>
      <c r="G720">
        <v>303</v>
      </c>
      <c r="H720" t="s">
        <v>50</v>
      </c>
      <c r="I720">
        <v>27</v>
      </c>
      <c r="J720">
        <v>3</v>
      </c>
      <c r="K720" t="s">
        <v>42</v>
      </c>
      <c r="L720">
        <v>1</v>
      </c>
      <c r="M720">
        <v>1797</v>
      </c>
      <c r="N720">
        <v>3</v>
      </c>
      <c r="O720" t="s">
        <v>43</v>
      </c>
      <c r="P720">
        <v>84</v>
      </c>
      <c r="Q720">
        <v>3</v>
      </c>
      <c r="R720">
        <v>2</v>
      </c>
      <c r="S720" t="s">
        <v>136</v>
      </c>
      <c r="T720">
        <v>4</v>
      </c>
      <c r="U720" t="s">
        <v>45</v>
      </c>
      <c r="V720">
        <v>5813</v>
      </c>
      <c r="W720" t="s">
        <v>162</v>
      </c>
      <c r="X720">
        <v>13492</v>
      </c>
      <c r="Y720">
        <v>1</v>
      </c>
      <c r="Z720" t="s">
        <v>47</v>
      </c>
      <c r="AA720" t="s">
        <v>39</v>
      </c>
      <c r="AB720">
        <v>18</v>
      </c>
      <c r="AC720">
        <v>3</v>
      </c>
      <c r="AD720">
        <v>4</v>
      </c>
      <c r="AE720">
        <v>80</v>
      </c>
      <c r="AF720">
        <v>0</v>
      </c>
      <c r="AG720">
        <v>10</v>
      </c>
      <c r="AH720">
        <v>2</v>
      </c>
      <c r="AI720">
        <v>3</v>
      </c>
      <c r="AJ720">
        <v>10</v>
      </c>
      <c r="AK720">
        <v>7</v>
      </c>
      <c r="AL720">
        <v>7</v>
      </c>
    </row>
    <row r="721" spans="1:38" x14ac:dyDescent="0.3">
      <c r="A721" t="s">
        <v>789</v>
      </c>
      <c r="B721">
        <v>35</v>
      </c>
      <c r="C721" t="s">
        <v>189</v>
      </c>
      <c r="D721" t="s">
        <v>48</v>
      </c>
      <c r="E721">
        <f t="shared" si="11"/>
        <v>0</v>
      </c>
      <c r="F721" t="s">
        <v>58</v>
      </c>
      <c r="G721">
        <v>1180</v>
      </c>
      <c r="H721" t="s">
        <v>41</v>
      </c>
      <c r="I721">
        <v>2</v>
      </c>
      <c r="J721">
        <v>2</v>
      </c>
      <c r="K721" t="s">
        <v>51</v>
      </c>
      <c r="L721">
        <v>1</v>
      </c>
      <c r="M721">
        <v>1804</v>
      </c>
      <c r="N721">
        <v>2</v>
      </c>
      <c r="O721" t="s">
        <v>43</v>
      </c>
      <c r="P721">
        <v>90</v>
      </c>
      <c r="Q721">
        <v>3</v>
      </c>
      <c r="R721">
        <v>2</v>
      </c>
      <c r="S721" t="s">
        <v>111</v>
      </c>
      <c r="T721">
        <v>4</v>
      </c>
      <c r="U721" t="s">
        <v>101</v>
      </c>
      <c r="V721">
        <v>5762</v>
      </c>
      <c r="W721" t="s">
        <v>162</v>
      </c>
      <c r="X721">
        <v>24442</v>
      </c>
      <c r="Y721">
        <v>2</v>
      </c>
      <c r="Z721" t="s">
        <v>47</v>
      </c>
      <c r="AA721" t="s">
        <v>48</v>
      </c>
      <c r="AB721">
        <v>14</v>
      </c>
      <c r="AC721">
        <v>3</v>
      </c>
      <c r="AD721">
        <v>3</v>
      </c>
      <c r="AE721">
        <v>80</v>
      </c>
      <c r="AF721">
        <v>1</v>
      </c>
      <c r="AG721">
        <v>15</v>
      </c>
      <c r="AH721">
        <v>6</v>
      </c>
      <c r="AI721">
        <v>3</v>
      </c>
      <c r="AJ721">
        <v>7</v>
      </c>
      <c r="AK721">
        <v>7</v>
      </c>
      <c r="AL721">
        <v>1</v>
      </c>
    </row>
    <row r="722" spans="1:38" x14ac:dyDescent="0.3">
      <c r="A722" t="s">
        <v>790</v>
      </c>
      <c r="B722">
        <v>35</v>
      </c>
      <c r="C722" t="s">
        <v>189</v>
      </c>
      <c r="D722" t="s">
        <v>48</v>
      </c>
      <c r="E722">
        <f t="shared" si="11"/>
        <v>0</v>
      </c>
      <c r="F722" t="s">
        <v>40</v>
      </c>
      <c r="G722">
        <v>185</v>
      </c>
      <c r="H722" t="s">
        <v>41</v>
      </c>
      <c r="I722">
        <v>23</v>
      </c>
      <c r="J722">
        <v>4</v>
      </c>
      <c r="K722" t="s">
        <v>51</v>
      </c>
      <c r="L722">
        <v>1</v>
      </c>
      <c r="M722">
        <v>1826</v>
      </c>
      <c r="N722">
        <v>2</v>
      </c>
      <c r="O722" t="s">
        <v>43</v>
      </c>
      <c r="P722">
        <v>91</v>
      </c>
      <c r="Q722">
        <v>1</v>
      </c>
      <c r="R722">
        <v>1</v>
      </c>
      <c r="S722" t="s">
        <v>44</v>
      </c>
      <c r="T722">
        <v>3</v>
      </c>
      <c r="U722" t="s">
        <v>104</v>
      </c>
      <c r="V722">
        <v>2705</v>
      </c>
      <c r="W722" t="s">
        <v>46</v>
      </c>
      <c r="X722">
        <v>9696</v>
      </c>
      <c r="Y722">
        <v>0</v>
      </c>
      <c r="Z722" t="s">
        <v>47</v>
      </c>
      <c r="AA722" t="s">
        <v>48</v>
      </c>
      <c r="AB722">
        <v>16</v>
      </c>
      <c r="AC722">
        <v>3</v>
      </c>
      <c r="AD722">
        <v>2</v>
      </c>
      <c r="AE722">
        <v>80</v>
      </c>
      <c r="AF722">
        <v>1</v>
      </c>
      <c r="AG722">
        <v>6</v>
      </c>
      <c r="AH722">
        <v>2</v>
      </c>
      <c r="AI722">
        <v>4</v>
      </c>
      <c r="AJ722">
        <v>5</v>
      </c>
      <c r="AK722">
        <v>4</v>
      </c>
      <c r="AL722">
        <v>0</v>
      </c>
    </row>
    <row r="723" spans="1:38" x14ac:dyDescent="0.3">
      <c r="A723" t="s">
        <v>791</v>
      </c>
      <c r="B723">
        <v>35</v>
      </c>
      <c r="C723" t="s">
        <v>189</v>
      </c>
      <c r="D723" t="s">
        <v>48</v>
      </c>
      <c r="E723">
        <f t="shared" si="11"/>
        <v>0</v>
      </c>
      <c r="F723" t="s">
        <v>40</v>
      </c>
      <c r="G723">
        <v>219</v>
      </c>
      <c r="H723" t="s">
        <v>41</v>
      </c>
      <c r="I723">
        <v>16</v>
      </c>
      <c r="J723">
        <v>2</v>
      </c>
      <c r="K723" t="s">
        <v>72</v>
      </c>
      <c r="L723">
        <v>1</v>
      </c>
      <c r="M723">
        <v>1886</v>
      </c>
      <c r="N723">
        <v>4</v>
      </c>
      <c r="O723" t="s">
        <v>52</v>
      </c>
      <c r="P723">
        <v>44</v>
      </c>
      <c r="Q723">
        <v>2</v>
      </c>
      <c r="R723">
        <v>2</v>
      </c>
      <c r="S723" t="s">
        <v>111</v>
      </c>
      <c r="T723">
        <v>2</v>
      </c>
      <c r="U723" t="s">
        <v>104</v>
      </c>
      <c r="V723">
        <v>4788</v>
      </c>
      <c r="W723" t="s">
        <v>46</v>
      </c>
      <c r="X723">
        <v>25388</v>
      </c>
      <c r="Y723">
        <v>0</v>
      </c>
      <c r="Z723" t="s">
        <v>47</v>
      </c>
      <c r="AA723" t="s">
        <v>39</v>
      </c>
      <c r="AB723">
        <v>11</v>
      </c>
      <c r="AC723">
        <v>3</v>
      </c>
      <c r="AD723">
        <v>4</v>
      </c>
      <c r="AE723">
        <v>80</v>
      </c>
      <c r="AF723">
        <v>0</v>
      </c>
      <c r="AG723">
        <v>4</v>
      </c>
      <c r="AH723">
        <v>2</v>
      </c>
      <c r="AI723">
        <v>3</v>
      </c>
      <c r="AJ723">
        <v>3</v>
      </c>
      <c r="AK723">
        <v>2</v>
      </c>
      <c r="AL723">
        <v>0</v>
      </c>
    </row>
    <row r="724" spans="1:38" x14ac:dyDescent="0.3">
      <c r="A724" t="s">
        <v>792</v>
      </c>
      <c r="B724">
        <v>35</v>
      </c>
      <c r="C724" t="s">
        <v>189</v>
      </c>
      <c r="D724" t="s">
        <v>48</v>
      </c>
      <c r="E724">
        <f t="shared" si="11"/>
        <v>0</v>
      </c>
      <c r="F724" t="s">
        <v>40</v>
      </c>
      <c r="G724">
        <v>682</v>
      </c>
      <c r="H724" t="s">
        <v>50</v>
      </c>
      <c r="I724">
        <v>18</v>
      </c>
      <c r="J724">
        <v>4</v>
      </c>
      <c r="K724" t="s">
        <v>51</v>
      </c>
      <c r="L724">
        <v>1</v>
      </c>
      <c r="M724">
        <v>1945</v>
      </c>
      <c r="N724">
        <v>2</v>
      </c>
      <c r="O724" t="s">
        <v>43</v>
      </c>
      <c r="P724">
        <v>71</v>
      </c>
      <c r="Q724">
        <v>3</v>
      </c>
      <c r="R724">
        <v>2</v>
      </c>
      <c r="S724" t="s">
        <v>136</v>
      </c>
      <c r="T724">
        <v>1</v>
      </c>
      <c r="U724" t="s">
        <v>104</v>
      </c>
      <c r="V724">
        <v>5561</v>
      </c>
      <c r="W724" t="s">
        <v>162</v>
      </c>
      <c r="X724">
        <v>15975</v>
      </c>
      <c r="Y724">
        <v>0</v>
      </c>
      <c r="Z724" t="s">
        <v>47</v>
      </c>
      <c r="AA724" t="s">
        <v>48</v>
      </c>
      <c r="AB724">
        <v>16</v>
      </c>
      <c r="AC724">
        <v>3</v>
      </c>
      <c r="AD724">
        <v>4</v>
      </c>
      <c r="AE724">
        <v>80</v>
      </c>
      <c r="AF724">
        <v>1</v>
      </c>
      <c r="AG724">
        <v>6</v>
      </c>
      <c r="AH724">
        <v>2</v>
      </c>
      <c r="AI724">
        <v>1</v>
      </c>
      <c r="AJ724">
        <v>5</v>
      </c>
      <c r="AK724">
        <v>3</v>
      </c>
      <c r="AL724">
        <v>0</v>
      </c>
    </row>
    <row r="725" spans="1:38" x14ac:dyDescent="0.3">
      <c r="A725" t="s">
        <v>793</v>
      </c>
      <c r="B725">
        <v>35</v>
      </c>
      <c r="C725" t="s">
        <v>189</v>
      </c>
      <c r="D725" t="s">
        <v>48</v>
      </c>
      <c r="E725">
        <f t="shared" si="11"/>
        <v>0</v>
      </c>
      <c r="F725" t="s">
        <v>40</v>
      </c>
      <c r="G725">
        <v>1224</v>
      </c>
      <c r="H725" t="s">
        <v>50</v>
      </c>
      <c r="I725">
        <v>7</v>
      </c>
      <c r="J725">
        <v>4</v>
      </c>
      <c r="K725" t="s">
        <v>42</v>
      </c>
      <c r="L725">
        <v>1</v>
      </c>
      <c r="M725">
        <v>1962</v>
      </c>
      <c r="N725">
        <v>3</v>
      </c>
      <c r="O725" t="s">
        <v>52</v>
      </c>
      <c r="P725">
        <v>55</v>
      </c>
      <c r="Q725">
        <v>3</v>
      </c>
      <c r="R725">
        <v>2</v>
      </c>
      <c r="S725" t="s">
        <v>136</v>
      </c>
      <c r="T725">
        <v>4</v>
      </c>
      <c r="U725" t="s">
        <v>104</v>
      </c>
      <c r="V725">
        <v>5204</v>
      </c>
      <c r="W725" t="s">
        <v>162</v>
      </c>
      <c r="X725">
        <v>13586</v>
      </c>
      <c r="Y725">
        <v>1</v>
      </c>
      <c r="Z725" t="s">
        <v>47</v>
      </c>
      <c r="AA725" t="s">
        <v>39</v>
      </c>
      <c r="AB725">
        <v>11</v>
      </c>
      <c r="AC725">
        <v>3</v>
      </c>
      <c r="AD725">
        <v>4</v>
      </c>
      <c r="AE725">
        <v>80</v>
      </c>
      <c r="AF725">
        <v>0</v>
      </c>
      <c r="AG725">
        <v>10</v>
      </c>
      <c r="AH725">
        <v>2</v>
      </c>
      <c r="AI725">
        <v>3</v>
      </c>
      <c r="AJ725">
        <v>10</v>
      </c>
      <c r="AK725">
        <v>8</v>
      </c>
      <c r="AL725">
        <v>0</v>
      </c>
    </row>
    <row r="726" spans="1:38" x14ac:dyDescent="0.3">
      <c r="A726" t="s">
        <v>794</v>
      </c>
      <c r="B726">
        <v>35</v>
      </c>
      <c r="C726" t="s">
        <v>189</v>
      </c>
      <c r="D726" t="s">
        <v>48</v>
      </c>
      <c r="E726">
        <f t="shared" si="11"/>
        <v>0</v>
      </c>
      <c r="F726" t="s">
        <v>40</v>
      </c>
      <c r="G726">
        <v>1490</v>
      </c>
      <c r="H726" t="s">
        <v>41</v>
      </c>
      <c r="I726">
        <v>11</v>
      </c>
      <c r="J726">
        <v>4</v>
      </c>
      <c r="K726" t="s">
        <v>51</v>
      </c>
      <c r="L726">
        <v>1</v>
      </c>
      <c r="M726">
        <v>2003</v>
      </c>
      <c r="N726">
        <v>4</v>
      </c>
      <c r="O726" t="s">
        <v>43</v>
      </c>
      <c r="P726">
        <v>43</v>
      </c>
      <c r="Q726">
        <v>3</v>
      </c>
      <c r="R726">
        <v>1</v>
      </c>
      <c r="S726" t="s">
        <v>44</v>
      </c>
      <c r="T726">
        <v>3</v>
      </c>
      <c r="U726" t="s">
        <v>104</v>
      </c>
      <c r="V726">
        <v>2660</v>
      </c>
      <c r="W726" t="s">
        <v>46</v>
      </c>
      <c r="X726">
        <v>20232</v>
      </c>
      <c r="Y726">
        <v>7</v>
      </c>
      <c r="Z726" t="s">
        <v>47</v>
      </c>
      <c r="AA726" t="s">
        <v>39</v>
      </c>
      <c r="AB726">
        <v>11</v>
      </c>
      <c r="AC726">
        <v>3</v>
      </c>
      <c r="AD726">
        <v>3</v>
      </c>
      <c r="AE726">
        <v>80</v>
      </c>
      <c r="AF726">
        <v>1</v>
      </c>
      <c r="AG726">
        <v>5</v>
      </c>
      <c r="AH726">
        <v>3</v>
      </c>
      <c r="AI726">
        <v>3</v>
      </c>
      <c r="AJ726">
        <v>2</v>
      </c>
      <c r="AK726">
        <v>2</v>
      </c>
      <c r="AL726">
        <v>2</v>
      </c>
    </row>
    <row r="727" spans="1:38" x14ac:dyDescent="0.3">
      <c r="A727" t="s">
        <v>795</v>
      </c>
      <c r="B727">
        <v>35</v>
      </c>
      <c r="C727" t="s">
        <v>189</v>
      </c>
      <c r="D727" t="s">
        <v>48</v>
      </c>
      <c r="E727">
        <f t="shared" si="11"/>
        <v>0</v>
      </c>
      <c r="F727" t="s">
        <v>40</v>
      </c>
      <c r="G727">
        <v>1395</v>
      </c>
      <c r="H727" t="s">
        <v>41</v>
      </c>
      <c r="I727">
        <v>9</v>
      </c>
      <c r="J727">
        <v>4</v>
      </c>
      <c r="K727" t="s">
        <v>51</v>
      </c>
      <c r="L727">
        <v>1</v>
      </c>
      <c r="M727">
        <v>2008</v>
      </c>
      <c r="N727">
        <v>2</v>
      </c>
      <c r="O727" t="s">
        <v>43</v>
      </c>
      <c r="P727">
        <v>48</v>
      </c>
      <c r="Q727">
        <v>3</v>
      </c>
      <c r="R727">
        <v>2</v>
      </c>
      <c r="S727" t="s">
        <v>59</v>
      </c>
      <c r="T727">
        <v>3</v>
      </c>
      <c r="U727" t="s">
        <v>45</v>
      </c>
      <c r="V727">
        <v>5098</v>
      </c>
      <c r="W727" t="s">
        <v>162</v>
      </c>
      <c r="X727">
        <v>18698</v>
      </c>
      <c r="Y727">
        <v>1</v>
      </c>
      <c r="Z727" t="s">
        <v>47</v>
      </c>
      <c r="AA727" t="s">
        <v>48</v>
      </c>
      <c r="AB727">
        <v>19</v>
      </c>
      <c r="AC727">
        <v>3</v>
      </c>
      <c r="AD727">
        <v>2</v>
      </c>
      <c r="AE727">
        <v>80</v>
      </c>
      <c r="AF727">
        <v>0</v>
      </c>
      <c r="AG727">
        <v>10</v>
      </c>
      <c r="AH727">
        <v>5</v>
      </c>
      <c r="AI727">
        <v>3</v>
      </c>
      <c r="AJ727">
        <v>10</v>
      </c>
      <c r="AK727">
        <v>7</v>
      </c>
      <c r="AL727">
        <v>0</v>
      </c>
    </row>
    <row r="728" spans="1:38" x14ac:dyDescent="0.3">
      <c r="A728" t="s">
        <v>796</v>
      </c>
      <c r="B728">
        <v>35</v>
      </c>
      <c r="C728" t="s">
        <v>189</v>
      </c>
      <c r="D728" t="s">
        <v>48</v>
      </c>
      <c r="E728">
        <f t="shared" si="11"/>
        <v>0</v>
      </c>
      <c r="F728" t="s">
        <v>40</v>
      </c>
      <c r="G728">
        <v>1146</v>
      </c>
      <c r="H728" t="s">
        <v>70</v>
      </c>
      <c r="I728">
        <v>26</v>
      </c>
      <c r="J728">
        <v>4</v>
      </c>
      <c r="K728" t="s">
        <v>42</v>
      </c>
      <c r="L728">
        <v>1</v>
      </c>
      <c r="M728">
        <v>2040</v>
      </c>
      <c r="N728">
        <v>3</v>
      </c>
      <c r="O728" t="s">
        <v>52</v>
      </c>
      <c r="P728">
        <v>31</v>
      </c>
      <c r="Q728">
        <v>3</v>
      </c>
      <c r="R728">
        <v>3</v>
      </c>
      <c r="S728" t="s">
        <v>70</v>
      </c>
      <c r="T728">
        <v>4</v>
      </c>
      <c r="U728" t="s">
        <v>45</v>
      </c>
      <c r="V728">
        <v>8837</v>
      </c>
      <c r="W728" t="s">
        <v>162</v>
      </c>
      <c r="X728">
        <v>16642</v>
      </c>
      <c r="Y728">
        <v>1</v>
      </c>
      <c r="Z728" t="s">
        <v>47</v>
      </c>
      <c r="AA728" t="s">
        <v>39</v>
      </c>
      <c r="AB728">
        <v>16</v>
      </c>
      <c r="AC728">
        <v>3</v>
      </c>
      <c r="AD728">
        <v>3</v>
      </c>
      <c r="AE728">
        <v>80</v>
      </c>
      <c r="AF728">
        <v>0</v>
      </c>
      <c r="AG728">
        <v>9</v>
      </c>
      <c r="AH728">
        <v>2</v>
      </c>
      <c r="AI728">
        <v>3</v>
      </c>
      <c r="AJ728">
        <v>9</v>
      </c>
      <c r="AK728">
        <v>0</v>
      </c>
      <c r="AL728">
        <v>1</v>
      </c>
    </row>
    <row r="729" spans="1:38" x14ac:dyDescent="0.3">
      <c r="A729" t="s">
        <v>797</v>
      </c>
      <c r="B729">
        <v>35</v>
      </c>
      <c r="C729" t="s">
        <v>189</v>
      </c>
      <c r="D729" t="s">
        <v>48</v>
      </c>
      <c r="E729">
        <f t="shared" si="11"/>
        <v>0</v>
      </c>
      <c r="F729" t="s">
        <v>55</v>
      </c>
      <c r="G729">
        <v>1199</v>
      </c>
      <c r="H729" t="s">
        <v>41</v>
      </c>
      <c r="I729">
        <v>18</v>
      </c>
      <c r="J729">
        <v>4</v>
      </c>
      <c r="K729" t="s">
        <v>42</v>
      </c>
      <c r="L729">
        <v>1</v>
      </c>
      <c r="M729">
        <v>2049</v>
      </c>
      <c r="N729">
        <v>3</v>
      </c>
      <c r="O729" t="s">
        <v>43</v>
      </c>
      <c r="P729">
        <v>80</v>
      </c>
      <c r="Q729">
        <v>3</v>
      </c>
      <c r="R729">
        <v>2</v>
      </c>
      <c r="S729" t="s">
        <v>160</v>
      </c>
      <c r="T729">
        <v>3</v>
      </c>
      <c r="U729" t="s">
        <v>104</v>
      </c>
      <c r="V729">
        <v>5689</v>
      </c>
      <c r="W729" t="s">
        <v>162</v>
      </c>
      <c r="X729">
        <v>24594</v>
      </c>
      <c r="Y729">
        <v>1</v>
      </c>
      <c r="Z729" t="s">
        <v>47</v>
      </c>
      <c r="AA729" t="s">
        <v>39</v>
      </c>
      <c r="AB729">
        <v>14</v>
      </c>
      <c r="AC729">
        <v>3</v>
      </c>
      <c r="AD729">
        <v>4</v>
      </c>
      <c r="AE729">
        <v>80</v>
      </c>
      <c r="AF729">
        <v>2</v>
      </c>
      <c r="AG729">
        <v>10</v>
      </c>
      <c r="AH729">
        <v>2</v>
      </c>
      <c r="AI729">
        <v>4</v>
      </c>
      <c r="AJ729">
        <v>10</v>
      </c>
      <c r="AK729">
        <v>2</v>
      </c>
      <c r="AL729">
        <v>0</v>
      </c>
    </row>
    <row r="730" spans="1:38" x14ac:dyDescent="0.3">
      <c r="A730" t="s">
        <v>798</v>
      </c>
      <c r="B730">
        <v>35</v>
      </c>
      <c r="C730" t="s">
        <v>189</v>
      </c>
      <c r="D730" t="s">
        <v>48</v>
      </c>
      <c r="E730">
        <f t="shared" si="11"/>
        <v>0</v>
      </c>
      <c r="F730" t="s">
        <v>40</v>
      </c>
      <c r="G730">
        <v>287</v>
      </c>
      <c r="H730" t="s">
        <v>41</v>
      </c>
      <c r="I730">
        <v>1</v>
      </c>
      <c r="J730">
        <v>4</v>
      </c>
      <c r="K730" t="s">
        <v>42</v>
      </c>
      <c r="L730">
        <v>1</v>
      </c>
      <c r="M730">
        <v>2052</v>
      </c>
      <c r="N730">
        <v>3</v>
      </c>
      <c r="O730" t="s">
        <v>52</v>
      </c>
      <c r="P730">
        <v>62</v>
      </c>
      <c r="Q730">
        <v>1</v>
      </c>
      <c r="R730">
        <v>1</v>
      </c>
      <c r="S730" t="s">
        <v>59</v>
      </c>
      <c r="T730">
        <v>4</v>
      </c>
      <c r="U730" t="s">
        <v>104</v>
      </c>
      <c r="V730">
        <v>2977</v>
      </c>
      <c r="W730" t="s">
        <v>46</v>
      </c>
      <c r="X730">
        <v>8952</v>
      </c>
      <c r="Y730">
        <v>1</v>
      </c>
      <c r="Z730" t="s">
        <v>47</v>
      </c>
      <c r="AA730" t="s">
        <v>48</v>
      </c>
      <c r="AB730">
        <v>12</v>
      </c>
      <c r="AC730">
        <v>3</v>
      </c>
      <c r="AD730">
        <v>4</v>
      </c>
      <c r="AE730">
        <v>80</v>
      </c>
      <c r="AF730">
        <v>1</v>
      </c>
      <c r="AG730">
        <v>4</v>
      </c>
      <c r="AH730">
        <v>5</v>
      </c>
      <c r="AI730">
        <v>3</v>
      </c>
      <c r="AJ730">
        <v>4</v>
      </c>
      <c r="AK730">
        <v>3</v>
      </c>
      <c r="AL730">
        <v>1</v>
      </c>
    </row>
    <row r="731" spans="1:38" x14ac:dyDescent="0.3">
      <c r="A731" t="s">
        <v>799</v>
      </c>
      <c r="B731">
        <v>36</v>
      </c>
      <c r="C731" t="s">
        <v>800</v>
      </c>
      <c r="D731" t="s">
        <v>48</v>
      </c>
      <c r="E731">
        <f t="shared" si="11"/>
        <v>0</v>
      </c>
      <c r="F731" t="s">
        <v>40</v>
      </c>
      <c r="G731">
        <v>1299</v>
      </c>
      <c r="H731" t="s">
        <v>41</v>
      </c>
      <c r="I731">
        <v>27</v>
      </c>
      <c r="J731">
        <v>3</v>
      </c>
      <c r="K731" t="s">
        <v>51</v>
      </c>
      <c r="L731">
        <v>1</v>
      </c>
      <c r="M731">
        <v>13</v>
      </c>
      <c r="N731">
        <v>3</v>
      </c>
      <c r="O731" t="s">
        <v>43</v>
      </c>
      <c r="P731">
        <v>94</v>
      </c>
      <c r="Q731">
        <v>3</v>
      </c>
      <c r="R731">
        <v>2</v>
      </c>
      <c r="S731" t="s">
        <v>160</v>
      </c>
      <c r="T731">
        <v>3</v>
      </c>
      <c r="U731" t="s">
        <v>104</v>
      </c>
      <c r="V731">
        <v>5237</v>
      </c>
      <c r="W731" t="s">
        <v>162</v>
      </c>
      <c r="X731">
        <v>16577</v>
      </c>
      <c r="Y731">
        <v>6</v>
      </c>
      <c r="Z731" t="s">
        <v>47</v>
      </c>
      <c r="AA731" t="s">
        <v>48</v>
      </c>
      <c r="AB731">
        <v>13</v>
      </c>
      <c r="AC731">
        <v>3</v>
      </c>
      <c r="AD731">
        <v>2</v>
      </c>
      <c r="AE731">
        <v>80</v>
      </c>
      <c r="AF731">
        <v>2</v>
      </c>
      <c r="AG731">
        <v>17</v>
      </c>
      <c r="AH731">
        <v>3</v>
      </c>
      <c r="AI731">
        <v>2</v>
      </c>
      <c r="AJ731">
        <v>7</v>
      </c>
      <c r="AK731">
        <v>7</v>
      </c>
      <c r="AL731">
        <v>7</v>
      </c>
    </row>
    <row r="732" spans="1:38" x14ac:dyDescent="0.3">
      <c r="A732" t="s">
        <v>801</v>
      </c>
      <c r="B732">
        <v>36</v>
      </c>
      <c r="C732" t="s">
        <v>800</v>
      </c>
      <c r="D732" t="s">
        <v>39</v>
      </c>
      <c r="E732">
        <f t="shared" si="11"/>
        <v>1</v>
      </c>
      <c r="F732" t="s">
        <v>40</v>
      </c>
      <c r="G732">
        <v>1218</v>
      </c>
      <c r="H732" t="s">
        <v>50</v>
      </c>
      <c r="I732">
        <v>9</v>
      </c>
      <c r="J732">
        <v>4</v>
      </c>
      <c r="K732" t="s">
        <v>42</v>
      </c>
      <c r="L732">
        <v>1</v>
      </c>
      <c r="M732">
        <v>27</v>
      </c>
      <c r="N732">
        <v>3</v>
      </c>
      <c r="O732" t="s">
        <v>43</v>
      </c>
      <c r="P732">
        <v>82</v>
      </c>
      <c r="Q732">
        <v>2</v>
      </c>
      <c r="R732">
        <v>1</v>
      </c>
      <c r="S732" t="s">
        <v>53</v>
      </c>
      <c r="T732">
        <v>1</v>
      </c>
      <c r="U732" t="s">
        <v>45</v>
      </c>
      <c r="V732">
        <v>3407</v>
      </c>
      <c r="W732" t="s">
        <v>46</v>
      </c>
      <c r="X732">
        <v>6986</v>
      </c>
      <c r="Y732">
        <v>7</v>
      </c>
      <c r="Z732" t="s">
        <v>47</v>
      </c>
      <c r="AA732" t="s">
        <v>48</v>
      </c>
      <c r="AB732">
        <v>23</v>
      </c>
      <c r="AC732">
        <v>4</v>
      </c>
      <c r="AD732">
        <v>2</v>
      </c>
      <c r="AE732">
        <v>80</v>
      </c>
      <c r="AF732">
        <v>0</v>
      </c>
      <c r="AG732">
        <v>10</v>
      </c>
      <c r="AH732">
        <v>4</v>
      </c>
      <c r="AI732">
        <v>3</v>
      </c>
      <c r="AJ732">
        <v>5</v>
      </c>
      <c r="AK732">
        <v>3</v>
      </c>
      <c r="AL732">
        <v>0</v>
      </c>
    </row>
    <row r="733" spans="1:38" x14ac:dyDescent="0.3">
      <c r="A733" t="s">
        <v>802</v>
      </c>
      <c r="B733">
        <v>36</v>
      </c>
      <c r="C733" t="s">
        <v>800</v>
      </c>
      <c r="D733" t="s">
        <v>48</v>
      </c>
      <c r="E733">
        <f t="shared" si="11"/>
        <v>0</v>
      </c>
      <c r="F733" t="s">
        <v>40</v>
      </c>
      <c r="G733">
        <v>852</v>
      </c>
      <c r="H733" t="s">
        <v>41</v>
      </c>
      <c r="I733">
        <v>5</v>
      </c>
      <c r="J733">
        <v>4</v>
      </c>
      <c r="K733" t="s">
        <v>42</v>
      </c>
      <c r="L733">
        <v>1</v>
      </c>
      <c r="M733">
        <v>51</v>
      </c>
      <c r="N733">
        <v>2</v>
      </c>
      <c r="O733" t="s">
        <v>52</v>
      </c>
      <c r="P733">
        <v>82</v>
      </c>
      <c r="Q733">
        <v>2</v>
      </c>
      <c r="R733">
        <v>1</v>
      </c>
      <c r="S733" t="s">
        <v>59</v>
      </c>
      <c r="T733">
        <v>1</v>
      </c>
      <c r="U733" t="s">
        <v>104</v>
      </c>
      <c r="V733">
        <v>3419</v>
      </c>
      <c r="W733" t="s">
        <v>46</v>
      </c>
      <c r="X733">
        <v>13072</v>
      </c>
      <c r="Y733">
        <v>9</v>
      </c>
      <c r="Z733" t="s">
        <v>47</v>
      </c>
      <c r="AA733" t="s">
        <v>39</v>
      </c>
      <c r="AB733">
        <v>14</v>
      </c>
      <c r="AC733">
        <v>3</v>
      </c>
      <c r="AD733">
        <v>4</v>
      </c>
      <c r="AE733">
        <v>80</v>
      </c>
      <c r="AF733">
        <v>1</v>
      </c>
      <c r="AG733">
        <v>6</v>
      </c>
      <c r="AH733">
        <v>3</v>
      </c>
      <c r="AI733">
        <v>4</v>
      </c>
      <c r="AJ733">
        <v>1</v>
      </c>
      <c r="AK733">
        <v>1</v>
      </c>
      <c r="AL733">
        <v>0</v>
      </c>
    </row>
    <row r="734" spans="1:38" x14ac:dyDescent="0.3">
      <c r="A734" t="s">
        <v>803</v>
      </c>
      <c r="B734">
        <v>36</v>
      </c>
      <c r="C734" t="s">
        <v>800</v>
      </c>
      <c r="D734" t="s">
        <v>48</v>
      </c>
      <c r="E734">
        <f t="shared" si="11"/>
        <v>0</v>
      </c>
      <c r="F734" t="s">
        <v>40</v>
      </c>
      <c r="G734">
        <v>1223</v>
      </c>
      <c r="H734" t="s">
        <v>41</v>
      </c>
      <c r="I734">
        <v>8</v>
      </c>
      <c r="J734">
        <v>3</v>
      </c>
      <c r="K734" t="s">
        <v>67</v>
      </c>
      <c r="L734">
        <v>1</v>
      </c>
      <c r="M734">
        <v>83</v>
      </c>
      <c r="N734">
        <v>3</v>
      </c>
      <c r="O734" t="s">
        <v>52</v>
      </c>
      <c r="P734">
        <v>59</v>
      </c>
      <c r="Q734">
        <v>3</v>
      </c>
      <c r="R734">
        <v>3</v>
      </c>
      <c r="S734" t="s">
        <v>160</v>
      </c>
      <c r="T734">
        <v>3</v>
      </c>
      <c r="U734" t="s">
        <v>101</v>
      </c>
      <c r="V734">
        <v>10096</v>
      </c>
      <c r="W734" t="s">
        <v>252</v>
      </c>
      <c r="X734">
        <v>8202</v>
      </c>
      <c r="Y734">
        <v>1</v>
      </c>
      <c r="Z734" t="s">
        <v>47</v>
      </c>
      <c r="AA734" t="s">
        <v>48</v>
      </c>
      <c r="AB734">
        <v>13</v>
      </c>
      <c r="AC734">
        <v>3</v>
      </c>
      <c r="AD734">
        <v>2</v>
      </c>
      <c r="AE734">
        <v>80</v>
      </c>
      <c r="AF734">
        <v>3</v>
      </c>
      <c r="AG734">
        <v>17</v>
      </c>
      <c r="AH734">
        <v>2</v>
      </c>
      <c r="AI734">
        <v>3</v>
      </c>
      <c r="AJ734">
        <v>17</v>
      </c>
      <c r="AK734">
        <v>14</v>
      </c>
      <c r="AL734">
        <v>12</v>
      </c>
    </row>
    <row r="735" spans="1:38" x14ac:dyDescent="0.3">
      <c r="A735" t="s">
        <v>804</v>
      </c>
      <c r="B735">
        <v>36</v>
      </c>
      <c r="C735" t="s">
        <v>800</v>
      </c>
      <c r="D735" t="s">
        <v>48</v>
      </c>
      <c r="E735">
        <f t="shared" si="11"/>
        <v>0</v>
      </c>
      <c r="F735" t="s">
        <v>55</v>
      </c>
      <c r="G735">
        <v>1195</v>
      </c>
      <c r="H735" t="s">
        <v>41</v>
      </c>
      <c r="I735">
        <v>11</v>
      </c>
      <c r="J735">
        <v>3</v>
      </c>
      <c r="K735" t="s">
        <v>42</v>
      </c>
      <c r="L735">
        <v>1</v>
      </c>
      <c r="M735">
        <v>85</v>
      </c>
      <c r="N735">
        <v>2</v>
      </c>
      <c r="O735" t="s">
        <v>43</v>
      </c>
      <c r="P735">
        <v>95</v>
      </c>
      <c r="Q735">
        <v>2</v>
      </c>
      <c r="R735">
        <v>2</v>
      </c>
      <c r="S735" t="s">
        <v>111</v>
      </c>
      <c r="T735">
        <v>2</v>
      </c>
      <c r="U735" t="s">
        <v>45</v>
      </c>
      <c r="V735">
        <v>6499</v>
      </c>
      <c r="W735" t="s">
        <v>162</v>
      </c>
      <c r="X735">
        <v>22656</v>
      </c>
      <c r="Y735">
        <v>1</v>
      </c>
      <c r="Z735" t="s">
        <v>47</v>
      </c>
      <c r="AA735" t="s">
        <v>48</v>
      </c>
      <c r="AB735">
        <v>13</v>
      </c>
      <c r="AC735">
        <v>3</v>
      </c>
      <c r="AD735">
        <v>3</v>
      </c>
      <c r="AE735">
        <v>80</v>
      </c>
      <c r="AF735">
        <v>0</v>
      </c>
      <c r="AG735">
        <v>6</v>
      </c>
      <c r="AH735">
        <v>3</v>
      </c>
      <c r="AI735">
        <v>3</v>
      </c>
      <c r="AJ735">
        <v>6</v>
      </c>
      <c r="AK735">
        <v>5</v>
      </c>
      <c r="AL735">
        <v>0</v>
      </c>
    </row>
    <row r="736" spans="1:38" x14ac:dyDescent="0.3">
      <c r="A736" t="s">
        <v>805</v>
      </c>
      <c r="B736">
        <v>36</v>
      </c>
      <c r="C736" t="s">
        <v>800</v>
      </c>
      <c r="D736" t="s">
        <v>39</v>
      </c>
      <c r="E736">
        <f t="shared" si="11"/>
        <v>1</v>
      </c>
      <c r="F736" t="s">
        <v>40</v>
      </c>
      <c r="G736">
        <v>318</v>
      </c>
      <c r="H736" t="s">
        <v>41</v>
      </c>
      <c r="I736">
        <v>9</v>
      </c>
      <c r="J736">
        <v>3</v>
      </c>
      <c r="K736" t="s">
        <v>51</v>
      </c>
      <c r="L736">
        <v>1</v>
      </c>
      <c r="M736">
        <v>90</v>
      </c>
      <c r="N736">
        <v>4</v>
      </c>
      <c r="O736" t="s">
        <v>43</v>
      </c>
      <c r="P736">
        <v>79</v>
      </c>
      <c r="Q736">
        <v>2</v>
      </c>
      <c r="R736">
        <v>1</v>
      </c>
      <c r="S736" t="s">
        <v>59</v>
      </c>
      <c r="T736">
        <v>3</v>
      </c>
      <c r="U736" t="s">
        <v>104</v>
      </c>
      <c r="V736">
        <v>3388</v>
      </c>
      <c r="W736" t="s">
        <v>46</v>
      </c>
      <c r="X736">
        <v>21777</v>
      </c>
      <c r="Y736">
        <v>0</v>
      </c>
      <c r="Z736" t="s">
        <v>47</v>
      </c>
      <c r="AA736" t="s">
        <v>39</v>
      </c>
      <c r="AB736">
        <v>17</v>
      </c>
      <c r="AC736">
        <v>3</v>
      </c>
      <c r="AD736">
        <v>1</v>
      </c>
      <c r="AE736">
        <v>80</v>
      </c>
      <c r="AF736">
        <v>1</v>
      </c>
      <c r="AG736">
        <v>2</v>
      </c>
      <c r="AH736">
        <v>0</v>
      </c>
      <c r="AI736">
        <v>2</v>
      </c>
      <c r="AJ736">
        <v>1</v>
      </c>
      <c r="AK736">
        <v>0</v>
      </c>
      <c r="AL736">
        <v>0</v>
      </c>
    </row>
    <row r="737" spans="1:38" x14ac:dyDescent="0.3">
      <c r="A737" t="s">
        <v>806</v>
      </c>
      <c r="B737">
        <v>36</v>
      </c>
      <c r="C737" t="s">
        <v>800</v>
      </c>
      <c r="D737" t="s">
        <v>48</v>
      </c>
      <c r="E737">
        <f t="shared" si="11"/>
        <v>0</v>
      </c>
      <c r="F737" t="s">
        <v>40</v>
      </c>
      <c r="G737">
        <v>132</v>
      </c>
      <c r="H737" t="s">
        <v>41</v>
      </c>
      <c r="I737">
        <v>6</v>
      </c>
      <c r="J737">
        <v>3</v>
      </c>
      <c r="K737" t="s">
        <v>42</v>
      </c>
      <c r="L737">
        <v>1</v>
      </c>
      <c r="M737">
        <v>97</v>
      </c>
      <c r="N737">
        <v>2</v>
      </c>
      <c r="O737" t="s">
        <v>52</v>
      </c>
      <c r="P737">
        <v>55</v>
      </c>
      <c r="Q737">
        <v>4</v>
      </c>
      <c r="R737">
        <v>1</v>
      </c>
      <c r="S737" t="s">
        <v>44</v>
      </c>
      <c r="T737">
        <v>4</v>
      </c>
      <c r="U737" t="s">
        <v>104</v>
      </c>
      <c r="V737">
        <v>3038</v>
      </c>
      <c r="W737" t="s">
        <v>46</v>
      </c>
      <c r="X737">
        <v>22002</v>
      </c>
      <c r="Y737">
        <v>3</v>
      </c>
      <c r="Z737" t="s">
        <v>47</v>
      </c>
      <c r="AA737" t="s">
        <v>48</v>
      </c>
      <c r="AB737">
        <v>12</v>
      </c>
      <c r="AC737">
        <v>3</v>
      </c>
      <c r="AD737">
        <v>2</v>
      </c>
      <c r="AE737">
        <v>80</v>
      </c>
      <c r="AF737">
        <v>0</v>
      </c>
      <c r="AG737">
        <v>5</v>
      </c>
      <c r="AH737">
        <v>3</v>
      </c>
      <c r="AI737">
        <v>3</v>
      </c>
      <c r="AJ737">
        <v>1</v>
      </c>
      <c r="AK737">
        <v>0</v>
      </c>
      <c r="AL737">
        <v>0</v>
      </c>
    </row>
    <row r="738" spans="1:38" x14ac:dyDescent="0.3">
      <c r="A738" t="s">
        <v>807</v>
      </c>
      <c r="B738">
        <v>36</v>
      </c>
      <c r="C738" t="s">
        <v>800</v>
      </c>
      <c r="D738" t="s">
        <v>48</v>
      </c>
      <c r="E738">
        <f t="shared" si="11"/>
        <v>0</v>
      </c>
      <c r="F738" t="s">
        <v>55</v>
      </c>
      <c r="G738">
        <v>1467</v>
      </c>
      <c r="H738" t="s">
        <v>50</v>
      </c>
      <c r="I738">
        <v>11</v>
      </c>
      <c r="J738">
        <v>2</v>
      </c>
      <c r="K738" t="s">
        <v>67</v>
      </c>
      <c r="L738">
        <v>1</v>
      </c>
      <c r="M738">
        <v>154</v>
      </c>
      <c r="N738">
        <v>2</v>
      </c>
      <c r="O738" t="s">
        <v>52</v>
      </c>
      <c r="P738">
        <v>92</v>
      </c>
      <c r="Q738">
        <v>3</v>
      </c>
      <c r="R738">
        <v>3</v>
      </c>
      <c r="S738" t="s">
        <v>136</v>
      </c>
      <c r="T738">
        <v>4</v>
      </c>
      <c r="U738" t="s">
        <v>104</v>
      </c>
      <c r="V738">
        <v>9738</v>
      </c>
      <c r="W738" t="s">
        <v>162</v>
      </c>
      <c r="X738">
        <v>22952</v>
      </c>
      <c r="Y738">
        <v>0</v>
      </c>
      <c r="Z738" t="s">
        <v>47</v>
      </c>
      <c r="AA738" t="s">
        <v>48</v>
      </c>
      <c r="AB738">
        <v>14</v>
      </c>
      <c r="AC738">
        <v>3</v>
      </c>
      <c r="AD738">
        <v>3</v>
      </c>
      <c r="AE738">
        <v>80</v>
      </c>
      <c r="AF738">
        <v>1</v>
      </c>
      <c r="AG738">
        <v>10</v>
      </c>
      <c r="AH738">
        <v>6</v>
      </c>
      <c r="AI738">
        <v>3</v>
      </c>
      <c r="AJ738">
        <v>9</v>
      </c>
      <c r="AK738">
        <v>7</v>
      </c>
      <c r="AL738">
        <v>2</v>
      </c>
    </row>
    <row r="739" spans="1:38" x14ac:dyDescent="0.3">
      <c r="A739" t="s">
        <v>808</v>
      </c>
      <c r="B739">
        <v>36</v>
      </c>
      <c r="C739" t="s">
        <v>800</v>
      </c>
      <c r="D739" t="s">
        <v>48</v>
      </c>
      <c r="E739">
        <f t="shared" si="11"/>
        <v>0</v>
      </c>
      <c r="F739" t="s">
        <v>40</v>
      </c>
      <c r="G739">
        <v>922</v>
      </c>
      <c r="H739" t="s">
        <v>41</v>
      </c>
      <c r="I739">
        <v>3</v>
      </c>
      <c r="J739">
        <v>2</v>
      </c>
      <c r="K739" t="s">
        <v>42</v>
      </c>
      <c r="L739">
        <v>1</v>
      </c>
      <c r="M739">
        <v>155</v>
      </c>
      <c r="N739">
        <v>1</v>
      </c>
      <c r="O739" t="s">
        <v>52</v>
      </c>
      <c r="P739">
        <v>39</v>
      </c>
      <c r="Q739">
        <v>3</v>
      </c>
      <c r="R739">
        <v>1</v>
      </c>
      <c r="S739" t="s">
        <v>44</v>
      </c>
      <c r="T739">
        <v>4</v>
      </c>
      <c r="U739" t="s">
        <v>101</v>
      </c>
      <c r="V739">
        <v>2835</v>
      </c>
      <c r="W739" t="s">
        <v>46</v>
      </c>
      <c r="X739">
        <v>2561</v>
      </c>
      <c r="Y739">
        <v>5</v>
      </c>
      <c r="Z739" t="s">
        <v>47</v>
      </c>
      <c r="AA739" t="s">
        <v>48</v>
      </c>
      <c r="AB739">
        <v>22</v>
      </c>
      <c r="AC739">
        <v>4</v>
      </c>
      <c r="AD739">
        <v>1</v>
      </c>
      <c r="AE739">
        <v>80</v>
      </c>
      <c r="AF739">
        <v>1</v>
      </c>
      <c r="AG739">
        <v>7</v>
      </c>
      <c r="AH739">
        <v>2</v>
      </c>
      <c r="AI739">
        <v>3</v>
      </c>
      <c r="AJ739">
        <v>1</v>
      </c>
      <c r="AK739">
        <v>0</v>
      </c>
      <c r="AL739">
        <v>0</v>
      </c>
    </row>
    <row r="740" spans="1:38" x14ac:dyDescent="0.3">
      <c r="A740" t="s">
        <v>809</v>
      </c>
      <c r="B740">
        <v>36</v>
      </c>
      <c r="C740" t="s">
        <v>800</v>
      </c>
      <c r="D740" t="s">
        <v>48</v>
      </c>
      <c r="E740">
        <f t="shared" si="11"/>
        <v>0</v>
      </c>
      <c r="F740" t="s">
        <v>40</v>
      </c>
      <c r="G740">
        <v>216</v>
      </c>
      <c r="H740" t="s">
        <v>41</v>
      </c>
      <c r="I740">
        <v>6</v>
      </c>
      <c r="J740">
        <v>2</v>
      </c>
      <c r="K740" t="s">
        <v>51</v>
      </c>
      <c r="L740">
        <v>1</v>
      </c>
      <c r="M740">
        <v>178</v>
      </c>
      <c r="N740">
        <v>2</v>
      </c>
      <c r="O740" t="s">
        <v>43</v>
      </c>
      <c r="P740">
        <v>84</v>
      </c>
      <c r="Q740">
        <v>3</v>
      </c>
      <c r="R740">
        <v>2</v>
      </c>
      <c r="S740" t="s">
        <v>111</v>
      </c>
      <c r="T740">
        <v>2</v>
      </c>
      <c r="U740" t="s">
        <v>101</v>
      </c>
      <c r="V740">
        <v>4941</v>
      </c>
      <c r="W740" t="s">
        <v>46</v>
      </c>
      <c r="X740">
        <v>2819</v>
      </c>
      <c r="Y740">
        <v>6</v>
      </c>
      <c r="Z740" t="s">
        <v>47</v>
      </c>
      <c r="AA740" t="s">
        <v>48</v>
      </c>
      <c r="AB740">
        <v>20</v>
      </c>
      <c r="AC740">
        <v>4</v>
      </c>
      <c r="AD740">
        <v>4</v>
      </c>
      <c r="AE740">
        <v>80</v>
      </c>
      <c r="AF740">
        <v>2</v>
      </c>
      <c r="AG740">
        <v>7</v>
      </c>
      <c r="AH740">
        <v>0</v>
      </c>
      <c r="AI740">
        <v>3</v>
      </c>
      <c r="AJ740">
        <v>3</v>
      </c>
      <c r="AK740">
        <v>2</v>
      </c>
      <c r="AL740">
        <v>0</v>
      </c>
    </row>
    <row r="741" spans="1:38" x14ac:dyDescent="0.3">
      <c r="A741" t="s">
        <v>810</v>
      </c>
      <c r="B741">
        <v>36</v>
      </c>
      <c r="C741" t="s">
        <v>800</v>
      </c>
      <c r="D741" t="s">
        <v>48</v>
      </c>
      <c r="E741">
        <f t="shared" si="11"/>
        <v>0</v>
      </c>
      <c r="F741" t="s">
        <v>55</v>
      </c>
      <c r="G741">
        <v>1480</v>
      </c>
      <c r="H741" t="s">
        <v>41</v>
      </c>
      <c r="I741">
        <v>3</v>
      </c>
      <c r="J741">
        <v>2</v>
      </c>
      <c r="K741" t="s">
        <v>51</v>
      </c>
      <c r="L741">
        <v>1</v>
      </c>
      <c r="M741">
        <v>238</v>
      </c>
      <c r="N741">
        <v>4</v>
      </c>
      <c r="O741" t="s">
        <v>43</v>
      </c>
      <c r="P741">
        <v>30</v>
      </c>
      <c r="Q741">
        <v>3</v>
      </c>
      <c r="R741">
        <v>1</v>
      </c>
      <c r="S741" t="s">
        <v>44</v>
      </c>
      <c r="T741">
        <v>2</v>
      </c>
      <c r="U741" t="s">
        <v>45</v>
      </c>
      <c r="V741">
        <v>2088</v>
      </c>
      <c r="W741" t="s">
        <v>46</v>
      </c>
      <c r="X741">
        <v>15062</v>
      </c>
      <c r="Y741">
        <v>4</v>
      </c>
      <c r="Z741" t="s">
        <v>47</v>
      </c>
      <c r="AA741" t="s">
        <v>48</v>
      </c>
      <c r="AB741">
        <v>12</v>
      </c>
      <c r="AC741">
        <v>3</v>
      </c>
      <c r="AD741">
        <v>3</v>
      </c>
      <c r="AE741">
        <v>80</v>
      </c>
      <c r="AF741">
        <v>0</v>
      </c>
      <c r="AG741">
        <v>13</v>
      </c>
      <c r="AH741">
        <v>3</v>
      </c>
      <c r="AI741">
        <v>2</v>
      </c>
      <c r="AJ741">
        <v>8</v>
      </c>
      <c r="AK741">
        <v>7</v>
      </c>
      <c r="AL741">
        <v>7</v>
      </c>
    </row>
    <row r="742" spans="1:38" x14ac:dyDescent="0.3">
      <c r="A742" t="s">
        <v>811</v>
      </c>
      <c r="B742">
        <v>36</v>
      </c>
      <c r="C742" t="s">
        <v>800</v>
      </c>
      <c r="D742" t="s">
        <v>48</v>
      </c>
      <c r="E742">
        <f t="shared" si="11"/>
        <v>0</v>
      </c>
      <c r="F742" t="s">
        <v>55</v>
      </c>
      <c r="G742">
        <v>635</v>
      </c>
      <c r="H742" t="s">
        <v>41</v>
      </c>
      <c r="I742">
        <v>18</v>
      </c>
      <c r="J742">
        <v>1</v>
      </c>
      <c r="K742" t="s">
        <v>51</v>
      </c>
      <c r="L742">
        <v>1</v>
      </c>
      <c r="M742">
        <v>286</v>
      </c>
      <c r="N742">
        <v>2</v>
      </c>
      <c r="O742" t="s">
        <v>52</v>
      </c>
      <c r="P742">
        <v>73</v>
      </c>
      <c r="Q742">
        <v>3</v>
      </c>
      <c r="R742">
        <v>1</v>
      </c>
      <c r="S742" t="s">
        <v>44</v>
      </c>
      <c r="T742">
        <v>4</v>
      </c>
      <c r="U742" t="s">
        <v>45</v>
      </c>
      <c r="V742">
        <v>2153</v>
      </c>
      <c r="W742" t="s">
        <v>46</v>
      </c>
      <c r="X742">
        <v>7703</v>
      </c>
      <c r="Y742">
        <v>1</v>
      </c>
      <c r="Z742" t="s">
        <v>47</v>
      </c>
      <c r="AA742" t="s">
        <v>48</v>
      </c>
      <c r="AB742">
        <v>13</v>
      </c>
      <c r="AC742">
        <v>3</v>
      </c>
      <c r="AD742">
        <v>1</v>
      </c>
      <c r="AE742">
        <v>80</v>
      </c>
      <c r="AF742">
        <v>0</v>
      </c>
      <c r="AG742">
        <v>8</v>
      </c>
      <c r="AH742">
        <v>2</v>
      </c>
      <c r="AI742">
        <v>3</v>
      </c>
      <c r="AJ742">
        <v>8</v>
      </c>
      <c r="AK742">
        <v>1</v>
      </c>
      <c r="AL742">
        <v>1</v>
      </c>
    </row>
    <row r="743" spans="1:38" x14ac:dyDescent="0.3">
      <c r="A743" t="s">
        <v>812</v>
      </c>
      <c r="B743">
        <v>36</v>
      </c>
      <c r="C743" t="s">
        <v>800</v>
      </c>
      <c r="D743" t="s">
        <v>48</v>
      </c>
      <c r="E743">
        <f t="shared" si="11"/>
        <v>0</v>
      </c>
      <c r="F743" t="s">
        <v>40</v>
      </c>
      <c r="G743">
        <v>1396</v>
      </c>
      <c r="H743" t="s">
        <v>41</v>
      </c>
      <c r="I743">
        <v>5</v>
      </c>
      <c r="J743">
        <v>2</v>
      </c>
      <c r="K743" t="s">
        <v>42</v>
      </c>
      <c r="L743">
        <v>1</v>
      </c>
      <c r="M743">
        <v>304</v>
      </c>
      <c r="N743">
        <v>4</v>
      </c>
      <c r="O743" t="s">
        <v>43</v>
      </c>
      <c r="P743">
        <v>62</v>
      </c>
      <c r="Q743">
        <v>3</v>
      </c>
      <c r="R743">
        <v>2</v>
      </c>
      <c r="S743" t="s">
        <v>44</v>
      </c>
      <c r="T743">
        <v>2</v>
      </c>
      <c r="U743" t="s">
        <v>45</v>
      </c>
      <c r="V743">
        <v>5914</v>
      </c>
      <c r="W743" t="s">
        <v>162</v>
      </c>
      <c r="X743">
        <v>9945</v>
      </c>
      <c r="Y743">
        <v>8</v>
      </c>
      <c r="Z743" t="s">
        <v>47</v>
      </c>
      <c r="AA743" t="s">
        <v>48</v>
      </c>
      <c r="AB743">
        <v>16</v>
      </c>
      <c r="AC743">
        <v>3</v>
      </c>
      <c r="AD743">
        <v>4</v>
      </c>
      <c r="AE743">
        <v>80</v>
      </c>
      <c r="AF743">
        <v>0</v>
      </c>
      <c r="AG743">
        <v>16</v>
      </c>
      <c r="AH743">
        <v>3</v>
      </c>
      <c r="AI743">
        <v>4</v>
      </c>
      <c r="AJ743">
        <v>13</v>
      </c>
      <c r="AK743">
        <v>11</v>
      </c>
      <c r="AL743">
        <v>3</v>
      </c>
    </row>
    <row r="744" spans="1:38" x14ac:dyDescent="0.3">
      <c r="A744" t="s">
        <v>813</v>
      </c>
      <c r="B744">
        <v>36</v>
      </c>
      <c r="C744" t="s">
        <v>800</v>
      </c>
      <c r="D744" t="s">
        <v>48</v>
      </c>
      <c r="E744">
        <f t="shared" si="11"/>
        <v>0</v>
      </c>
      <c r="F744" t="s">
        <v>40</v>
      </c>
      <c r="G744">
        <v>1403</v>
      </c>
      <c r="H744" t="s">
        <v>41</v>
      </c>
      <c r="I744">
        <v>6</v>
      </c>
      <c r="J744">
        <v>3</v>
      </c>
      <c r="K744" t="s">
        <v>42</v>
      </c>
      <c r="L744">
        <v>1</v>
      </c>
      <c r="M744">
        <v>373</v>
      </c>
      <c r="N744">
        <v>4</v>
      </c>
      <c r="O744" t="s">
        <v>43</v>
      </c>
      <c r="P744">
        <v>47</v>
      </c>
      <c r="Q744">
        <v>3</v>
      </c>
      <c r="R744">
        <v>1</v>
      </c>
      <c r="S744" t="s">
        <v>44</v>
      </c>
      <c r="T744">
        <v>4</v>
      </c>
      <c r="U744" t="s">
        <v>104</v>
      </c>
      <c r="V744">
        <v>3210</v>
      </c>
      <c r="W744" t="s">
        <v>46</v>
      </c>
      <c r="X744">
        <v>20251</v>
      </c>
      <c r="Y744">
        <v>0</v>
      </c>
      <c r="Z744" t="s">
        <v>47</v>
      </c>
      <c r="AA744" t="s">
        <v>48</v>
      </c>
      <c r="AB744">
        <v>11</v>
      </c>
      <c r="AC744">
        <v>3</v>
      </c>
      <c r="AD744">
        <v>3</v>
      </c>
      <c r="AE744">
        <v>80</v>
      </c>
      <c r="AF744">
        <v>1</v>
      </c>
      <c r="AG744">
        <v>16</v>
      </c>
      <c r="AH744">
        <v>4</v>
      </c>
      <c r="AI744">
        <v>3</v>
      </c>
      <c r="AJ744">
        <v>15</v>
      </c>
      <c r="AK744">
        <v>13</v>
      </c>
      <c r="AL744">
        <v>10</v>
      </c>
    </row>
    <row r="745" spans="1:38" x14ac:dyDescent="0.3">
      <c r="A745" t="s">
        <v>814</v>
      </c>
      <c r="B745">
        <v>36</v>
      </c>
      <c r="C745" t="s">
        <v>800</v>
      </c>
      <c r="D745" t="s">
        <v>48</v>
      </c>
      <c r="E745">
        <f t="shared" si="11"/>
        <v>0</v>
      </c>
      <c r="F745" t="s">
        <v>40</v>
      </c>
      <c r="G745">
        <v>506</v>
      </c>
      <c r="H745" t="s">
        <v>41</v>
      </c>
      <c r="I745">
        <v>3</v>
      </c>
      <c r="J745">
        <v>3</v>
      </c>
      <c r="K745" t="s">
        <v>67</v>
      </c>
      <c r="L745">
        <v>1</v>
      </c>
      <c r="M745">
        <v>397</v>
      </c>
      <c r="N745">
        <v>3</v>
      </c>
      <c r="O745" t="s">
        <v>43</v>
      </c>
      <c r="P745">
        <v>30</v>
      </c>
      <c r="Q745">
        <v>3</v>
      </c>
      <c r="R745">
        <v>2</v>
      </c>
      <c r="S745" t="s">
        <v>59</v>
      </c>
      <c r="T745">
        <v>2</v>
      </c>
      <c r="U745" t="s">
        <v>45</v>
      </c>
      <c r="V745">
        <v>4485</v>
      </c>
      <c r="W745" t="s">
        <v>46</v>
      </c>
      <c r="X745">
        <v>26285</v>
      </c>
      <c r="Y745">
        <v>4</v>
      </c>
      <c r="Z745" t="s">
        <v>47</v>
      </c>
      <c r="AA745" t="s">
        <v>48</v>
      </c>
      <c r="AB745">
        <v>12</v>
      </c>
      <c r="AC745">
        <v>3</v>
      </c>
      <c r="AD745">
        <v>4</v>
      </c>
      <c r="AE745">
        <v>80</v>
      </c>
      <c r="AF745">
        <v>0</v>
      </c>
      <c r="AG745">
        <v>10</v>
      </c>
      <c r="AH745">
        <v>2</v>
      </c>
      <c r="AI745">
        <v>3</v>
      </c>
      <c r="AJ745">
        <v>8</v>
      </c>
      <c r="AK745">
        <v>0</v>
      </c>
      <c r="AL745">
        <v>7</v>
      </c>
    </row>
    <row r="746" spans="1:38" x14ac:dyDescent="0.3">
      <c r="A746" t="s">
        <v>815</v>
      </c>
      <c r="B746">
        <v>36</v>
      </c>
      <c r="C746" t="s">
        <v>800</v>
      </c>
      <c r="D746" t="s">
        <v>48</v>
      </c>
      <c r="E746">
        <f t="shared" si="11"/>
        <v>0</v>
      </c>
      <c r="F746" t="s">
        <v>55</v>
      </c>
      <c r="G746">
        <v>566</v>
      </c>
      <c r="H746" t="s">
        <v>41</v>
      </c>
      <c r="I746">
        <v>18</v>
      </c>
      <c r="J746">
        <v>4</v>
      </c>
      <c r="K746" t="s">
        <v>42</v>
      </c>
      <c r="L746">
        <v>1</v>
      </c>
      <c r="M746">
        <v>407</v>
      </c>
      <c r="N746">
        <v>3</v>
      </c>
      <c r="O746" t="s">
        <v>43</v>
      </c>
      <c r="P746">
        <v>81</v>
      </c>
      <c r="Q746">
        <v>4</v>
      </c>
      <c r="R746">
        <v>1</v>
      </c>
      <c r="S746" t="s">
        <v>44</v>
      </c>
      <c r="T746">
        <v>4</v>
      </c>
      <c r="U746" t="s">
        <v>104</v>
      </c>
      <c r="V746">
        <v>3688</v>
      </c>
      <c r="W746" t="s">
        <v>46</v>
      </c>
      <c r="X746">
        <v>7122</v>
      </c>
      <c r="Y746">
        <v>4</v>
      </c>
      <c r="Z746" t="s">
        <v>47</v>
      </c>
      <c r="AA746" t="s">
        <v>48</v>
      </c>
      <c r="AB746">
        <v>18</v>
      </c>
      <c r="AC746">
        <v>3</v>
      </c>
      <c r="AD746">
        <v>4</v>
      </c>
      <c r="AE746">
        <v>80</v>
      </c>
      <c r="AF746">
        <v>2</v>
      </c>
      <c r="AG746">
        <v>4</v>
      </c>
      <c r="AH746">
        <v>2</v>
      </c>
      <c r="AI746">
        <v>3</v>
      </c>
      <c r="AJ746">
        <v>1</v>
      </c>
      <c r="AK746">
        <v>0</v>
      </c>
      <c r="AL746">
        <v>0</v>
      </c>
    </row>
    <row r="747" spans="1:38" x14ac:dyDescent="0.3">
      <c r="A747" t="s">
        <v>816</v>
      </c>
      <c r="B747">
        <v>36</v>
      </c>
      <c r="C747" t="s">
        <v>800</v>
      </c>
      <c r="D747" t="s">
        <v>48</v>
      </c>
      <c r="E747">
        <f t="shared" si="11"/>
        <v>0</v>
      </c>
      <c r="F747" t="s">
        <v>58</v>
      </c>
      <c r="G747">
        <v>1105</v>
      </c>
      <c r="H747" t="s">
        <v>41</v>
      </c>
      <c r="I747">
        <v>24</v>
      </c>
      <c r="J747">
        <v>4</v>
      </c>
      <c r="K747" t="s">
        <v>42</v>
      </c>
      <c r="L747">
        <v>1</v>
      </c>
      <c r="M747">
        <v>419</v>
      </c>
      <c r="N747">
        <v>2</v>
      </c>
      <c r="O747" t="s">
        <v>52</v>
      </c>
      <c r="P747">
        <v>47</v>
      </c>
      <c r="Q747">
        <v>3</v>
      </c>
      <c r="R747">
        <v>2</v>
      </c>
      <c r="S747" t="s">
        <v>44</v>
      </c>
      <c r="T747">
        <v>2</v>
      </c>
      <c r="U747" t="s">
        <v>104</v>
      </c>
      <c r="V747">
        <v>5674</v>
      </c>
      <c r="W747" t="s">
        <v>162</v>
      </c>
      <c r="X747">
        <v>6927</v>
      </c>
      <c r="Y747">
        <v>7</v>
      </c>
      <c r="Z747" t="s">
        <v>47</v>
      </c>
      <c r="AA747" t="s">
        <v>48</v>
      </c>
      <c r="AB747">
        <v>15</v>
      </c>
      <c r="AC747">
        <v>3</v>
      </c>
      <c r="AD747">
        <v>3</v>
      </c>
      <c r="AE747">
        <v>80</v>
      </c>
      <c r="AF747">
        <v>1</v>
      </c>
      <c r="AG747">
        <v>11</v>
      </c>
      <c r="AH747">
        <v>3</v>
      </c>
      <c r="AI747">
        <v>3</v>
      </c>
      <c r="AJ747">
        <v>9</v>
      </c>
      <c r="AK747">
        <v>8</v>
      </c>
      <c r="AL747">
        <v>0</v>
      </c>
    </row>
    <row r="748" spans="1:38" x14ac:dyDescent="0.3">
      <c r="A748" t="s">
        <v>817</v>
      </c>
      <c r="B748">
        <v>36</v>
      </c>
      <c r="C748" t="s">
        <v>800</v>
      </c>
      <c r="D748" t="s">
        <v>48</v>
      </c>
      <c r="E748">
        <f t="shared" si="11"/>
        <v>0</v>
      </c>
      <c r="F748" t="s">
        <v>58</v>
      </c>
      <c r="G748">
        <v>845</v>
      </c>
      <c r="H748" t="s">
        <v>50</v>
      </c>
      <c r="I748">
        <v>1</v>
      </c>
      <c r="J748">
        <v>5</v>
      </c>
      <c r="K748" t="s">
        <v>51</v>
      </c>
      <c r="L748">
        <v>1</v>
      </c>
      <c r="M748">
        <v>479</v>
      </c>
      <c r="N748">
        <v>4</v>
      </c>
      <c r="O748" t="s">
        <v>52</v>
      </c>
      <c r="P748">
        <v>45</v>
      </c>
      <c r="Q748">
        <v>3</v>
      </c>
      <c r="R748">
        <v>2</v>
      </c>
      <c r="S748" t="s">
        <v>136</v>
      </c>
      <c r="T748">
        <v>4</v>
      </c>
      <c r="U748" t="s">
        <v>45</v>
      </c>
      <c r="V748">
        <v>6653</v>
      </c>
      <c r="W748" t="s">
        <v>162</v>
      </c>
      <c r="X748">
        <v>15276</v>
      </c>
      <c r="Y748">
        <v>4</v>
      </c>
      <c r="Z748" t="s">
        <v>47</v>
      </c>
      <c r="AA748" t="s">
        <v>48</v>
      </c>
      <c r="AB748">
        <v>15</v>
      </c>
      <c r="AC748">
        <v>3</v>
      </c>
      <c r="AD748">
        <v>2</v>
      </c>
      <c r="AE748">
        <v>80</v>
      </c>
      <c r="AF748">
        <v>0</v>
      </c>
      <c r="AG748">
        <v>7</v>
      </c>
      <c r="AH748">
        <v>6</v>
      </c>
      <c r="AI748">
        <v>3</v>
      </c>
      <c r="AJ748">
        <v>1</v>
      </c>
      <c r="AK748">
        <v>0</v>
      </c>
      <c r="AL748">
        <v>0</v>
      </c>
    </row>
    <row r="749" spans="1:38" x14ac:dyDescent="0.3">
      <c r="A749" t="s">
        <v>818</v>
      </c>
      <c r="B749">
        <v>36</v>
      </c>
      <c r="C749" t="s">
        <v>800</v>
      </c>
      <c r="D749" t="s">
        <v>48</v>
      </c>
      <c r="E749">
        <f t="shared" si="11"/>
        <v>0</v>
      </c>
      <c r="F749" t="s">
        <v>55</v>
      </c>
      <c r="G749">
        <v>541</v>
      </c>
      <c r="H749" t="s">
        <v>50</v>
      </c>
      <c r="I749">
        <v>3</v>
      </c>
      <c r="J749">
        <v>4</v>
      </c>
      <c r="K749" t="s">
        <v>51</v>
      </c>
      <c r="L749">
        <v>1</v>
      </c>
      <c r="M749">
        <v>481</v>
      </c>
      <c r="N749">
        <v>1</v>
      </c>
      <c r="O749" t="s">
        <v>43</v>
      </c>
      <c r="P749">
        <v>48</v>
      </c>
      <c r="Q749">
        <v>2</v>
      </c>
      <c r="R749">
        <v>3</v>
      </c>
      <c r="S749" t="s">
        <v>136</v>
      </c>
      <c r="T749">
        <v>4</v>
      </c>
      <c r="U749" t="s">
        <v>104</v>
      </c>
      <c r="V749">
        <v>9699</v>
      </c>
      <c r="W749" t="s">
        <v>162</v>
      </c>
      <c r="X749">
        <v>7246</v>
      </c>
      <c r="Y749">
        <v>4</v>
      </c>
      <c r="Z749" t="s">
        <v>47</v>
      </c>
      <c r="AA749" t="s">
        <v>48</v>
      </c>
      <c r="AB749">
        <v>11</v>
      </c>
      <c r="AC749">
        <v>3</v>
      </c>
      <c r="AD749">
        <v>1</v>
      </c>
      <c r="AE749">
        <v>80</v>
      </c>
      <c r="AF749">
        <v>1</v>
      </c>
      <c r="AG749">
        <v>16</v>
      </c>
      <c r="AH749">
        <v>2</v>
      </c>
      <c r="AI749">
        <v>3</v>
      </c>
      <c r="AJ749">
        <v>13</v>
      </c>
      <c r="AK749">
        <v>9</v>
      </c>
      <c r="AL749">
        <v>1</v>
      </c>
    </row>
    <row r="750" spans="1:38" x14ac:dyDescent="0.3">
      <c r="A750" t="s">
        <v>819</v>
      </c>
      <c r="B750">
        <v>36</v>
      </c>
      <c r="C750" t="s">
        <v>800</v>
      </c>
      <c r="D750" t="s">
        <v>48</v>
      </c>
      <c r="E750">
        <f t="shared" si="11"/>
        <v>0</v>
      </c>
      <c r="F750" t="s">
        <v>40</v>
      </c>
      <c r="G750">
        <v>329</v>
      </c>
      <c r="H750" t="s">
        <v>41</v>
      </c>
      <c r="I750">
        <v>2</v>
      </c>
      <c r="J750">
        <v>3</v>
      </c>
      <c r="K750" t="s">
        <v>42</v>
      </c>
      <c r="L750">
        <v>1</v>
      </c>
      <c r="M750">
        <v>501</v>
      </c>
      <c r="N750">
        <v>4</v>
      </c>
      <c r="O750" t="s">
        <v>52</v>
      </c>
      <c r="P750">
        <v>96</v>
      </c>
      <c r="Q750">
        <v>3</v>
      </c>
      <c r="R750">
        <v>1</v>
      </c>
      <c r="S750" t="s">
        <v>59</v>
      </c>
      <c r="T750">
        <v>3</v>
      </c>
      <c r="U750" t="s">
        <v>104</v>
      </c>
      <c r="V750">
        <v>2543</v>
      </c>
      <c r="W750" t="s">
        <v>46</v>
      </c>
      <c r="X750">
        <v>11868</v>
      </c>
      <c r="Y750">
        <v>4</v>
      </c>
      <c r="Z750" t="s">
        <v>47</v>
      </c>
      <c r="AA750" t="s">
        <v>48</v>
      </c>
      <c r="AB750">
        <v>13</v>
      </c>
      <c r="AC750">
        <v>3</v>
      </c>
      <c r="AD750">
        <v>2</v>
      </c>
      <c r="AE750">
        <v>80</v>
      </c>
      <c r="AF750">
        <v>1</v>
      </c>
      <c r="AG750">
        <v>6</v>
      </c>
      <c r="AH750">
        <v>3</v>
      </c>
      <c r="AI750">
        <v>3</v>
      </c>
      <c r="AJ750">
        <v>2</v>
      </c>
      <c r="AK750">
        <v>2</v>
      </c>
      <c r="AL750">
        <v>2</v>
      </c>
    </row>
    <row r="751" spans="1:38" x14ac:dyDescent="0.3">
      <c r="A751" t="s">
        <v>820</v>
      </c>
      <c r="B751">
        <v>36</v>
      </c>
      <c r="C751" t="s">
        <v>800</v>
      </c>
      <c r="D751" t="s">
        <v>48</v>
      </c>
      <c r="E751">
        <f t="shared" si="11"/>
        <v>0</v>
      </c>
      <c r="F751" t="s">
        <v>40</v>
      </c>
      <c r="G751">
        <v>164</v>
      </c>
      <c r="H751" t="s">
        <v>50</v>
      </c>
      <c r="I751">
        <v>2</v>
      </c>
      <c r="J751">
        <v>2</v>
      </c>
      <c r="K751" t="s">
        <v>51</v>
      </c>
      <c r="L751">
        <v>1</v>
      </c>
      <c r="M751">
        <v>513</v>
      </c>
      <c r="N751">
        <v>2</v>
      </c>
      <c r="O751" t="s">
        <v>43</v>
      </c>
      <c r="P751">
        <v>61</v>
      </c>
      <c r="Q751">
        <v>2</v>
      </c>
      <c r="R751">
        <v>3</v>
      </c>
      <c r="S751" t="s">
        <v>136</v>
      </c>
      <c r="T751">
        <v>3</v>
      </c>
      <c r="U751" t="s">
        <v>104</v>
      </c>
      <c r="V751">
        <v>7596</v>
      </c>
      <c r="W751" t="s">
        <v>162</v>
      </c>
      <c r="X751">
        <v>3809</v>
      </c>
      <c r="Y751">
        <v>1</v>
      </c>
      <c r="Z751" t="s">
        <v>47</v>
      </c>
      <c r="AA751" t="s">
        <v>48</v>
      </c>
      <c r="AB751">
        <v>13</v>
      </c>
      <c r="AC751">
        <v>3</v>
      </c>
      <c r="AD751">
        <v>2</v>
      </c>
      <c r="AE751">
        <v>80</v>
      </c>
      <c r="AF751">
        <v>2</v>
      </c>
      <c r="AG751">
        <v>10</v>
      </c>
      <c r="AH751">
        <v>2</v>
      </c>
      <c r="AI751">
        <v>3</v>
      </c>
      <c r="AJ751">
        <v>10</v>
      </c>
      <c r="AK751">
        <v>9</v>
      </c>
      <c r="AL751">
        <v>9</v>
      </c>
    </row>
    <row r="752" spans="1:38" x14ac:dyDescent="0.3">
      <c r="A752" t="s">
        <v>821</v>
      </c>
      <c r="B752">
        <v>36</v>
      </c>
      <c r="C752" t="s">
        <v>800</v>
      </c>
      <c r="D752" t="s">
        <v>48</v>
      </c>
      <c r="E752">
        <f t="shared" si="11"/>
        <v>0</v>
      </c>
      <c r="F752" t="s">
        <v>58</v>
      </c>
      <c r="G752">
        <v>635</v>
      </c>
      <c r="H752" t="s">
        <v>50</v>
      </c>
      <c r="I752">
        <v>10</v>
      </c>
      <c r="J752">
        <v>4</v>
      </c>
      <c r="K752" t="s">
        <v>51</v>
      </c>
      <c r="L752">
        <v>1</v>
      </c>
      <c r="M752">
        <v>592</v>
      </c>
      <c r="N752">
        <v>2</v>
      </c>
      <c r="O752" t="s">
        <v>43</v>
      </c>
      <c r="P752">
        <v>32</v>
      </c>
      <c r="Q752">
        <v>3</v>
      </c>
      <c r="R752">
        <v>3</v>
      </c>
      <c r="S752" t="s">
        <v>136</v>
      </c>
      <c r="T752">
        <v>4</v>
      </c>
      <c r="U752" t="s">
        <v>45</v>
      </c>
      <c r="V752">
        <v>9980</v>
      </c>
      <c r="W752" t="s">
        <v>162</v>
      </c>
      <c r="X752">
        <v>15318</v>
      </c>
      <c r="Y752">
        <v>1</v>
      </c>
      <c r="Z752" t="s">
        <v>47</v>
      </c>
      <c r="AA752" t="s">
        <v>48</v>
      </c>
      <c r="AB752">
        <v>14</v>
      </c>
      <c r="AC752">
        <v>3</v>
      </c>
      <c r="AD752">
        <v>4</v>
      </c>
      <c r="AE752">
        <v>80</v>
      </c>
      <c r="AF752">
        <v>0</v>
      </c>
      <c r="AG752">
        <v>10</v>
      </c>
      <c r="AH752">
        <v>3</v>
      </c>
      <c r="AI752">
        <v>2</v>
      </c>
      <c r="AJ752">
        <v>10</v>
      </c>
      <c r="AK752">
        <v>3</v>
      </c>
      <c r="AL752">
        <v>9</v>
      </c>
    </row>
    <row r="753" spans="1:38" x14ac:dyDescent="0.3">
      <c r="A753" t="s">
        <v>822</v>
      </c>
      <c r="B753">
        <v>36</v>
      </c>
      <c r="C753" t="s">
        <v>800</v>
      </c>
      <c r="D753" t="s">
        <v>48</v>
      </c>
      <c r="E753">
        <f t="shared" si="11"/>
        <v>0</v>
      </c>
      <c r="F753" t="s">
        <v>40</v>
      </c>
      <c r="G753">
        <v>913</v>
      </c>
      <c r="H753" t="s">
        <v>41</v>
      </c>
      <c r="I753">
        <v>9</v>
      </c>
      <c r="J753">
        <v>2</v>
      </c>
      <c r="K753" t="s">
        <v>51</v>
      </c>
      <c r="L753">
        <v>1</v>
      </c>
      <c r="M753">
        <v>699</v>
      </c>
      <c r="N753">
        <v>2</v>
      </c>
      <c r="O753" t="s">
        <v>43</v>
      </c>
      <c r="P753">
        <v>48</v>
      </c>
      <c r="Q753">
        <v>2</v>
      </c>
      <c r="R753">
        <v>2</v>
      </c>
      <c r="S753" t="s">
        <v>111</v>
      </c>
      <c r="T753">
        <v>2</v>
      </c>
      <c r="U753" t="s">
        <v>101</v>
      </c>
      <c r="V753">
        <v>8847</v>
      </c>
      <c r="W753" t="s">
        <v>162</v>
      </c>
      <c r="X753">
        <v>13934</v>
      </c>
      <c r="Y753">
        <v>2</v>
      </c>
      <c r="Z753" t="s">
        <v>47</v>
      </c>
      <c r="AA753" t="s">
        <v>39</v>
      </c>
      <c r="AB753">
        <v>11</v>
      </c>
      <c r="AC753">
        <v>3</v>
      </c>
      <c r="AD753">
        <v>3</v>
      </c>
      <c r="AE753">
        <v>80</v>
      </c>
      <c r="AF753">
        <v>1</v>
      </c>
      <c r="AG753">
        <v>13</v>
      </c>
      <c r="AH753">
        <v>2</v>
      </c>
      <c r="AI753">
        <v>3</v>
      </c>
      <c r="AJ753">
        <v>3</v>
      </c>
      <c r="AK753">
        <v>2</v>
      </c>
      <c r="AL753">
        <v>0</v>
      </c>
    </row>
    <row r="754" spans="1:38" x14ac:dyDescent="0.3">
      <c r="A754" t="s">
        <v>823</v>
      </c>
      <c r="B754">
        <v>36</v>
      </c>
      <c r="C754" t="s">
        <v>800</v>
      </c>
      <c r="D754" t="s">
        <v>48</v>
      </c>
      <c r="E754">
        <f t="shared" si="11"/>
        <v>0</v>
      </c>
      <c r="F754" t="s">
        <v>58</v>
      </c>
      <c r="G754">
        <v>427</v>
      </c>
      <c r="H754" t="s">
        <v>41</v>
      </c>
      <c r="I754">
        <v>8</v>
      </c>
      <c r="J754">
        <v>3</v>
      </c>
      <c r="K754" t="s">
        <v>42</v>
      </c>
      <c r="L754">
        <v>1</v>
      </c>
      <c r="M754">
        <v>742</v>
      </c>
      <c r="N754">
        <v>1</v>
      </c>
      <c r="O754" t="s">
        <v>52</v>
      </c>
      <c r="P754">
        <v>63</v>
      </c>
      <c r="Q754">
        <v>4</v>
      </c>
      <c r="R754">
        <v>3</v>
      </c>
      <c r="S754" t="s">
        <v>251</v>
      </c>
      <c r="T754">
        <v>1</v>
      </c>
      <c r="U754" t="s">
        <v>104</v>
      </c>
      <c r="V754">
        <v>11713</v>
      </c>
      <c r="W754" t="s">
        <v>252</v>
      </c>
      <c r="X754">
        <v>20335</v>
      </c>
      <c r="Y754">
        <v>9</v>
      </c>
      <c r="Z754" t="s">
        <v>47</v>
      </c>
      <c r="AA754" t="s">
        <v>48</v>
      </c>
      <c r="AB754">
        <v>14</v>
      </c>
      <c r="AC754">
        <v>3</v>
      </c>
      <c r="AD754">
        <v>1</v>
      </c>
      <c r="AE754">
        <v>80</v>
      </c>
      <c r="AF754">
        <v>1</v>
      </c>
      <c r="AG754">
        <v>10</v>
      </c>
      <c r="AH754">
        <v>2</v>
      </c>
      <c r="AI754">
        <v>3</v>
      </c>
      <c r="AJ754">
        <v>8</v>
      </c>
      <c r="AK754">
        <v>7</v>
      </c>
      <c r="AL754">
        <v>0</v>
      </c>
    </row>
    <row r="755" spans="1:38" x14ac:dyDescent="0.3">
      <c r="A755" t="s">
        <v>824</v>
      </c>
      <c r="B755">
        <v>36</v>
      </c>
      <c r="C755" t="s">
        <v>800</v>
      </c>
      <c r="D755" t="s">
        <v>48</v>
      </c>
      <c r="E755">
        <f t="shared" si="11"/>
        <v>0</v>
      </c>
      <c r="F755" t="s">
        <v>58</v>
      </c>
      <c r="G755">
        <v>1434</v>
      </c>
      <c r="H755" t="s">
        <v>50</v>
      </c>
      <c r="I755">
        <v>8</v>
      </c>
      <c r="J755">
        <v>4</v>
      </c>
      <c r="K755" t="s">
        <v>42</v>
      </c>
      <c r="L755">
        <v>1</v>
      </c>
      <c r="M755">
        <v>789</v>
      </c>
      <c r="N755">
        <v>1</v>
      </c>
      <c r="O755" t="s">
        <v>43</v>
      </c>
      <c r="P755">
        <v>76</v>
      </c>
      <c r="Q755">
        <v>2</v>
      </c>
      <c r="R755">
        <v>3</v>
      </c>
      <c r="S755" t="s">
        <v>136</v>
      </c>
      <c r="T755">
        <v>1</v>
      </c>
      <c r="U755" t="s">
        <v>45</v>
      </c>
      <c r="V755">
        <v>7587</v>
      </c>
      <c r="W755" t="s">
        <v>162</v>
      </c>
      <c r="X755">
        <v>14229</v>
      </c>
      <c r="Y755">
        <v>1</v>
      </c>
      <c r="Z755" t="s">
        <v>47</v>
      </c>
      <c r="AA755" t="s">
        <v>48</v>
      </c>
      <c r="AB755">
        <v>15</v>
      </c>
      <c r="AC755">
        <v>3</v>
      </c>
      <c r="AD755">
        <v>2</v>
      </c>
      <c r="AE755">
        <v>80</v>
      </c>
      <c r="AF755">
        <v>0</v>
      </c>
      <c r="AG755">
        <v>10</v>
      </c>
      <c r="AH755">
        <v>1</v>
      </c>
      <c r="AI755">
        <v>3</v>
      </c>
      <c r="AJ755">
        <v>10</v>
      </c>
      <c r="AK755">
        <v>7</v>
      </c>
      <c r="AL755">
        <v>0</v>
      </c>
    </row>
    <row r="756" spans="1:38" x14ac:dyDescent="0.3">
      <c r="A756" t="s">
        <v>825</v>
      </c>
      <c r="B756">
        <v>36</v>
      </c>
      <c r="C756" t="s">
        <v>800</v>
      </c>
      <c r="D756" t="s">
        <v>48</v>
      </c>
      <c r="E756">
        <f t="shared" si="11"/>
        <v>0</v>
      </c>
      <c r="F756" t="s">
        <v>40</v>
      </c>
      <c r="G756">
        <v>676</v>
      </c>
      <c r="H756" t="s">
        <v>41</v>
      </c>
      <c r="I756">
        <v>1</v>
      </c>
      <c r="J756">
        <v>3</v>
      </c>
      <c r="K756" t="s">
        <v>72</v>
      </c>
      <c r="L756">
        <v>1</v>
      </c>
      <c r="M756">
        <v>823</v>
      </c>
      <c r="N756">
        <v>3</v>
      </c>
      <c r="O756" t="s">
        <v>52</v>
      </c>
      <c r="P756">
        <v>35</v>
      </c>
      <c r="Q756">
        <v>3</v>
      </c>
      <c r="R756">
        <v>2</v>
      </c>
      <c r="S756" t="s">
        <v>111</v>
      </c>
      <c r="T756">
        <v>2</v>
      </c>
      <c r="U756" t="s">
        <v>104</v>
      </c>
      <c r="V756">
        <v>5228</v>
      </c>
      <c r="W756" t="s">
        <v>162</v>
      </c>
      <c r="X756">
        <v>23361</v>
      </c>
      <c r="Y756">
        <v>0</v>
      </c>
      <c r="Z756" t="s">
        <v>47</v>
      </c>
      <c r="AA756" t="s">
        <v>48</v>
      </c>
      <c r="AB756">
        <v>15</v>
      </c>
      <c r="AC756">
        <v>3</v>
      </c>
      <c r="AD756">
        <v>1</v>
      </c>
      <c r="AE756">
        <v>80</v>
      </c>
      <c r="AF756">
        <v>1</v>
      </c>
      <c r="AG756">
        <v>10</v>
      </c>
      <c r="AH756">
        <v>2</v>
      </c>
      <c r="AI756">
        <v>3</v>
      </c>
      <c r="AJ756">
        <v>9</v>
      </c>
      <c r="AK756">
        <v>7</v>
      </c>
      <c r="AL756">
        <v>0</v>
      </c>
    </row>
    <row r="757" spans="1:38" x14ac:dyDescent="0.3">
      <c r="A757" t="s">
        <v>826</v>
      </c>
      <c r="B757">
        <v>36</v>
      </c>
      <c r="C757" t="s">
        <v>800</v>
      </c>
      <c r="D757" t="s">
        <v>48</v>
      </c>
      <c r="E757">
        <f t="shared" si="11"/>
        <v>0</v>
      </c>
      <c r="F757" t="s">
        <v>40</v>
      </c>
      <c r="G757">
        <v>1041</v>
      </c>
      <c r="H757" t="s">
        <v>70</v>
      </c>
      <c r="I757">
        <v>13</v>
      </c>
      <c r="J757">
        <v>3</v>
      </c>
      <c r="K757" t="s">
        <v>70</v>
      </c>
      <c r="L757">
        <v>1</v>
      </c>
      <c r="M757">
        <v>829</v>
      </c>
      <c r="N757">
        <v>3</v>
      </c>
      <c r="O757" t="s">
        <v>43</v>
      </c>
      <c r="P757">
        <v>36</v>
      </c>
      <c r="Q757">
        <v>3</v>
      </c>
      <c r="R757">
        <v>1</v>
      </c>
      <c r="S757" t="s">
        <v>70</v>
      </c>
      <c r="T757">
        <v>2</v>
      </c>
      <c r="U757" t="s">
        <v>104</v>
      </c>
      <c r="V757">
        <v>2143</v>
      </c>
      <c r="W757" t="s">
        <v>46</v>
      </c>
      <c r="X757">
        <v>25527</v>
      </c>
      <c r="Y757">
        <v>4</v>
      </c>
      <c r="Z757" t="s">
        <v>47</v>
      </c>
      <c r="AA757" t="s">
        <v>48</v>
      </c>
      <c r="AB757">
        <v>13</v>
      </c>
      <c r="AC757">
        <v>3</v>
      </c>
      <c r="AD757">
        <v>2</v>
      </c>
      <c r="AE757">
        <v>80</v>
      </c>
      <c r="AF757">
        <v>1</v>
      </c>
      <c r="AG757">
        <v>8</v>
      </c>
      <c r="AH757">
        <v>2</v>
      </c>
      <c r="AI757">
        <v>3</v>
      </c>
      <c r="AJ757">
        <v>5</v>
      </c>
      <c r="AK757">
        <v>2</v>
      </c>
      <c r="AL757">
        <v>0</v>
      </c>
    </row>
    <row r="758" spans="1:38" x14ac:dyDescent="0.3">
      <c r="A758" t="s">
        <v>827</v>
      </c>
      <c r="B758">
        <v>36</v>
      </c>
      <c r="C758" t="s">
        <v>800</v>
      </c>
      <c r="D758" t="s">
        <v>48</v>
      </c>
      <c r="E758">
        <f t="shared" si="11"/>
        <v>0</v>
      </c>
      <c r="F758" t="s">
        <v>40</v>
      </c>
      <c r="G758">
        <v>928</v>
      </c>
      <c r="H758" t="s">
        <v>50</v>
      </c>
      <c r="I758">
        <v>1</v>
      </c>
      <c r="J758">
        <v>2</v>
      </c>
      <c r="K758" t="s">
        <v>42</v>
      </c>
      <c r="L758">
        <v>1</v>
      </c>
      <c r="M758">
        <v>857</v>
      </c>
      <c r="N758">
        <v>2</v>
      </c>
      <c r="O758" t="s">
        <v>43</v>
      </c>
      <c r="P758">
        <v>56</v>
      </c>
      <c r="Q758">
        <v>3</v>
      </c>
      <c r="R758">
        <v>2</v>
      </c>
      <c r="S758" t="s">
        <v>136</v>
      </c>
      <c r="T758">
        <v>4</v>
      </c>
      <c r="U758" t="s">
        <v>104</v>
      </c>
      <c r="V758">
        <v>6201</v>
      </c>
      <c r="W758" t="s">
        <v>162</v>
      </c>
      <c r="X758">
        <v>2823</v>
      </c>
      <c r="Y758">
        <v>1</v>
      </c>
      <c r="Z758" t="s">
        <v>47</v>
      </c>
      <c r="AA758" t="s">
        <v>39</v>
      </c>
      <c r="AB758">
        <v>14</v>
      </c>
      <c r="AC758">
        <v>3</v>
      </c>
      <c r="AD758">
        <v>4</v>
      </c>
      <c r="AE758">
        <v>80</v>
      </c>
      <c r="AF758">
        <v>1</v>
      </c>
      <c r="AG758">
        <v>18</v>
      </c>
      <c r="AH758">
        <v>1</v>
      </c>
      <c r="AI758">
        <v>2</v>
      </c>
      <c r="AJ758">
        <v>18</v>
      </c>
      <c r="AK758">
        <v>14</v>
      </c>
      <c r="AL758">
        <v>4</v>
      </c>
    </row>
    <row r="759" spans="1:38" x14ac:dyDescent="0.3">
      <c r="A759" t="s">
        <v>828</v>
      </c>
      <c r="B759">
        <v>36</v>
      </c>
      <c r="C759" t="s">
        <v>800</v>
      </c>
      <c r="D759" t="s">
        <v>48</v>
      </c>
      <c r="E759">
        <f t="shared" si="11"/>
        <v>0</v>
      </c>
      <c r="F759" t="s">
        <v>40</v>
      </c>
      <c r="G759">
        <v>1278</v>
      </c>
      <c r="H759" t="s">
        <v>70</v>
      </c>
      <c r="I759">
        <v>8</v>
      </c>
      <c r="J759">
        <v>3</v>
      </c>
      <c r="K759" t="s">
        <v>42</v>
      </c>
      <c r="L759">
        <v>1</v>
      </c>
      <c r="M759">
        <v>878</v>
      </c>
      <c r="N759">
        <v>1</v>
      </c>
      <c r="O759" t="s">
        <v>43</v>
      </c>
      <c r="P759">
        <v>77</v>
      </c>
      <c r="Q759">
        <v>2</v>
      </c>
      <c r="R759">
        <v>1</v>
      </c>
      <c r="S759" t="s">
        <v>70</v>
      </c>
      <c r="T759">
        <v>1</v>
      </c>
      <c r="U759" t="s">
        <v>104</v>
      </c>
      <c r="V759">
        <v>2342</v>
      </c>
      <c r="W759" t="s">
        <v>46</v>
      </c>
      <c r="X759">
        <v>8635</v>
      </c>
      <c r="Y759">
        <v>0</v>
      </c>
      <c r="Z759" t="s">
        <v>47</v>
      </c>
      <c r="AA759" t="s">
        <v>48</v>
      </c>
      <c r="AB759">
        <v>21</v>
      </c>
      <c r="AC759">
        <v>4</v>
      </c>
      <c r="AD759">
        <v>3</v>
      </c>
      <c r="AE759">
        <v>80</v>
      </c>
      <c r="AF759">
        <v>0</v>
      </c>
      <c r="AG759">
        <v>6</v>
      </c>
      <c r="AH759">
        <v>3</v>
      </c>
      <c r="AI759">
        <v>3</v>
      </c>
      <c r="AJ759">
        <v>5</v>
      </c>
      <c r="AK759">
        <v>4</v>
      </c>
      <c r="AL759">
        <v>0</v>
      </c>
    </row>
    <row r="760" spans="1:38" x14ac:dyDescent="0.3">
      <c r="A760" t="s">
        <v>829</v>
      </c>
      <c r="B760">
        <v>36</v>
      </c>
      <c r="C760" t="s">
        <v>800</v>
      </c>
      <c r="D760" t="s">
        <v>48</v>
      </c>
      <c r="E760">
        <f t="shared" si="11"/>
        <v>0</v>
      </c>
      <c r="F760" t="s">
        <v>40</v>
      </c>
      <c r="G760">
        <v>1425</v>
      </c>
      <c r="H760" t="s">
        <v>41</v>
      </c>
      <c r="I760">
        <v>14</v>
      </c>
      <c r="J760">
        <v>1</v>
      </c>
      <c r="K760" t="s">
        <v>42</v>
      </c>
      <c r="L760">
        <v>1</v>
      </c>
      <c r="M760">
        <v>924</v>
      </c>
      <c r="N760">
        <v>3</v>
      </c>
      <c r="O760" t="s">
        <v>43</v>
      </c>
      <c r="P760">
        <v>68</v>
      </c>
      <c r="Q760">
        <v>3</v>
      </c>
      <c r="R760">
        <v>2</v>
      </c>
      <c r="S760" t="s">
        <v>160</v>
      </c>
      <c r="T760">
        <v>4</v>
      </c>
      <c r="U760" t="s">
        <v>104</v>
      </c>
      <c r="V760">
        <v>6586</v>
      </c>
      <c r="W760" t="s">
        <v>162</v>
      </c>
      <c r="X760">
        <v>4821</v>
      </c>
      <c r="Y760">
        <v>0</v>
      </c>
      <c r="Z760" t="s">
        <v>47</v>
      </c>
      <c r="AA760" t="s">
        <v>39</v>
      </c>
      <c r="AB760">
        <v>17</v>
      </c>
      <c r="AC760">
        <v>3</v>
      </c>
      <c r="AD760">
        <v>1</v>
      </c>
      <c r="AE760">
        <v>80</v>
      </c>
      <c r="AF760">
        <v>1</v>
      </c>
      <c r="AG760">
        <v>17</v>
      </c>
      <c r="AH760">
        <v>2</v>
      </c>
      <c r="AI760">
        <v>2</v>
      </c>
      <c r="AJ760">
        <v>16</v>
      </c>
      <c r="AK760">
        <v>8</v>
      </c>
      <c r="AL760">
        <v>4</v>
      </c>
    </row>
    <row r="761" spans="1:38" x14ac:dyDescent="0.3">
      <c r="A761" t="s">
        <v>830</v>
      </c>
      <c r="B761">
        <v>36</v>
      </c>
      <c r="C761" t="s">
        <v>800</v>
      </c>
      <c r="D761" t="s">
        <v>48</v>
      </c>
      <c r="E761">
        <f t="shared" si="11"/>
        <v>0</v>
      </c>
      <c r="F761" t="s">
        <v>40</v>
      </c>
      <c r="G761">
        <v>188</v>
      </c>
      <c r="H761" t="s">
        <v>41</v>
      </c>
      <c r="I761">
        <v>7</v>
      </c>
      <c r="J761">
        <v>4</v>
      </c>
      <c r="K761" t="s">
        <v>72</v>
      </c>
      <c r="L761">
        <v>1</v>
      </c>
      <c r="M761">
        <v>949</v>
      </c>
      <c r="N761">
        <v>2</v>
      </c>
      <c r="O761" t="s">
        <v>43</v>
      </c>
      <c r="P761">
        <v>65</v>
      </c>
      <c r="Q761">
        <v>3</v>
      </c>
      <c r="R761">
        <v>1</v>
      </c>
      <c r="S761" t="s">
        <v>59</v>
      </c>
      <c r="T761">
        <v>4</v>
      </c>
      <c r="U761" t="s">
        <v>45</v>
      </c>
      <c r="V761">
        <v>4678</v>
      </c>
      <c r="W761" t="s">
        <v>46</v>
      </c>
      <c r="X761">
        <v>23293</v>
      </c>
      <c r="Y761">
        <v>2</v>
      </c>
      <c r="Z761" t="s">
        <v>47</v>
      </c>
      <c r="AA761" t="s">
        <v>48</v>
      </c>
      <c r="AB761">
        <v>18</v>
      </c>
      <c r="AC761">
        <v>3</v>
      </c>
      <c r="AD761">
        <v>3</v>
      </c>
      <c r="AE761">
        <v>80</v>
      </c>
      <c r="AF761">
        <v>0</v>
      </c>
      <c r="AG761">
        <v>8</v>
      </c>
      <c r="AH761">
        <v>6</v>
      </c>
      <c r="AI761">
        <v>3</v>
      </c>
      <c r="AJ761">
        <v>6</v>
      </c>
      <c r="AK761">
        <v>2</v>
      </c>
      <c r="AL761">
        <v>0</v>
      </c>
    </row>
    <row r="762" spans="1:38" x14ac:dyDescent="0.3">
      <c r="A762" t="s">
        <v>831</v>
      </c>
      <c r="B762">
        <v>36</v>
      </c>
      <c r="C762" t="s">
        <v>800</v>
      </c>
      <c r="D762" t="s">
        <v>48</v>
      </c>
      <c r="E762">
        <f t="shared" si="11"/>
        <v>0</v>
      </c>
      <c r="F762" t="s">
        <v>40</v>
      </c>
      <c r="G762">
        <v>938</v>
      </c>
      <c r="H762" t="s">
        <v>41</v>
      </c>
      <c r="I762">
        <v>2</v>
      </c>
      <c r="J762">
        <v>4</v>
      </c>
      <c r="K762" t="s">
        <v>51</v>
      </c>
      <c r="L762">
        <v>1</v>
      </c>
      <c r="M762">
        <v>958</v>
      </c>
      <c r="N762">
        <v>3</v>
      </c>
      <c r="O762" t="s">
        <v>43</v>
      </c>
      <c r="P762">
        <v>79</v>
      </c>
      <c r="Q762">
        <v>3</v>
      </c>
      <c r="R762">
        <v>1</v>
      </c>
      <c r="S762" t="s">
        <v>44</v>
      </c>
      <c r="T762">
        <v>3</v>
      </c>
      <c r="U762" t="s">
        <v>45</v>
      </c>
      <c r="V762">
        <v>2519</v>
      </c>
      <c r="W762" t="s">
        <v>46</v>
      </c>
      <c r="X762">
        <v>12287</v>
      </c>
      <c r="Y762">
        <v>4</v>
      </c>
      <c r="Z762" t="s">
        <v>47</v>
      </c>
      <c r="AA762" t="s">
        <v>48</v>
      </c>
      <c r="AB762">
        <v>21</v>
      </c>
      <c r="AC762">
        <v>4</v>
      </c>
      <c r="AD762">
        <v>3</v>
      </c>
      <c r="AE762">
        <v>80</v>
      </c>
      <c r="AF762">
        <v>0</v>
      </c>
      <c r="AG762">
        <v>16</v>
      </c>
      <c r="AH762">
        <v>6</v>
      </c>
      <c r="AI762">
        <v>3</v>
      </c>
      <c r="AJ762">
        <v>11</v>
      </c>
      <c r="AK762">
        <v>8</v>
      </c>
      <c r="AL762">
        <v>3</v>
      </c>
    </row>
    <row r="763" spans="1:38" x14ac:dyDescent="0.3">
      <c r="A763" t="s">
        <v>832</v>
      </c>
      <c r="B763">
        <v>36</v>
      </c>
      <c r="C763" t="s">
        <v>800</v>
      </c>
      <c r="D763" t="s">
        <v>39</v>
      </c>
      <c r="E763">
        <f t="shared" si="11"/>
        <v>1</v>
      </c>
      <c r="F763" t="s">
        <v>40</v>
      </c>
      <c r="G763">
        <v>530</v>
      </c>
      <c r="H763" t="s">
        <v>50</v>
      </c>
      <c r="I763">
        <v>3</v>
      </c>
      <c r="J763">
        <v>1</v>
      </c>
      <c r="K763" t="s">
        <v>42</v>
      </c>
      <c r="L763">
        <v>1</v>
      </c>
      <c r="M763">
        <v>967</v>
      </c>
      <c r="N763">
        <v>3</v>
      </c>
      <c r="O763" t="s">
        <v>43</v>
      </c>
      <c r="P763">
        <v>51</v>
      </c>
      <c r="Q763">
        <v>2</v>
      </c>
      <c r="R763">
        <v>3</v>
      </c>
      <c r="S763" t="s">
        <v>136</v>
      </c>
      <c r="T763">
        <v>4</v>
      </c>
      <c r="U763" t="s">
        <v>104</v>
      </c>
      <c r="V763">
        <v>10325</v>
      </c>
      <c r="W763" t="s">
        <v>252</v>
      </c>
      <c r="X763">
        <v>5518</v>
      </c>
      <c r="Y763">
        <v>1</v>
      </c>
      <c r="Z763" t="s">
        <v>47</v>
      </c>
      <c r="AA763" t="s">
        <v>39</v>
      </c>
      <c r="AB763">
        <v>11</v>
      </c>
      <c r="AC763">
        <v>3</v>
      </c>
      <c r="AD763">
        <v>1</v>
      </c>
      <c r="AE763">
        <v>80</v>
      </c>
      <c r="AF763">
        <v>1</v>
      </c>
      <c r="AG763">
        <v>16</v>
      </c>
      <c r="AH763">
        <v>6</v>
      </c>
      <c r="AI763">
        <v>3</v>
      </c>
      <c r="AJ763">
        <v>16</v>
      </c>
      <c r="AK763">
        <v>7</v>
      </c>
      <c r="AL763">
        <v>3</v>
      </c>
    </row>
    <row r="764" spans="1:38" x14ac:dyDescent="0.3">
      <c r="A764" t="s">
        <v>833</v>
      </c>
      <c r="B764">
        <v>36</v>
      </c>
      <c r="C764" t="s">
        <v>800</v>
      </c>
      <c r="D764" t="s">
        <v>48</v>
      </c>
      <c r="E764">
        <f t="shared" si="11"/>
        <v>0</v>
      </c>
      <c r="F764" t="s">
        <v>58</v>
      </c>
      <c r="G764">
        <v>1229</v>
      </c>
      <c r="H764" t="s">
        <v>50</v>
      </c>
      <c r="I764">
        <v>8</v>
      </c>
      <c r="J764">
        <v>4</v>
      </c>
      <c r="K764" t="s">
        <v>67</v>
      </c>
      <c r="L764">
        <v>1</v>
      </c>
      <c r="M764">
        <v>990</v>
      </c>
      <c r="N764">
        <v>1</v>
      </c>
      <c r="O764" t="s">
        <v>43</v>
      </c>
      <c r="P764">
        <v>84</v>
      </c>
      <c r="Q764">
        <v>3</v>
      </c>
      <c r="R764">
        <v>2</v>
      </c>
      <c r="S764" t="s">
        <v>136</v>
      </c>
      <c r="T764">
        <v>4</v>
      </c>
      <c r="U764" t="s">
        <v>101</v>
      </c>
      <c r="V764">
        <v>5079</v>
      </c>
      <c r="W764" t="s">
        <v>162</v>
      </c>
      <c r="X764">
        <v>25952</v>
      </c>
      <c r="Y764">
        <v>4</v>
      </c>
      <c r="Z764" t="s">
        <v>47</v>
      </c>
      <c r="AA764" t="s">
        <v>48</v>
      </c>
      <c r="AB764">
        <v>13</v>
      </c>
      <c r="AC764">
        <v>3</v>
      </c>
      <c r="AD764">
        <v>4</v>
      </c>
      <c r="AE764">
        <v>80</v>
      </c>
      <c r="AF764">
        <v>2</v>
      </c>
      <c r="AG764">
        <v>12</v>
      </c>
      <c r="AH764">
        <v>3</v>
      </c>
      <c r="AI764">
        <v>3</v>
      </c>
      <c r="AJ764">
        <v>7</v>
      </c>
      <c r="AK764">
        <v>7</v>
      </c>
      <c r="AL764">
        <v>0</v>
      </c>
    </row>
    <row r="765" spans="1:38" x14ac:dyDescent="0.3">
      <c r="A765" t="s">
        <v>834</v>
      </c>
      <c r="B765">
        <v>36</v>
      </c>
      <c r="C765" t="s">
        <v>800</v>
      </c>
      <c r="D765" t="s">
        <v>39</v>
      </c>
      <c r="E765">
        <f t="shared" si="11"/>
        <v>1</v>
      </c>
      <c r="F765" t="s">
        <v>40</v>
      </c>
      <c r="G765">
        <v>885</v>
      </c>
      <c r="H765" t="s">
        <v>41</v>
      </c>
      <c r="I765">
        <v>16</v>
      </c>
      <c r="J765">
        <v>4</v>
      </c>
      <c r="K765" t="s">
        <v>42</v>
      </c>
      <c r="L765">
        <v>1</v>
      </c>
      <c r="M765">
        <v>1042</v>
      </c>
      <c r="N765">
        <v>3</v>
      </c>
      <c r="O765" t="s">
        <v>52</v>
      </c>
      <c r="P765">
        <v>43</v>
      </c>
      <c r="Q765">
        <v>4</v>
      </c>
      <c r="R765">
        <v>1</v>
      </c>
      <c r="S765" t="s">
        <v>44</v>
      </c>
      <c r="T765">
        <v>1</v>
      </c>
      <c r="U765" t="s">
        <v>45</v>
      </c>
      <c r="V765">
        <v>2743</v>
      </c>
      <c r="W765" t="s">
        <v>46</v>
      </c>
      <c r="X765">
        <v>8269</v>
      </c>
      <c r="Y765">
        <v>1</v>
      </c>
      <c r="Z765" t="s">
        <v>47</v>
      </c>
      <c r="AA765" t="s">
        <v>48</v>
      </c>
      <c r="AB765">
        <v>16</v>
      </c>
      <c r="AC765">
        <v>3</v>
      </c>
      <c r="AD765">
        <v>3</v>
      </c>
      <c r="AE765">
        <v>80</v>
      </c>
      <c r="AF765">
        <v>0</v>
      </c>
      <c r="AG765">
        <v>18</v>
      </c>
      <c r="AH765">
        <v>1</v>
      </c>
      <c r="AI765">
        <v>3</v>
      </c>
      <c r="AJ765">
        <v>17</v>
      </c>
      <c r="AK765">
        <v>13</v>
      </c>
      <c r="AL765">
        <v>15</v>
      </c>
    </row>
    <row r="766" spans="1:38" x14ac:dyDescent="0.3">
      <c r="A766" t="s">
        <v>835</v>
      </c>
      <c r="B766">
        <v>36</v>
      </c>
      <c r="C766" t="s">
        <v>800</v>
      </c>
      <c r="D766" t="s">
        <v>39</v>
      </c>
      <c r="E766">
        <f t="shared" si="11"/>
        <v>1</v>
      </c>
      <c r="F766" t="s">
        <v>40</v>
      </c>
      <c r="G766">
        <v>660</v>
      </c>
      <c r="H766" t="s">
        <v>41</v>
      </c>
      <c r="I766">
        <v>15</v>
      </c>
      <c r="J766">
        <v>3</v>
      </c>
      <c r="K766" t="s">
        <v>72</v>
      </c>
      <c r="L766">
        <v>1</v>
      </c>
      <c r="M766">
        <v>1052</v>
      </c>
      <c r="N766">
        <v>1</v>
      </c>
      <c r="O766" t="s">
        <v>43</v>
      </c>
      <c r="P766">
        <v>81</v>
      </c>
      <c r="Q766">
        <v>3</v>
      </c>
      <c r="R766">
        <v>2</v>
      </c>
      <c r="S766" t="s">
        <v>44</v>
      </c>
      <c r="T766">
        <v>3</v>
      </c>
      <c r="U766" t="s">
        <v>101</v>
      </c>
      <c r="V766">
        <v>4834</v>
      </c>
      <c r="W766" t="s">
        <v>46</v>
      </c>
      <c r="X766">
        <v>7858</v>
      </c>
      <c r="Y766">
        <v>7</v>
      </c>
      <c r="Z766" t="s">
        <v>47</v>
      </c>
      <c r="AA766" t="s">
        <v>48</v>
      </c>
      <c r="AB766">
        <v>14</v>
      </c>
      <c r="AC766">
        <v>3</v>
      </c>
      <c r="AD766">
        <v>2</v>
      </c>
      <c r="AE766">
        <v>80</v>
      </c>
      <c r="AF766">
        <v>1</v>
      </c>
      <c r="AG766">
        <v>9</v>
      </c>
      <c r="AH766">
        <v>3</v>
      </c>
      <c r="AI766">
        <v>2</v>
      </c>
      <c r="AJ766">
        <v>1</v>
      </c>
      <c r="AK766">
        <v>0</v>
      </c>
      <c r="AL766">
        <v>0</v>
      </c>
    </row>
    <row r="767" spans="1:38" x14ac:dyDescent="0.3">
      <c r="A767" t="s">
        <v>836</v>
      </c>
      <c r="B767">
        <v>36</v>
      </c>
      <c r="C767" t="s">
        <v>800</v>
      </c>
      <c r="D767" t="s">
        <v>48</v>
      </c>
      <c r="E767">
        <f t="shared" si="11"/>
        <v>0</v>
      </c>
      <c r="F767" t="s">
        <v>40</v>
      </c>
      <c r="G767">
        <v>796</v>
      </c>
      <c r="H767" t="s">
        <v>41</v>
      </c>
      <c r="I767">
        <v>12</v>
      </c>
      <c r="J767">
        <v>5</v>
      </c>
      <c r="K767" t="s">
        <v>51</v>
      </c>
      <c r="L767">
        <v>1</v>
      </c>
      <c r="M767">
        <v>1073</v>
      </c>
      <c r="N767">
        <v>4</v>
      </c>
      <c r="O767" t="s">
        <v>52</v>
      </c>
      <c r="P767">
        <v>51</v>
      </c>
      <c r="Q767">
        <v>2</v>
      </c>
      <c r="R767">
        <v>3</v>
      </c>
      <c r="S767" t="s">
        <v>111</v>
      </c>
      <c r="T767">
        <v>4</v>
      </c>
      <c r="U767" t="s">
        <v>45</v>
      </c>
      <c r="V767">
        <v>8858</v>
      </c>
      <c r="W767" t="s">
        <v>162</v>
      </c>
      <c r="X767">
        <v>15669</v>
      </c>
      <c r="Y767">
        <v>0</v>
      </c>
      <c r="Z767" t="s">
        <v>47</v>
      </c>
      <c r="AA767" t="s">
        <v>48</v>
      </c>
      <c r="AB767">
        <v>11</v>
      </c>
      <c r="AC767">
        <v>3</v>
      </c>
      <c r="AD767">
        <v>2</v>
      </c>
      <c r="AE767">
        <v>80</v>
      </c>
      <c r="AF767">
        <v>0</v>
      </c>
      <c r="AG767">
        <v>15</v>
      </c>
      <c r="AH767">
        <v>2</v>
      </c>
      <c r="AI767">
        <v>2</v>
      </c>
      <c r="AJ767">
        <v>14</v>
      </c>
      <c r="AK767">
        <v>8</v>
      </c>
      <c r="AL767">
        <v>7</v>
      </c>
    </row>
    <row r="768" spans="1:38" x14ac:dyDescent="0.3">
      <c r="A768" t="s">
        <v>837</v>
      </c>
      <c r="B768">
        <v>36</v>
      </c>
      <c r="C768" t="s">
        <v>800</v>
      </c>
      <c r="D768" t="s">
        <v>48</v>
      </c>
      <c r="E768">
        <f t="shared" si="11"/>
        <v>0</v>
      </c>
      <c r="F768" t="s">
        <v>58</v>
      </c>
      <c r="G768">
        <v>217</v>
      </c>
      <c r="H768" t="s">
        <v>41</v>
      </c>
      <c r="I768">
        <v>18</v>
      </c>
      <c r="J768">
        <v>4</v>
      </c>
      <c r="K768" t="s">
        <v>42</v>
      </c>
      <c r="L768">
        <v>1</v>
      </c>
      <c r="M768">
        <v>1133</v>
      </c>
      <c r="N768">
        <v>1</v>
      </c>
      <c r="O768" t="s">
        <v>43</v>
      </c>
      <c r="P768">
        <v>78</v>
      </c>
      <c r="Q768">
        <v>3</v>
      </c>
      <c r="R768">
        <v>2</v>
      </c>
      <c r="S768" t="s">
        <v>111</v>
      </c>
      <c r="T768">
        <v>4</v>
      </c>
      <c r="U768" t="s">
        <v>45</v>
      </c>
      <c r="V768">
        <v>7779</v>
      </c>
      <c r="W768" t="s">
        <v>162</v>
      </c>
      <c r="X768">
        <v>23238</v>
      </c>
      <c r="Y768">
        <v>2</v>
      </c>
      <c r="Z768" t="s">
        <v>47</v>
      </c>
      <c r="AA768" t="s">
        <v>48</v>
      </c>
      <c r="AB768">
        <v>20</v>
      </c>
      <c r="AC768">
        <v>4</v>
      </c>
      <c r="AD768">
        <v>1</v>
      </c>
      <c r="AE768">
        <v>80</v>
      </c>
      <c r="AF768">
        <v>0</v>
      </c>
      <c r="AG768">
        <v>18</v>
      </c>
      <c r="AH768">
        <v>0</v>
      </c>
      <c r="AI768">
        <v>3</v>
      </c>
      <c r="AJ768">
        <v>11</v>
      </c>
      <c r="AK768">
        <v>9</v>
      </c>
      <c r="AL768">
        <v>0</v>
      </c>
    </row>
    <row r="769" spans="1:38" x14ac:dyDescent="0.3">
      <c r="A769" t="s">
        <v>838</v>
      </c>
      <c r="B769">
        <v>36</v>
      </c>
      <c r="C769" t="s">
        <v>800</v>
      </c>
      <c r="D769" t="s">
        <v>48</v>
      </c>
      <c r="E769">
        <f t="shared" si="11"/>
        <v>0</v>
      </c>
      <c r="F769" t="s">
        <v>40</v>
      </c>
      <c r="G769">
        <v>917</v>
      </c>
      <c r="H769" t="s">
        <v>41</v>
      </c>
      <c r="I769">
        <v>6</v>
      </c>
      <c r="J769">
        <v>4</v>
      </c>
      <c r="K769" t="s">
        <v>42</v>
      </c>
      <c r="L769">
        <v>1</v>
      </c>
      <c r="M769">
        <v>1221</v>
      </c>
      <c r="N769">
        <v>3</v>
      </c>
      <c r="O769" t="s">
        <v>43</v>
      </c>
      <c r="P769">
        <v>60</v>
      </c>
      <c r="Q769">
        <v>1</v>
      </c>
      <c r="R769">
        <v>1</v>
      </c>
      <c r="S769" t="s">
        <v>44</v>
      </c>
      <c r="T769">
        <v>3</v>
      </c>
      <c r="U769" t="s">
        <v>101</v>
      </c>
      <c r="V769">
        <v>2741</v>
      </c>
      <c r="W769" t="s">
        <v>46</v>
      </c>
      <c r="X769">
        <v>6865</v>
      </c>
      <c r="Y769">
        <v>1</v>
      </c>
      <c r="Z769" t="s">
        <v>47</v>
      </c>
      <c r="AA769" t="s">
        <v>48</v>
      </c>
      <c r="AB769">
        <v>14</v>
      </c>
      <c r="AC769">
        <v>3</v>
      </c>
      <c r="AD769">
        <v>3</v>
      </c>
      <c r="AE769">
        <v>80</v>
      </c>
      <c r="AF769">
        <v>1</v>
      </c>
      <c r="AG769">
        <v>7</v>
      </c>
      <c r="AH769">
        <v>4</v>
      </c>
      <c r="AI769">
        <v>3</v>
      </c>
      <c r="AJ769">
        <v>7</v>
      </c>
      <c r="AK769">
        <v>7</v>
      </c>
      <c r="AL769">
        <v>1</v>
      </c>
    </row>
    <row r="770" spans="1:38" x14ac:dyDescent="0.3">
      <c r="A770" t="s">
        <v>839</v>
      </c>
      <c r="B770">
        <v>36</v>
      </c>
      <c r="C770" t="s">
        <v>800</v>
      </c>
      <c r="D770" t="s">
        <v>48</v>
      </c>
      <c r="E770">
        <f t="shared" si="11"/>
        <v>0</v>
      </c>
      <c r="F770" t="s">
        <v>40</v>
      </c>
      <c r="G770">
        <v>363</v>
      </c>
      <c r="H770" t="s">
        <v>41</v>
      </c>
      <c r="I770">
        <v>1</v>
      </c>
      <c r="J770">
        <v>3</v>
      </c>
      <c r="K770" t="s">
        <v>67</v>
      </c>
      <c r="L770">
        <v>1</v>
      </c>
      <c r="M770">
        <v>1237</v>
      </c>
      <c r="N770">
        <v>3</v>
      </c>
      <c r="O770" t="s">
        <v>52</v>
      </c>
      <c r="P770">
        <v>77</v>
      </c>
      <c r="Q770">
        <v>1</v>
      </c>
      <c r="R770">
        <v>3</v>
      </c>
      <c r="S770" t="s">
        <v>111</v>
      </c>
      <c r="T770">
        <v>1</v>
      </c>
      <c r="U770" t="s">
        <v>101</v>
      </c>
      <c r="V770">
        <v>10252</v>
      </c>
      <c r="W770" t="s">
        <v>252</v>
      </c>
      <c r="X770">
        <v>4235</v>
      </c>
      <c r="Y770">
        <v>2</v>
      </c>
      <c r="Z770" t="s">
        <v>47</v>
      </c>
      <c r="AA770" t="s">
        <v>39</v>
      </c>
      <c r="AB770">
        <v>21</v>
      </c>
      <c r="AC770">
        <v>4</v>
      </c>
      <c r="AD770">
        <v>3</v>
      </c>
      <c r="AE770">
        <v>80</v>
      </c>
      <c r="AF770">
        <v>1</v>
      </c>
      <c r="AG770">
        <v>17</v>
      </c>
      <c r="AH770">
        <v>2</v>
      </c>
      <c r="AI770">
        <v>3</v>
      </c>
      <c r="AJ770">
        <v>7</v>
      </c>
      <c r="AK770">
        <v>7</v>
      </c>
      <c r="AL770">
        <v>7</v>
      </c>
    </row>
    <row r="771" spans="1:38" x14ac:dyDescent="0.3">
      <c r="A771" t="s">
        <v>840</v>
      </c>
      <c r="B771">
        <v>36</v>
      </c>
      <c r="C771" t="s">
        <v>800</v>
      </c>
      <c r="D771" t="s">
        <v>48</v>
      </c>
      <c r="E771">
        <f t="shared" ref="E771:E834" si="12">IF(D771="Yes",1,0)</f>
        <v>0</v>
      </c>
      <c r="F771" t="s">
        <v>55</v>
      </c>
      <c r="G771">
        <v>469</v>
      </c>
      <c r="H771" t="s">
        <v>41</v>
      </c>
      <c r="I771">
        <v>3</v>
      </c>
      <c r="J771">
        <v>3</v>
      </c>
      <c r="K771" t="s">
        <v>67</v>
      </c>
      <c r="L771">
        <v>1</v>
      </c>
      <c r="M771">
        <v>1257</v>
      </c>
      <c r="N771">
        <v>3</v>
      </c>
      <c r="O771" t="s">
        <v>43</v>
      </c>
      <c r="P771">
        <v>46</v>
      </c>
      <c r="Q771">
        <v>3</v>
      </c>
      <c r="R771">
        <v>1</v>
      </c>
      <c r="S771" t="s">
        <v>59</v>
      </c>
      <c r="T771">
        <v>2</v>
      </c>
      <c r="U771" t="s">
        <v>104</v>
      </c>
      <c r="V771">
        <v>3692</v>
      </c>
      <c r="W771" t="s">
        <v>46</v>
      </c>
      <c r="X771">
        <v>9256</v>
      </c>
      <c r="Y771">
        <v>1</v>
      </c>
      <c r="Z771" t="s">
        <v>47</v>
      </c>
      <c r="AA771" t="s">
        <v>48</v>
      </c>
      <c r="AB771">
        <v>12</v>
      </c>
      <c r="AC771">
        <v>3</v>
      </c>
      <c r="AD771">
        <v>3</v>
      </c>
      <c r="AE771">
        <v>80</v>
      </c>
      <c r="AF771">
        <v>0</v>
      </c>
      <c r="AG771">
        <v>12</v>
      </c>
      <c r="AH771">
        <v>2</v>
      </c>
      <c r="AI771">
        <v>2</v>
      </c>
      <c r="AJ771">
        <v>11</v>
      </c>
      <c r="AK771">
        <v>10</v>
      </c>
      <c r="AL771">
        <v>0</v>
      </c>
    </row>
    <row r="772" spans="1:38" x14ac:dyDescent="0.3">
      <c r="A772" t="s">
        <v>841</v>
      </c>
      <c r="B772">
        <v>36</v>
      </c>
      <c r="C772" t="s">
        <v>800</v>
      </c>
      <c r="D772" t="s">
        <v>48</v>
      </c>
      <c r="E772">
        <f t="shared" si="12"/>
        <v>0</v>
      </c>
      <c r="F772" t="s">
        <v>40</v>
      </c>
      <c r="G772">
        <v>429</v>
      </c>
      <c r="H772" t="s">
        <v>41</v>
      </c>
      <c r="I772">
        <v>2</v>
      </c>
      <c r="J772">
        <v>4</v>
      </c>
      <c r="K772" t="s">
        <v>42</v>
      </c>
      <c r="L772">
        <v>1</v>
      </c>
      <c r="M772">
        <v>1294</v>
      </c>
      <c r="N772">
        <v>3</v>
      </c>
      <c r="O772" t="s">
        <v>52</v>
      </c>
      <c r="P772">
        <v>53</v>
      </c>
      <c r="Q772">
        <v>3</v>
      </c>
      <c r="R772">
        <v>2</v>
      </c>
      <c r="S772" t="s">
        <v>111</v>
      </c>
      <c r="T772">
        <v>2</v>
      </c>
      <c r="U772" t="s">
        <v>45</v>
      </c>
      <c r="V772">
        <v>5410</v>
      </c>
      <c r="W772" t="s">
        <v>162</v>
      </c>
      <c r="X772">
        <v>2323</v>
      </c>
      <c r="Y772">
        <v>9</v>
      </c>
      <c r="Z772" t="s">
        <v>47</v>
      </c>
      <c r="AA772" t="s">
        <v>39</v>
      </c>
      <c r="AB772">
        <v>11</v>
      </c>
      <c r="AC772">
        <v>3</v>
      </c>
      <c r="AD772">
        <v>4</v>
      </c>
      <c r="AE772">
        <v>80</v>
      </c>
      <c r="AF772">
        <v>0</v>
      </c>
      <c r="AG772">
        <v>18</v>
      </c>
      <c r="AH772">
        <v>2</v>
      </c>
      <c r="AI772">
        <v>3</v>
      </c>
      <c r="AJ772">
        <v>16</v>
      </c>
      <c r="AK772">
        <v>14</v>
      </c>
      <c r="AL772">
        <v>5</v>
      </c>
    </row>
    <row r="773" spans="1:38" x14ac:dyDescent="0.3">
      <c r="A773" t="s">
        <v>842</v>
      </c>
      <c r="B773">
        <v>36</v>
      </c>
      <c r="C773" t="s">
        <v>800</v>
      </c>
      <c r="D773" t="s">
        <v>48</v>
      </c>
      <c r="E773">
        <f t="shared" si="12"/>
        <v>0</v>
      </c>
      <c r="F773" t="s">
        <v>40</v>
      </c>
      <c r="G773">
        <v>325</v>
      </c>
      <c r="H773" t="s">
        <v>41</v>
      </c>
      <c r="I773">
        <v>10</v>
      </c>
      <c r="J773">
        <v>4</v>
      </c>
      <c r="K773" t="s">
        <v>67</v>
      </c>
      <c r="L773">
        <v>1</v>
      </c>
      <c r="M773">
        <v>1312</v>
      </c>
      <c r="N773">
        <v>4</v>
      </c>
      <c r="O773" t="s">
        <v>52</v>
      </c>
      <c r="P773">
        <v>63</v>
      </c>
      <c r="Q773">
        <v>3</v>
      </c>
      <c r="R773">
        <v>3</v>
      </c>
      <c r="S773" t="s">
        <v>160</v>
      </c>
      <c r="T773">
        <v>3</v>
      </c>
      <c r="U773" t="s">
        <v>104</v>
      </c>
      <c r="V773">
        <v>7094</v>
      </c>
      <c r="W773" t="s">
        <v>162</v>
      </c>
      <c r="X773">
        <v>5747</v>
      </c>
      <c r="Y773">
        <v>3</v>
      </c>
      <c r="Z773" t="s">
        <v>47</v>
      </c>
      <c r="AA773" t="s">
        <v>48</v>
      </c>
      <c r="AB773">
        <v>12</v>
      </c>
      <c r="AC773">
        <v>3</v>
      </c>
      <c r="AD773">
        <v>1</v>
      </c>
      <c r="AE773">
        <v>80</v>
      </c>
      <c r="AF773">
        <v>0</v>
      </c>
      <c r="AG773">
        <v>10</v>
      </c>
      <c r="AH773">
        <v>0</v>
      </c>
      <c r="AI773">
        <v>3</v>
      </c>
      <c r="AJ773">
        <v>7</v>
      </c>
      <c r="AK773">
        <v>7</v>
      </c>
      <c r="AL773">
        <v>1</v>
      </c>
    </row>
    <row r="774" spans="1:38" x14ac:dyDescent="0.3">
      <c r="A774" t="s">
        <v>843</v>
      </c>
      <c r="B774">
        <v>36</v>
      </c>
      <c r="C774" t="s">
        <v>800</v>
      </c>
      <c r="D774" t="s">
        <v>48</v>
      </c>
      <c r="E774">
        <f t="shared" si="12"/>
        <v>0</v>
      </c>
      <c r="F774" t="s">
        <v>55</v>
      </c>
      <c r="G774">
        <v>607</v>
      </c>
      <c r="H774" t="s">
        <v>50</v>
      </c>
      <c r="I774">
        <v>7</v>
      </c>
      <c r="J774">
        <v>3</v>
      </c>
      <c r="K774" t="s">
        <v>56</v>
      </c>
      <c r="L774">
        <v>1</v>
      </c>
      <c r="M774">
        <v>1362</v>
      </c>
      <c r="N774">
        <v>1</v>
      </c>
      <c r="O774" t="s">
        <v>52</v>
      </c>
      <c r="P774">
        <v>83</v>
      </c>
      <c r="Q774">
        <v>4</v>
      </c>
      <c r="R774">
        <v>2</v>
      </c>
      <c r="S774" t="s">
        <v>136</v>
      </c>
      <c r="T774">
        <v>1</v>
      </c>
      <c r="U774" t="s">
        <v>104</v>
      </c>
      <c r="V774">
        <v>4639</v>
      </c>
      <c r="W774" t="s">
        <v>46</v>
      </c>
      <c r="X774">
        <v>2261</v>
      </c>
      <c r="Y774">
        <v>2</v>
      </c>
      <c r="Z774" t="s">
        <v>47</v>
      </c>
      <c r="AA774" t="s">
        <v>48</v>
      </c>
      <c r="AB774">
        <v>16</v>
      </c>
      <c r="AC774">
        <v>3</v>
      </c>
      <c r="AD774">
        <v>4</v>
      </c>
      <c r="AE774">
        <v>80</v>
      </c>
      <c r="AF774">
        <v>1</v>
      </c>
      <c r="AG774">
        <v>17</v>
      </c>
      <c r="AH774">
        <v>2</v>
      </c>
      <c r="AI774">
        <v>2</v>
      </c>
      <c r="AJ774">
        <v>15</v>
      </c>
      <c r="AK774">
        <v>7</v>
      </c>
      <c r="AL774">
        <v>6</v>
      </c>
    </row>
    <row r="775" spans="1:38" x14ac:dyDescent="0.3">
      <c r="A775" t="s">
        <v>844</v>
      </c>
      <c r="B775">
        <v>36</v>
      </c>
      <c r="C775" t="s">
        <v>800</v>
      </c>
      <c r="D775" t="s">
        <v>48</v>
      </c>
      <c r="E775">
        <f t="shared" si="12"/>
        <v>0</v>
      </c>
      <c r="F775" t="s">
        <v>40</v>
      </c>
      <c r="G775">
        <v>1174</v>
      </c>
      <c r="H775" t="s">
        <v>50</v>
      </c>
      <c r="I775">
        <v>3</v>
      </c>
      <c r="J775">
        <v>4</v>
      </c>
      <c r="K775" t="s">
        <v>56</v>
      </c>
      <c r="L775">
        <v>1</v>
      </c>
      <c r="M775">
        <v>1425</v>
      </c>
      <c r="N775">
        <v>1</v>
      </c>
      <c r="O775" t="s">
        <v>52</v>
      </c>
      <c r="P775">
        <v>99</v>
      </c>
      <c r="Q775">
        <v>3</v>
      </c>
      <c r="R775">
        <v>2</v>
      </c>
      <c r="S775" t="s">
        <v>136</v>
      </c>
      <c r="T775">
        <v>2</v>
      </c>
      <c r="U775" t="s">
        <v>45</v>
      </c>
      <c r="V775">
        <v>9278</v>
      </c>
      <c r="W775" t="s">
        <v>162</v>
      </c>
      <c r="X775">
        <v>20763</v>
      </c>
      <c r="Y775">
        <v>3</v>
      </c>
      <c r="Z775" t="s">
        <v>47</v>
      </c>
      <c r="AA775" t="s">
        <v>39</v>
      </c>
      <c r="AB775">
        <v>16</v>
      </c>
      <c r="AC775">
        <v>3</v>
      </c>
      <c r="AD775">
        <v>4</v>
      </c>
      <c r="AE775">
        <v>80</v>
      </c>
      <c r="AF775">
        <v>0</v>
      </c>
      <c r="AG775">
        <v>15</v>
      </c>
      <c r="AH775">
        <v>3</v>
      </c>
      <c r="AI775">
        <v>3</v>
      </c>
      <c r="AJ775">
        <v>5</v>
      </c>
      <c r="AK775">
        <v>4</v>
      </c>
      <c r="AL775">
        <v>0</v>
      </c>
    </row>
    <row r="776" spans="1:38" x14ac:dyDescent="0.3">
      <c r="A776" t="s">
        <v>845</v>
      </c>
      <c r="B776">
        <v>36</v>
      </c>
      <c r="C776" t="s">
        <v>800</v>
      </c>
      <c r="D776" t="s">
        <v>48</v>
      </c>
      <c r="E776">
        <f t="shared" si="12"/>
        <v>0</v>
      </c>
      <c r="F776" t="s">
        <v>40</v>
      </c>
      <c r="G776">
        <v>172</v>
      </c>
      <c r="H776" t="s">
        <v>41</v>
      </c>
      <c r="I776">
        <v>4</v>
      </c>
      <c r="J776">
        <v>4</v>
      </c>
      <c r="K776" t="s">
        <v>42</v>
      </c>
      <c r="L776">
        <v>1</v>
      </c>
      <c r="M776">
        <v>1435</v>
      </c>
      <c r="N776">
        <v>1</v>
      </c>
      <c r="O776" t="s">
        <v>43</v>
      </c>
      <c r="P776">
        <v>37</v>
      </c>
      <c r="Q776">
        <v>2</v>
      </c>
      <c r="R776">
        <v>2</v>
      </c>
      <c r="S776" t="s">
        <v>44</v>
      </c>
      <c r="T776">
        <v>4</v>
      </c>
      <c r="U776" t="s">
        <v>45</v>
      </c>
      <c r="V776">
        <v>5810</v>
      </c>
      <c r="W776" t="s">
        <v>162</v>
      </c>
      <c r="X776">
        <v>22604</v>
      </c>
      <c r="Y776">
        <v>1</v>
      </c>
      <c r="Z776" t="s">
        <v>47</v>
      </c>
      <c r="AA776" t="s">
        <v>48</v>
      </c>
      <c r="AB776">
        <v>16</v>
      </c>
      <c r="AC776">
        <v>3</v>
      </c>
      <c r="AD776">
        <v>3</v>
      </c>
      <c r="AE776">
        <v>80</v>
      </c>
      <c r="AF776">
        <v>0</v>
      </c>
      <c r="AG776">
        <v>10</v>
      </c>
      <c r="AH776">
        <v>2</v>
      </c>
      <c r="AI776">
        <v>2</v>
      </c>
      <c r="AJ776">
        <v>10</v>
      </c>
      <c r="AK776">
        <v>4</v>
      </c>
      <c r="AL776">
        <v>1</v>
      </c>
    </row>
    <row r="777" spans="1:38" x14ac:dyDescent="0.3">
      <c r="A777" t="s">
        <v>846</v>
      </c>
      <c r="B777">
        <v>36</v>
      </c>
      <c r="C777" t="s">
        <v>800</v>
      </c>
      <c r="D777" t="s">
        <v>48</v>
      </c>
      <c r="E777">
        <f t="shared" si="12"/>
        <v>0</v>
      </c>
      <c r="F777" t="s">
        <v>40</v>
      </c>
      <c r="G777">
        <v>329</v>
      </c>
      <c r="H777" t="s">
        <v>50</v>
      </c>
      <c r="I777">
        <v>16</v>
      </c>
      <c r="J777">
        <v>4</v>
      </c>
      <c r="K777" t="s">
        <v>56</v>
      </c>
      <c r="L777">
        <v>1</v>
      </c>
      <c r="M777">
        <v>1436</v>
      </c>
      <c r="N777">
        <v>3</v>
      </c>
      <c r="O777" t="s">
        <v>52</v>
      </c>
      <c r="P777">
        <v>98</v>
      </c>
      <c r="Q777">
        <v>2</v>
      </c>
      <c r="R777">
        <v>2</v>
      </c>
      <c r="S777" t="s">
        <v>136</v>
      </c>
      <c r="T777">
        <v>1</v>
      </c>
      <c r="U777" t="s">
        <v>104</v>
      </c>
      <c r="V777">
        <v>5647</v>
      </c>
      <c r="W777" t="s">
        <v>162</v>
      </c>
      <c r="X777">
        <v>13494</v>
      </c>
      <c r="Y777">
        <v>4</v>
      </c>
      <c r="Z777" t="s">
        <v>47</v>
      </c>
      <c r="AA777" t="s">
        <v>48</v>
      </c>
      <c r="AB777">
        <v>13</v>
      </c>
      <c r="AC777">
        <v>3</v>
      </c>
      <c r="AD777">
        <v>1</v>
      </c>
      <c r="AE777">
        <v>80</v>
      </c>
      <c r="AF777">
        <v>2</v>
      </c>
      <c r="AG777">
        <v>11</v>
      </c>
      <c r="AH777">
        <v>3</v>
      </c>
      <c r="AI777">
        <v>2</v>
      </c>
      <c r="AJ777">
        <v>3</v>
      </c>
      <c r="AK777">
        <v>2</v>
      </c>
      <c r="AL777">
        <v>0</v>
      </c>
    </row>
    <row r="778" spans="1:38" x14ac:dyDescent="0.3">
      <c r="A778" t="s">
        <v>847</v>
      </c>
      <c r="B778">
        <v>36</v>
      </c>
      <c r="C778" t="s">
        <v>800</v>
      </c>
      <c r="D778" t="s">
        <v>48</v>
      </c>
      <c r="E778">
        <f t="shared" si="12"/>
        <v>0</v>
      </c>
      <c r="F778" t="s">
        <v>40</v>
      </c>
      <c r="G778">
        <v>1157</v>
      </c>
      <c r="H778" t="s">
        <v>50</v>
      </c>
      <c r="I778">
        <v>2</v>
      </c>
      <c r="J778">
        <v>4</v>
      </c>
      <c r="K778" t="s">
        <v>42</v>
      </c>
      <c r="L778">
        <v>1</v>
      </c>
      <c r="M778">
        <v>1556</v>
      </c>
      <c r="N778">
        <v>3</v>
      </c>
      <c r="O778" t="s">
        <v>43</v>
      </c>
      <c r="P778">
        <v>70</v>
      </c>
      <c r="Q778">
        <v>3</v>
      </c>
      <c r="R778">
        <v>1</v>
      </c>
      <c r="S778" t="s">
        <v>53</v>
      </c>
      <c r="T778">
        <v>4</v>
      </c>
      <c r="U778" t="s">
        <v>45</v>
      </c>
      <c r="V778">
        <v>2644</v>
      </c>
      <c r="W778" t="s">
        <v>46</v>
      </c>
      <c r="X778">
        <v>17001</v>
      </c>
      <c r="Y778">
        <v>3</v>
      </c>
      <c r="Z778" t="s">
        <v>47</v>
      </c>
      <c r="AA778" t="s">
        <v>39</v>
      </c>
      <c r="AB778">
        <v>21</v>
      </c>
      <c r="AC778">
        <v>4</v>
      </c>
      <c r="AD778">
        <v>4</v>
      </c>
      <c r="AE778">
        <v>80</v>
      </c>
      <c r="AF778">
        <v>0</v>
      </c>
      <c r="AG778">
        <v>7</v>
      </c>
      <c r="AH778">
        <v>3</v>
      </c>
      <c r="AI778">
        <v>2</v>
      </c>
      <c r="AJ778">
        <v>3</v>
      </c>
      <c r="AK778">
        <v>2</v>
      </c>
      <c r="AL778">
        <v>1</v>
      </c>
    </row>
    <row r="779" spans="1:38" x14ac:dyDescent="0.3">
      <c r="A779" t="s">
        <v>848</v>
      </c>
      <c r="B779">
        <v>36</v>
      </c>
      <c r="C779" t="s">
        <v>800</v>
      </c>
      <c r="D779" t="s">
        <v>48</v>
      </c>
      <c r="E779">
        <f t="shared" si="12"/>
        <v>0</v>
      </c>
      <c r="F779" t="s">
        <v>40</v>
      </c>
      <c r="G779">
        <v>884</v>
      </c>
      <c r="H779" t="s">
        <v>50</v>
      </c>
      <c r="I779">
        <v>1</v>
      </c>
      <c r="J779">
        <v>4</v>
      </c>
      <c r="K779" t="s">
        <v>42</v>
      </c>
      <c r="L779">
        <v>1</v>
      </c>
      <c r="M779">
        <v>1585</v>
      </c>
      <c r="N779">
        <v>2</v>
      </c>
      <c r="O779" t="s">
        <v>52</v>
      </c>
      <c r="P779">
        <v>73</v>
      </c>
      <c r="Q779">
        <v>3</v>
      </c>
      <c r="R779">
        <v>2</v>
      </c>
      <c r="S779" t="s">
        <v>136</v>
      </c>
      <c r="T779">
        <v>3</v>
      </c>
      <c r="U779" t="s">
        <v>45</v>
      </c>
      <c r="V779">
        <v>6815</v>
      </c>
      <c r="W779" t="s">
        <v>162</v>
      </c>
      <c r="X779">
        <v>21447</v>
      </c>
      <c r="Y779">
        <v>6</v>
      </c>
      <c r="Z779" t="s">
        <v>47</v>
      </c>
      <c r="AA779" t="s">
        <v>48</v>
      </c>
      <c r="AB779">
        <v>13</v>
      </c>
      <c r="AC779">
        <v>3</v>
      </c>
      <c r="AD779">
        <v>1</v>
      </c>
      <c r="AE779">
        <v>80</v>
      </c>
      <c r="AF779">
        <v>0</v>
      </c>
      <c r="AG779">
        <v>15</v>
      </c>
      <c r="AH779">
        <v>5</v>
      </c>
      <c r="AI779">
        <v>3</v>
      </c>
      <c r="AJ779">
        <v>1</v>
      </c>
      <c r="AK779">
        <v>0</v>
      </c>
      <c r="AL779">
        <v>0</v>
      </c>
    </row>
    <row r="780" spans="1:38" x14ac:dyDescent="0.3">
      <c r="A780" t="s">
        <v>849</v>
      </c>
      <c r="B780">
        <v>36</v>
      </c>
      <c r="C780" t="s">
        <v>800</v>
      </c>
      <c r="D780" t="s">
        <v>48</v>
      </c>
      <c r="E780">
        <f t="shared" si="12"/>
        <v>0</v>
      </c>
      <c r="F780" t="s">
        <v>55</v>
      </c>
      <c r="G780">
        <v>1302</v>
      </c>
      <c r="H780" t="s">
        <v>41</v>
      </c>
      <c r="I780">
        <v>6</v>
      </c>
      <c r="J780">
        <v>4</v>
      </c>
      <c r="K780" t="s">
        <v>42</v>
      </c>
      <c r="L780">
        <v>1</v>
      </c>
      <c r="M780">
        <v>1594</v>
      </c>
      <c r="N780">
        <v>1</v>
      </c>
      <c r="O780" t="s">
        <v>43</v>
      </c>
      <c r="P780">
        <v>80</v>
      </c>
      <c r="Q780">
        <v>4</v>
      </c>
      <c r="R780">
        <v>2</v>
      </c>
      <c r="S780" t="s">
        <v>44</v>
      </c>
      <c r="T780">
        <v>1</v>
      </c>
      <c r="U780" t="s">
        <v>104</v>
      </c>
      <c r="V780">
        <v>5562</v>
      </c>
      <c r="W780" t="s">
        <v>162</v>
      </c>
      <c r="X780">
        <v>19711</v>
      </c>
      <c r="Y780">
        <v>3</v>
      </c>
      <c r="Z780" t="s">
        <v>47</v>
      </c>
      <c r="AA780" t="s">
        <v>39</v>
      </c>
      <c r="AB780">
        <v>13</v>
      </c>
      <c r="AC780">
        <v>3</v>
      </c>
      <c r="AD780">
        <v>4</v>
      </c>
      <c r="AE780">
        <v>80</v>
      </c>
      <c r="AF780">
        <v>1</v>
      </c>
      <c r="AG780">
        <v>9</v>
      </c>
      <c r="AH780">
        <v>3</v>
      </c>
      <c r="AI780">
        <v>3</v>
      </c>
      <c r="AJ780">
        <v>3</v>
      </c>
      <c r="AK780">
        <v>2</v>
      </c>
      <c r="AL780">
        <v>0</v>
      </c>
    </row>
    <row r="781" spans="1:38" x14ac:dyDescent="0.3">
      <c r="A781" t="s">
        <v>850</v>
      </c>
      <c r="B781">
        <v>36</v>
      </c>
      <c r="C781" t="s">
        <v>800</v>
      </c>
      <c r="D781" t="s">
        <v>48</v>
      </c>
      <c r="E781">
        <f t="shared" si="12"/>
        <v>0</v>
      </c>
      <c r="F781" t="s">
        <v>40</v>
      </c>
      <c r="G781">
        <v>559</v>
      </c>
      <c r="H781" t="s">
        <v>41</v>
      </c>
      <c r="I781">
        <v>12</v>
      </c>
      <c r="J781">
        <v>4</v>
      </c>
      <c r="K781" t="s">
        <v>42</v>
      </c>
      <c r="L781">
        <v>1</v>
      </c>
      <c r="M781">
        <v>1614</v>
      </c>
      <c r="N781">
        <v>3</v>
      </c>
      <c r="O781" t="s">
        <v>52</v>
      </c>
      <c r="P781">
        <v>76</v>
      </c>
      <c r="Q781">
        <v>3</v>
      </c>
      <c r="R781">
        <v>2</v>
      </c>
      <c r="S781" t="s">
        <v>111</v>
      </c>
      <c r="T781">
        <v>3</v>
      </c>
      <c r="U781" t="s">
        <v>104</v>
      </c>
      <c r="V781">
        <v>4663</v>
      </c>
      <c r="W781" t="s">
        <v>46</v>
      </c>
      <c r="X781">
        <v>12421</v>
      </c>
      <c r="Y781">
        <v>9</v>
      </c>
      <c r="Z781" t="s">
        <v>47</v>
      </c>
      <c r="AA781" t="s">
        <v>39</v>
      </c>
      <c r="AB781">
        <v>12</v>
      </c>
      <c r="AC781">
        <v>3</v>
      </c>
      <c r="AD781">
        <v>2</v>
      </c>
      <c r="AE781">
        <v>80</v>
      </c>
      <c r="AF781">
        <v>2</v>
      </c>
      <c r="AG781">
        <v>7</v>
      </c>
      <c r="AH781">
        <v>2</v>
      </c>
      <c r="AI781">
        <v>3</v>
      </c>
      <c r="AJ781">
        <v>3</v>
      </c>
      <c r="AK781">
        <v>2</v>
      </c>
      <c r="AL781">
        <v>1</v>
      </c>
    </row>
    <row r="782" spans="1:38" x14ac:dyDescent="0.3">
      <c r="A782" t="s">
        <v>851</v>
      </c>
      <c r="B782">
        <v>36</v>
      </c>
      <c r="C782" t="s">
        <v>800</v>
      </c>
      <c r="D782" t="s">
        <v>48</v>
      </c>
      <c r="E782">
        <f t="shared" si="12"/>
        <v>0</v>
      </c>
      <c r="F782" t="s">
        <v>40</v>
      </c>
      <c r="G782">
        <v>711</v>
      </c>
      <c r="H782" t="s">
        <v>41</v>
      </c>
      <c r="I782">
        <v>5</v>
      </c>
      <c r="J782">
        <v>4</v>
      </c>
      <c r="K782" t="s">
        <v>42</v>
      </c>
      <c r="L782">
        <v>1</v>
      </c>
      <c r="M782">
        <v>1651</v>
      </c>
      <c r="N782">
        <v>2</v>
      </c>
      <c r="O782" t="s">
        <v>52</v>
      </c>
      <c r="P782">
        <v>42</v>
      </c>
      <c r="Q782">
        <v>3</v>
      </c>
      <c r="R782">
        <v>3</v>
      </c>
      <c r="S782" t="s">
        <v>160</v>
      </c>
      <c r="T782">
        <v>1</v>
      </c>
      <c r="U782" t="s">
        <v>104</v>
      </c>
      <c r="V782">
        <v>8008</v>
      </c>
      <c r="W782" t="s">
        <v>162</v>
      </c>
      <c r="X782">
        <v>22792</v>
      </c>
      <c r="Y782">
        <v>4</v>
      </c>
      <c r="Z782" t="s">
        <v>47</v>
      </c>
      <c r="AA782" t="s">
        <v>48</v>
      </c>
      <c r="AB782">
        <v>12</v>
      </c>
      <c r="AC782">
        <v>3</v>
      </c>
      <c r="AD782">
        <v>3</v>
      </c>
      <c r="AE782">
        <v>80</v>
      </c>
      <c r="AF782">
        <v>2</v>
      </c>
      <c r="AG782">
        <v>9</v>
      </c>
      <c r="AH782">
        <v>6</v>
      </c>
      <c r="AI782">
        <v>3</v>
      </c>
      <c r="AJ782">
        <v>3</v>
      </c>
      <c r="AK782">
        <v>2</v>
      </c>
      <c r="AL782">
        <v>0</v>
      </c>
    </row>
    <row r="783" spans="1:38" x14ac:dyDescent="0.3">
      <c r="A783" t="s">
        <v>852</v>
      </c>
      <c r="B783">
        <v>36</v>
      </c>
      <c r="C783" t="s">
        <v>800</v>
      </c>
      <c r="D783" t="s">
        <v>48</v>
      </c>
      <c r="E783">
        <f t="shared" si="12"/>
        <v>0</v>
      </c>
      <c r="F783" t="s">
        <v>40</v>
      </c>
      <c r="G783">
        <v>311</v>
      </c>
      <c r="H783" t="s">
        <v>41</v>
      </c>
      <c r="I783">
        <v>7</v>
      </c>
      <c r="J783">
        <v>3</v>
      </c>
      <c r="K783" t="s">
        <v>42</v>
      </c>
      <c r="L783">
        <v>1</v>
      </c>
      <c r="M783">
        <v>1659</v>
      </c>
      <c r="N783">
        <v>1</v>
      </c>
      <c r="O783" t="s">
        <v>43</v>
      </c>
      <c r="P783">
        <v>77</v>
      </c>
      <c r="Q783">
        <v>3</v>
      </c>
      <c r="R783">
        <v>1</v>
      </c>
      <c r="S783" t="s">
        <v>44</v>
      </c>
      <c r="T783">
        <v>2</v>
      </c>
      <c r="U783" t="s">
        <v>45</v>
      </c>
      <c r="V783">
        <v>2013</v>
      </c>
      <c r="W783" t="s">
        <v>46</v>
      </c>
      <c r="X783">
        <v>10950</v>
      </c>
      <c r="Y783">
        <v>2</v>
      </c>
      <c r="Z783" t="s">
        <v>47</v>
      </c>
      <c r="AA783" t="s">
        <v>48</v>
      </c>
      <c r="AB783">
        <v>11</v>
      </c>
      <c r="AC783">
        <v>3</v>
      </c>
      <c r="AD783">
        <v>3</v>
      </c>
      <c r="AE783">
        <v>80</v>
      </c>
      <c r="AF783">
        <v>0</v>
      </c>
      <c r="AG783">
        <v>15</v>
      </c>
      <c r="AH783">
        <v>4</v>
      </c>
      <c r="AI783">
        <v>3</v>
      </c>
      <c r="AJ783">
        <v>4</v>
      </c>
      <c r="AK783">
        <v>3</v>
      </c>
      <c r="AL783">
        <v>1</v>
      </c>
    </row>
    <row r="784" spans="1:38" x14ac:dyDescent="0.3">
      <c r="A784" t="s">
        <v>853</v>
      </c>
      <c r="B784">
        <v>36</v>
      </c>
      <c r="C784" t="s">
        <v>800</v>
      </c>
      <c r="D784" t="s">
        <v>48</v>
      </c>
      <c r="E784">
        <f t="shared" si="12"/>
        <v>0</v>
      </c>
      <c r="F784" t="s">
        <v>58</v>
      </c>
      <c r="G784">
        <v>894</v>
      </c>
      <c r="H784" t="s">
        <v>41</v>
      </c>
      <c r="I784">
        <v>1</v>
      </c>
      <c r="J784">
        <v>4</v>
      </c>
      <c r="K784" t="s">
        <v>51</v>
      </c>
      <c r="L784">
        <v>1</v>
      </c>
      <c r="M784">
        <v>1662</v>
      </c>
      <c r="N784">
        <v>4</v>
      </c>
      <c r="O784" t="s">
        <v>52</v>
      </c>
      <c r="P784">
        <v>33</v>
      </c>
      <c r="Q784">
        <v>2</v>
      </c>
      <c r="R784">
        <v>2</v>
      </c>
      <c r="S784" t="s">
        <v>111</v>
      </c>
      <c r="T784">
        <v>3</v>
      </c>
      <c r="U784" t="s">
        <v>104</v>
      </c>
      <c r="V784">
        <v>4374</v>
      </c>
      <c r="W784" t="s">
        <v>46</v>
      </c>
      <c r="X784">
        <v>15411</v>
      </c>
      <c r="Y784">
        <v>0</v>
      </c>
      <c r="Z784" t="s">
        <v>47</v>
      </c>
      <c r="AA784" t="s">
        <v>48</v>
      </c>
      <c r="AB784">
        <v>15</v>
      </c>
      <c r="AC784">
        <v>3</v>
      </c>
      <c r="AD784">
        <v>3</v>
      </c>
      <c r="AE784">
        <v>80</v>
      </c>
      <c r="AF784">
        <v>0</v>
      </c>
      <c r="AG784">
        <v>4</v>
      </c>
      <c r="AH784">
        <v>6</v>
      </c>
      <c r="AI784">
        <v>3</v>
      </c>
      <c r="AJ784">
        <v>3</v>
      </c>
      <c r="AK784">
        <v>2</v>
      </c>
      <c r="AL784">
        <v>1</v>
      </c>
    </row>
    <row r="785" spans="1:38" x14ac:dyDescent="0.3">
      <c r="A785" t="s">
        <v>854</v>
      </c>
      <c r="B785">
        <v>36</v>
      </c>
      <c r="C785" t="s">
        <v>800</v>
      </c>
      <c r="D785" t="s">
        <v>48</v>
      </c>
      <c r="E785">
        <f t="shared" si="12"/>
        <v>0</v>
      </c>
      <c r="F785" t="s">
        <v>40</v>
      </c>
      <c r="G785">
        <v>1040</v>
      </c>
      <c r="H785" t="s">
        <v>41</v>
      </c>
      <c r="I785">
        <v>3</v>
      </c>
      <c r="J785">
        <v>2</v>
      </c>
      <c r="K785" t="s">
        <v>42</v>
      </c>
      <c r="L785">
        <v>1</v>
      </c>
      <c r="M785">
        <v>1664</v>
      </c>
      <c r="N785">
        <v>4</v>
      </c>
      <c r="O785" t="s">
        <v>43</v>
      </c>
      <c r="P785">
        <v>79</v>
      </c>
      <c r="Q785">
        <v>4</v>
      </c>
      <c r="R785">
        <v>2</v>
      </c>
      <c r="S785" t="s">
        <v>160</v>
      </c>
      <c r="T785">
        <v>1</v>
      </c>
      <c r="U785" t="s">
        <v>101</v>
      </c>
      <c r="V785">
        <v>6842</v>
      </c>
      <c r="W785" t="s">
        <v>162</v>
      </c>
      <c r="X785">
        <v>26308</v>
      </c>
      <c r="Y785">
        <v>6</v>
      </c>
      <c r="Z785" t="s">
        <v>47</v>
      </c>
      <c r="AA785" t="s">
        <v>48</v>
      </c>
      <c r="AB785">
        <v>20</v>
      </c>
      <c r="AC785">
        <v>4</v>
      </c>
      <c r="AD785">
        <v>1</v>
      </c>
      <c r="AE785">
        <v>80</v>
      </c>
      <c r="AF785">
        <v>1</v>
      </c>
      <c r="AG785">
        <v>13</v>
      </c>
      <c r="AH785">
        <v>3</v>
      </c>
      <c r="AI785">
        <v>3</v>
      </c>
      <c r="AJ785">
        <v>5</v>
      </c>
      <c r="AK785">
        <v>4</v>
      </c>
      <c r="AL785">
        <v>0</v>
      </c>
    </row>
    <row r="786" spans="1:38" x14ac:dyDescent="0.3">
      <c r="A786" t="s">
        <v>855</v>
      </c>
      <c r="B786">
        <v>36</v>
      </c>
      <c r="C786" t="s">
        <v>800</v>
      </c>
      <c r="D786" t="s">
        <v>48</v>
      </c>
      <c r="E786">
        <f t="shared" si="12"/>
        <v>0</v>
      </c>
      <c r="F786" t="s">
        <v>40</v>
      </c>
      <c r="G786">
        <v>1351</v>
      </c>
      <c r="H786" t="s">
        <v>41</v>
      </c>
      <c r="I786">
        <v>26</v>
      </c>
      <c r="J786">
        <v>4</v>
      </c>
      <c r="K786" t="s">
        <v>42</v>
      </c>
      <c r="L786">
        <v>1</v>
      </c>
      <c r="M786">
        <v>1682</v>
      </c>
      <c r="N786">
        <v>1</v>
      </c>
      <c r="O786" t="s">
        <v>43</v>
      </c>
      <c r="P786">
        <v>80</v>
      </c>
      <c r="Q786">
        <v>3</v>
      </c>
      <c r="R786">
        <v>2</v>
      </c>
      <c r="S786" t="s">
        <v>160</v>
      </c>
      <c r="T786">
        <v>3</v>
      </c>
      <c r="U786" t="s">
        <v>104</v>
      </c>
      <c r="V786">
        <v>5347</v>
      </c>
      <c r="W786" t="s">
        <v>162</v>
      </c>
      <c r="X786">
        <v>7419</v>
      </c>
      <c r="Y786">
        <v>6</v>
      </c>
      <c r="Z786" t="s">
        <v>47</v>
      </c>
      <c r="AA786" t="s">
        <v>48</v>
      </c>
      <c r="AB786">
        <v>14</v>
      </c>
      <c r="AC786">
        <v>3</v>
      </c>
      <c r="AD786">
        <v>2</v>
      </c>
      <c r="AE786">
        <v>80</v>
      </c>
      <c r="AF786">
        <v>2</v>
      </c>
      <c r="AG786">
        <v>10</v>
      </c>
      <c r="AH786">
        <v>2</v>
      </c>
      <c r="AI786">
        <v>2</v>
      </c>
      <c r="AJ786">
        <v>3</v>
      </c>
      <c r="AK786">
        <v>2</v>
      </c>
      <c r="AL786">
        <v>0</v>
      </c>
    </row>
    <row r="787" spans="1:38" x14ac:dyDescent="0.3">
      <c r="A787" t="s">
        <v>856</v>
      </c>
      <c r="B787">
        <v>36</v>
      </c>
      <c r="C787" t="s">
        <v>800</v>
      </c>
      <c r="D787" t="s">
        <v>48</v>
      </c>
      <c r="E787">
        <f t="shared" si="12"/>
        <v>0</v>
      </c>
      <c r="F787" t="s">
        <v>40</v>
      </c>
      <c r="G787">
        <v>530</v>
      </c>
      <c r="H787" t="s">
        <v>50</v>
      </c>
      <c r="I787">
        <v>2</v>
      </c>
      <c r="J787">
        <v>4</v>
      </c>
      <c r="K787" t="s">
        <v>42</v>
      </c>
      <c r="L787">
        <v>1</v>
      </c>
      <c r="M787">
        <v>1710</v>
      </c>
      <c r="N787">
        <v>3</v>
      </c>
      <c r="O787" t="s">
        <v>52</v>
      </c>
      <c r="P787">
        <v>51</v>
      </c>
      <c r="Q787">
        <v>3</v>
      </c>
      <c r="R787">
        <v>2</v>
      </c>
      <c r="S787" t="s">
        <v>53</v>
      </c>
      <c r="T787">
        <v>4</v>
      </c>
      <c r="U787" t="s">
        <v>45</v>
      </c>
      <c r="V787">
        <v>4502</v>
      </c>
      <c r="W787" t="s">
        <v>46</v>
      </c>
      <c r="X787">
        <v>7439</v>
      </c>
      <c r="Y787">
        <v>3</v>
      </c>
      <c r="Z787" t="s">
        <v>47</v>
      </c>
      <c r="AA787" t="s">
        <v>48</v>
      </c>
      <c r="AB787">
        <v>15</v>
      </c>
      <c r="AC787">
        <v>3</v>
      </c>
      <c r="AD787">
        <v>3</v>
      </c>
      <c r="AE787">
        <v>80</v>
      </c>
      <c r="AF787">
        <v>0</v>
      </c>
      <c r="AG787">
        <v>17</v>
      </c>
      <c r="AH787">
        <v>2</v>
      </c>
      <c r="AI787">
        <v>2</v>
      </c>
      <c r="AJ787">
        <v>13</v>
      </c>
      <c r="AK787">
        <v>7</v>
      </c>
      <c r="AL787">
        <v>6</v>
      </c>
    </row>
    <row r="788" spans="1:38" x14ac:dyDescent="0.3">
      <c r="A788" t="s">
        <v>857</v>
      </c>
      <c r="B788">
        <v>36</v>
      </c>
      <c r="C788" t="s">
        <v>800</v>
      </c>
      <c r="D788" t="s">
        <v>39</v>
      </c>
      <c r="E788">
        <f t="shared" si="12"/>
        <v>1</v>
      </c>
      <c r="F788" t="s">
        <v>40</v>
      </c>
      <c r="G788">
        <v>1456</v>
      </c>
      <c r="H788" t="s">
        <v>50</v>
      </c>
      <c r="I788">
        <v>13</v>
      </c>
      <c r="J788">
        <v>5</v>
      </c>
      <c r="K788" t="s">
        <v>56</v>
      </c>
      <c r="L788">
        <v>1</v>
      </c>
      <c r="M788">
        <v>1733</v>
      </c>
      <c r="N788">
        <v>2</v>
      </c>
      <c r="O788" t="s">
        <v>43</v>
      </c>
      <c r="P788">
        <v>96</v>
      </c>
      <c r="Q788">
        <v>2</v>
      </c>
      <c r="R788">
        <v>2</v>
      </c>
      <c r="S788" t="s">
        <v>136</v>
      </c>
      <c r="T788">
        <v>1</v>
      </c>
      <c r="U788" t="s">
        <v>101</v>
      </c>
      <c r="V788">
        <v>6134</v>
      </c>
      <c r="W788" t="s">
        <v>162</v>
      </c>
      <c r="X788">
        <v>8658</v>
      </c>
      <c r="Y788">
        <v>5</v>
      </c>
      <c r="Z788" t="s">
        <v>47</v>
      </c>
      <c r="AA788" t="s">
        <v>39</v>
      </c>
      <c r="AB788">
        <v>13</v>
      </c>
      <c r="AC788">
        <v>3</v>
      </c>
      <c r="AD788">
        <v>2</v>
      </c>
      <c r="AE788">
        <v>80</v>
      </c>
      <c r="AF788">
        <v>3</v>
      </c>
      <c r="AG788">
        <v>16</v>
      </c>
      <c r="AH788">
        <v>3</v>
      </c>
      <c r="AI788">
        <v>3</v>
      </c>
      <c r="AJ788">
        <v>2</v>
      </c>
      <c r="AK788">
        <v>2</v>
      </c>
      <c r="AL788">
        <v>2</v>
      </c>
    </row>
    <row r="789" spans="1:38" x14ac:dyDescent="0.3">
      <c r="A789" t="s">
        <v>858</v>
      </c>
      <c r="B789">
        <v>36</v>
      </c>
      <c r="C789" t="s">
        <v>800</v>
      </c>
      <c r="D789" t="s">
        <v>48</v>
      </c>
      <c r="E789">
        <f t="shared" si="12"/>
        <v>0</v>
      </c>
      <c r="F789" t="s">
        <v>40</v>
      </c>
      <c r="G789">
        <v>1383</v>
      </c>
      <c r="H789" t="s">
        <v>41</v>
      </c>
      <c r="I789">
        <v>10</v>
      </c>
      <c r="J789">
        <v>3</v>
      </c>
      <c r="K789" t="s">
        <v>42</v>
      </c>
      <c r="L789">
        <v>1</v>
      </c>
      <c r="M789">
        <v>1790</v>
      </c>
      <c r="N789">
        <v>4</v>
      </c>
      <c r="O789" t="s">
        <v>43</v>
      </c>
      <c r="P789">
        <v>90</v>
      </c>
      <c r="Q789">
        <v>3</v>
      </c>
      <c r="R789">
        <v>3</v>
      </c>
      <c r="S789" t="s">
        <v>160</v>
      </c>
      <c r="T789">
        <v>1</v>
      </c>
      <c r="U789" t="s">
        <v>104</v>
      </c>
      <c r="V789">
        <v>8321</v>
      </c>
      <c r="W789" t="s">
        <v>162</v>
      </c>
      <c r="X789">
        <v>25949</v>
      </c>
      <c r="Y789">
        <v>7</v>
      </c>
      <c r="Z789" t="s">
        <v>47</v>
      </c>
      <c r="AA789" t="s">
        <v>39</v>
      </c>
      <c r="AB789">
        <v>13</v>
      </c>
      <c r="AC789">
        <v>3</v>
      </c>
      <c r="AD789">
        <v>4</v>
      </c>
      <c r="AE789">
        <v>80</v>
      </c>
      <c r="AF789">
        <v>1</v>
      </c>
      <c r="AG789">
        <v>15</v>
      </c>
      <c r="AH789">
        <v>1</v>
      </c>
      <c r="AI789">
        <v>3</v>
      </c>
      <c r="AJ789">
        <v>12</v>
      </c>
      <c r="AK789">
        <v>8</v>
      </c>
      <c r="AL789">
        <v>5</v>
      </c>
    </row>
    <row r="790" spans="1:38" x14ac:dyDescent="0.3">
      <c r="A790" t="s">
        <v>859</v>
      </c>
      <c r="B790">
        <v>36</v>
      </c>
      <c r="C790" t="s">
        <v>800</v>
      </c>
      <c r="D790" t="s">
        <v>48</v>
      </c>
      <c r="E790">
        <f t="shared" si="12"/>
        <v>0</v>
      </c>
      <c r="F790" t="s">
        <v>40</v>
      </c>
      <c r="G790">
        <v>430</v>
      </c>
      <c r="H790" t="s">
        <v>41</v>
      </c>
      <c r="I790">
        <v>2</v>
      </c>
      <c r="J790">
        <v>4</v>
      </c>
      <c r="K790" t="s">
        <v>72</v>
      </c>
      <c r="L790">
        <v>1</v>
      </c>
      <c r="M790">
        <v>1847</v>
      </c>
      <c r="N790">
        <v>4</v>
      </c>
      <c r="O790" t="s">
        <v>52</v>
      </c>
      <c r="P790">
        <v>73</v>
      </c>
      <c r="Q790">
        <v>3</v>
      </c>
      <c r="R790">
        <v>2</v>
      </c>
      <c r="S790" t="s">
        <v>59</v>
      </c>
      <c r="T790">
        <v>2</v>
      </c>
      <c r="U790" t="s">
        <v>104</v>
      </c>
      <c r="V790">
        <v>6962</v>
      </c>
      <c r="W790" t="s">
        <v>162</v>
      </c>
      <c r="X790">
        <v>19573</v>
      </c>
      <c r="Y790">
        <v>4</v>
      </c>
      <c r="Z790" t="s">
        <v>47</v>
      </c>
      <c r="AA790" t="s">
        <v>39</v>
      </c>
      <c r="AB790">
        <v>22</v>
      </c>
      <c r="AC790">
        <v>4</v>
      </c>
      <c r="AD790">
        <v>4</v>
      </c>
      <c r="AE790">
        <v>80</v>
      </c>
      <c r="AF790">
        <v>1</v>
      </c>
      <c r="AG790">
        <v>15</v>
      </c>
      <c r="AH790">
        <v>2</v>
      </c>
      <c r="AI790">
        <v>3</v>
      </c>
      <c r="AJ790">
        <v>1</v>
      </c>
      <c r="AK790">
        <v>0</v>
      </c>
      <c r="AL790">
        <v>0</v>
      </c>
    </row>
    <row r="791" spans="1:38" x14ac:dyDescent="0.3">
      <c r="A791" t="s">
        <v>860</v>
      </c>
      <c r="B791">
        <v>36</v>
      </c>
      <c r="C791" t="s">
        <v>800</v>
      </c>
      <c r="D791" t="s">
        <v>48</v>
      </c>
      <c r="E791">
        <f t="shared" si="12"/>
        <v>0</v>
      </c>
      <c r="F791" t="s">
        <v>40</v>
      </c>
      <c r="G791">
        <v>1266</v>
      </c>
      <c r="H791" t="s">
        <v>50</v>
      </c>
      <c r="I791">
        <v>10</v>
      </c>
      <c r="J791">
        <v>4</v>
      </c>
      <c r="K791" t="s">
        <v>67</v>
      </c>
      <c r="L791">
        <v>1</v>
      </c>
      <c r="M791">
        <v>1880</v>
      </c>
      <c r="N791">
        <v>2</v>
      </c>
      <c r="O791" t="s">
        <v>52</v>
      </c>
      <c r="P791">
        <v>63</v>
      </c>
      <c r="Q791">
        <v>2</v>
      </c>
      <c r="R791">
        <v>2</v>
      </c>
      <c r="S791" t="s">
        <v>136</v>
      </c>
      <c r="T791">
        <v>3</v>
      </c>
      <c r="U791" t="s">
        <v>104</v>
      </c>
      <c r="V791">
        <v>5673</v>
      </c>
      <c r="W791" t="s">
        <v>162</v>
      </c>
      <c r="X791">
        <v>6060</v>
      </c>
      <c r="Y791">
        <v>1</v>
      </c>
      <c r="Z791" t="s">
        <v>47</v>
      </c>
      <c r="AA791" t="s">
        <v>39</v>
      </c>
      <c r="AB791">
        <v>13</v>
      </c>
      <c r="AC791">
        <v>3</v>
      </c>
      <c r="AD791">
        <v>1</v>
      </c>
      <c r="AE791">
        <v>80</v>
      </c>
      <c r="AF791">
        <v>1</v>
      </c>
      <c r="AG791">
        <v>10</v>
      </c>
      <c r="AH791">
        <v>4</v>
      </c>
      <c r="AI791">
        <v>3</v>
      </c>
      <c r="AJ791">
        <v>10</v>
      </c>
      <c r="AK791">
        <v>9</v>
      </c>
      <c r="AL791">
        <v>1</v>
      </c>
    </row>
    <row r="792" spans="1:38" x14ac:dyDescent="0.3">
      <c r="A792" t="s">
        <v>861</v>
      </c>
      <c r="B792">
        <v>36</v>
      </c>
      <c r="C792" t="s">
        <v>800</v>
      </c>
      <c r="D792" t="s">
        <v>48</v>
      </c>
      <c r="E792">
        <f t="shared" si="12"/>
        <v>0</v>
      </c>
      <c r="F792" t="s">
        <v>55</v>
      </c>
      <c r="G792">
        <v>1213</v>
      </c>
      <c r="H792" t="s">
        <v>70</v>
      </c>
      <c r="I792">
        <v>2</v>
      </c>
      <c r="J792">
        <v>1</v>
      </c>
      <c r="K792" t="s">
        <v>70</v>
      </c>
      <c r="L792">
        <v>1</v>
      </c>
      <c r="M792">
        <v>1890</v>
      </c>
      <c r="N792">
        <v>2</v>
      </c>
      <c r="O792" t="s">
        <v>43</v>
      </c>
      <c r="P792">
        <v>94</v>
      </c>
      <c r="Q792">
        <v>2</v>
      </c>
      <c r="R792">
        <v>2</v>
      </c>
      <c r="S792" t="s">
        <v>70</v>
      </c>
      <c r="T792">
        <v>4</v>
      </c>
      <c r="U792" t="s">
        <v>45</v>
      </c>
      <c r="V792">
        <v>3886</v>
      </c>
      <c r="W792" t="s">
        <v>46</v>
      </c>
      <c r="X792">
        <v>4223</v>
      </c>
      <c r="Y792">
        <v>1</v>
      </c>
      <c r="Z792" t="s">
        <v>47</v>
      </c>
      <c r="AA792" t="s">
        <v>48</v>
      </c>
      <c r="AB792">
        <v>21</v>
      </c>
      <c r="AC792">
        <v>4</v>
      </c>
      <c r="AD792">
        <v>4</v>
      </c>
      <c r="AE792">
        <v>80</v>
      </c>
      <c r="AF792">
        <v>0</v>
      </c>
      <c r="AG792">
        <v>10</v>
      </c>
      <c r="AH792">
        <v>2</v>
      </c>
      <c r="AI792">
        <v>2</v>
      </c>
      <c r="AJ792">
        <v>10</v>
      </c>
      <c r="AK792">
        <v>1</v>
      </c>
      <c r="AL792">
        <v>0</v>
      </c>
    </row>
    <row r="793" spans="1:38" x14ac:dyDescent="0.3">
      <c r="A793" t="s">
        <v>862</v>
      </c>
      <c r="B793">
        <v>36</v>
      </c>
      <c r="C793" t="s">
        <v>800</v>
      </c>
      <c r="D793" t="s">
        <v>48</v>
      </c>
      <c r="E793">
        <f t="shared" si="12"/>
        <v>0</v>
      </c>
      <c r="F793" t="s">
        <v>40</v>
      </c>
      <c r="G793">
        <v>335</v>
      </c>
      <c r="H793" t="s">
        <v>50</v>
      </c>
      <c r="I793">
        <v>17</v>
      </c>
      <c r="J793">
        <v>2</v>
      </c>
      <c r="K793" t="s">
        <v>56</v>
      </c>
      <c r="L793">
        <v>1</v>
      </c>
      <c r="M793">
        <v>1908</v>
      </c>
      <c r="N793">
        <v>3</v>
      </c>
      <c r="O793" t="s">
        <v>43</v>
      </c>
      <c r="P793">
        <v>33</v>
      </c>
      <c r="Q793">
        <v>2</v>
      </c>
      <c r="R793">
        <v>2</v>
      </c>
      <c r="S793" t="s">
        <v>136</v>
      </c>
      <c r="T793">
        <v>2</v>
      </c>
      <c r="U793" t="s">
        <v>104</v>
      </c>
      <c r="V793">
        <v>5507</v>
      </c>
      <c r="W793" t="s">
        <v>162</v>
      </c>
      <c r="X793">
        <v>16822</v>
      </c>
      <c r="Y793">
        <v>2</v>
      </c>
      <c r="Z793" t="s">
        <v>47</v>
      </c>
      <c r="AA793" t="s">
        <v>48</v>
      </c>
      <c r="AB793">
        <v>16</v>
      </c>
      <c r="AC793">
        <v>3</v>
      </c>
      <c r="AD793">
        <v>3</v>
      </c>
      <c r="AE793">
        <v>80</v>
      </c>
      <c r="AF793">
        <v>2</v>
      </c>
      <c r="AG793">
        <v>12</v>
      </c>
      <c r="AH793">
        <v>1</v>
      </c>
      <c r="AI793">
        <v>1</v>
      </c>
      <c r="AJ793">
        <v>4</v>
      </c>
      <c r="AK793">
        <v>2</v>
      </c>
      <c r="AL793">
        <v>1</v>
      </c>
    </row>
    <row r="794" spans="1:38" x14ac:dyDescent="0.3">
      <c r="A794" t="s">
        <v>863</v>
      </c>
      <c r="B794">
        <v>36</v>
      </c>
      <c r="C794" t="s">
        <v>800</v>
      </c>
      <c r="D794" t="s">
        <v>48</v>
      </c>
      <c r="E794">
        <f t="shared" si="12"/>
        <v>0</v>
      </c>
      <c r="F794" t="s">
        <v>58</v>
      </c>
      <c r="G794">
        <v>1351</v>
      </c>
      <c r="H794" t="s">
        <v>41</v>
      </c>
      <c r="I794">
        <v>9</v>
      </c>
      <c r="J794">
        <v>4</v>
      </c>
      <c r="K794" t="s">
        <v>42</v>
      </c>
      <c r="L794">
        <v>1</v>
      </c>
      <c r="M794">
        <v>1949</v>
      </c>
      <c r="N794">
        <v>1</v>
      </c>
      <c r="O794" t="s">
        <v>43</v>
      </c>
      <c r="P794">
        <v>66</v>
      </c>
      <c r="Q794">
        <v>4</v>
      </c>
      <c r="R794">
        <v>1</v>
      </c>
      <c r="S794" t="s">
        <v>44</v>
      </c>
      <c r="T794">
        <v>2</v>
      </c>
      <c r="U794" t="s">
        <v>104</v>
      </c>
      <c r="V794">
        <v>2810</v>
      </c>
      <c r="W794" t="s">
        <v>46</v>
      </c>
      <c r="X794">
        <v>9238</v>
      </c>
      <c r="Y794">
        <v>1</v>
      </c>
      <c r="Z794" t="s">
        <v>47</v>
      </c>
      <c r="AA794" t="s">
        <v>48</v>
      </c>
      <c r="AB794">
        <v>22</v>
      </c>
      <c r="AC794">
        <v>4</v>
      </c>
      <c r="AD794">
        <v>2</v>
      </c>
      <c r="AE794">
        <v>80</v>
      </c>
      <c r="AF794">
        <v>0</v>
      </c>
      <c r="AG794">
        <v>5</v>
      </c>
      <c r="AH794">
        <v>3</v>
      </c>
      <c r="AI794">
        <v>3</v>
      </c>
      <c r="AJ794">
        <v>5</v>
      </c>
      <c r="AK794">
        <v>4</v>
      </c>
      <c r="AL794">
        <v>0</v>
      </c>
    </row>
    <row r="795" spans="1:38" x14ac:dyDescent="0.3">
      <c r="A795" t="s">
        <v>864</v>
      </c>
      <c r="B795">
        <v>36</v>
      </c>
      <c r="C795" t="s">
        <v>800</v>
      </c>
      <c r="D795" t="s">
        <v>48</v>
      </c>
      <c r="E795">
        <f t="shared" si="12"/>
        <v>0</v>
      </c>
      <c r="F795" t="s">
        <v>40</v>
      </c>
      <c r="G795">
        <v>557</v>
      </c>
      <c r="H795" t="s">
        <v>50</v>
      </c>
      <c r="I795">
        <v>3</v>
      </c>
      <c r="J795">
        <v>3</v>
      </c>
      <c r="K795" t="s">
        <v>51</v>
      </c>
      <c r="L795">
        <v>1</v>
      </c>
      <c r="M795">
        <v>2024</v>
      </c>
      <c r="N795">
        <v>1</v>
      </c>
      <c r="O795" t="s">
        <v>52</v>
      </c>
      <c r="P795">
        <v>94</v>
      </c>
      <c r="Q795">
        <v>2</v>
      </c>
      <c r="R795">
        <v>3</v>
      </c>
      <c r="S795" t="s">
        <v>136</v>
      </c>
      <c r="T795">
        <v>4</v>
      </c>
      <c r="U795" t="s">
        <v>104</v>
      </c>
      <c r="V795">
        <v>7644</v>
      </c>
      <c r="W795" t="s">
        <v>162</v>
      </c>
      <c r="X795">
        <v>12695</v>
      </c>
      <c r="Y795">
        <v>0</v>
      </c>
      <c r="Z795" t="s">
        <v>47</v>
      </c>
      <c r="AA795" t="s">
        <v>48</v>
      </c>
      <c r="AB795">
        <v>19</v>
      </c>
      <c r="AC795">
        <v>3</v>
      </c>
      <c r="AD795">
        <v>3</v>
      </c>
      <c r="AE795">
        <v>80</v>
      </c>
      <c r="AF795">
        <v>2</v>
      </c>
      <c r="AG795">
        <v>10</v>
      </c>
      <c r="AH795">
        <v>2</v>
      </c>
      <c r="AI795">
        <v>3</v>
      </c>
      <c r="AJ795">
        <v>9</v>
      </c>
      <c r="AK795">
        <v>7</v>
      </c>
      <c r="AL795">
        <v>3</v>
      </c>
    </row>
    <row r="796" spans="1:38" x14ac:dyDescent="0.3">
      <c r="A796" t="s">
        <v>865</v>
      </c>
      <c r="B796">
        <v>36</v>
      </c>
      <c r="C796" t="s">
        <v>800</v>
      </c>
      <c r="D796" t="s">
        <v>48</v>
      </c>
      <c r="E796">
        <f t="shared" si="12"/>
        <v>0</v>
      </c>
      <c r="F796" t="s">
        <v>55</v>
      </c>
      <c r="G796">
        <v>688</v>
      </c>
      <c r="H796" t="s">
        <v>41</v>
      </c>
      <c r="I796">
        <v>4</v>
      </c>
      <c r="J796">
        <v>2</v>
      </c>
      <c r="K796" t="s">
        <v>42</v>
      </c>
      <c r="L796">
        <v>1</v>
      </c>
      <c r="M796">
        <v>2025</v>
      </c>
      <c r="N796">
        <v>4</v>
      </c>
      <c r="O796" t="s">
        <v>52</v>
      </c>
      <c r="P796">
        <v>97</v>
      </c>
      <c r="Q796">
        <v>3</v>
      </c>
      <c r="R796">
        <v>2</v>
      </c>
      <c r="S796" t="s">
        <v>111</v>
      </c>
      <c r="T796">
        <v>2</v>
      </c>
      <c r="U796" t="s">
        <v>101</v>
      </c>
      <c r="V796">
        <v>5131</v>
      </c>
      <c r="W796" t="s">
        <v>162</v>
      </c>
      <c r="X796">
        <v>9192</v>
      </c>
      <c r="Y796">
        <v>7</v>
      </c>
      <c r="Z796" t="s">
        <v>47</v>
      </c>
      <c r="AA796" t="s">
        <v>48</v>
      </c>
      <c r="AB796">
        <v>13</v>
      </c>
      <c r="AC796">
        <v>3</v>
      </c>
      <c r="AD796">
        <v>2</v>
      </c>
      <c r="AE796">
        <v>80</v>
      </c>
      <c r="AF796">
        <v>3</v>
      </c>
      <c r="AG796">
        <v>18</v>
      </c>
      <c r="AH796">
        <v>3</v>
      </c>
      <c r="AI796">
        <v>3</v>
      </c>
      <c r="AJ796">
        <v>4</v>
      </c>
      <c r="AK796">
        <v>2</v>
      </c>
      <c r="AL796">
        <v>0</v>
      </c>
    </row>
    <row r="797" spans="1:38" x14ac:dyDescent="0.3">
      <c r="A797" t="s">
        <v>866</v>
      </c>
      <c r="B797">
        <v>36</v>
      </c>
      <c r="C797" t="s">
        <v>800</v>
      </c>
      <c r="D797" t="s">
        <v>48</v>
      </c>
      <c r="E797">
        <f t="shared" si="12"/>
        <v>0</v>
      </c>
      <c r="F797" t="s">
        <v>58</v>
      </c>
      <c r="G797">
        <v>301</v>
      </c>
      <c r="H797" t="s">
        <v>50</v>
      </c>
      <c r="I797">
        <v>15</v>
      </c>
      <c r="J797">
        <v>4</v>
      </c>
      <c r="K797" t="s">
        <v>56</v>
      </c>
      <c r="L797">
        <v>1</v>
      </c>
      <c r="M797">
        <v>2036</v>
      </c>
      <c r="N797">
        <v>4</v>
      </c>
      <c r="O797" t="s">
        <v>43</v>
      </c>
      <c r="P797">
        <v>88</v>
      </c>
      <c r="Q797">
        <v>1</v>
      </c>
      <c r="R797">
        <v>2</v>
      </c>
      <c r="S797" t="s">
        <v>136</v>
      </c>
      <c r="T797">
        <v>4</v>
      </c>
      <c r="U797" t="s">
        <v>101</v>
      </c>
      <c r="V797">
        <v>5406</v>
      </c>
      <c r="W797" t="s">
        <v>162</v>
      </c>
      <c r="X797">
        <v>10436</v>
      </c>
      <c r="Y797">
        <v>1</v>
      </c>
      <c r="Z797" t="s">
        <v>47</v>
      </c>
      <c r="AA797" t="s">
        <v>48</v>
      </c>
      <c r="AB797">
        <v>24</v>
      </c>
      <c r="AC797">
        <v>4</v>
      </c>
      <c r="AD797">
        <v>1</v>
      </c>
      <c r="AE797">
        <v>80</v>
      </c>
      <c r="AF797">
        <v>1</v>
      </c>
      <c r="AG797">
        <v>15</v>
      </c>
      <c r="AH797">
        <v>4</v>
      </c>
      <c r="AI797">
        <v>2</v>
      </c>
      <c r="AJ797">
        <v>15</v>
      </c>
      <c r="AK797">
        <v>12</v>
      </c>
      <c r="AL797">
        <v>11</v>
      </c>
    </row>
    <row r="798" spans="1:38" x14ac:dyDescent="0.3">
      <c r="A798" t="s">
        <v>867</v>
      </c>
      <c r="B798">
        <v>36</v>
      </c>
      <c r="C798" t="s">
        <v>800</v>
      </c>
      <c r="D798" t="s">
        <v>48</v>
      </c>
      <c r="E798">
        <f t="shared" si="12"/>
        <v>0</v>
      </c>
      <c r="F798" t="s">
        <v>40</v>
      </c>
      <c r="G798">
        <v>1120</v>
      </c>
      <c r="H798" t="s">
        <v>50</v>
      </c>
      <c r="I798">
        <v>11</v>
      </c>
      <c r="J798">
        <v>4</v>
      </c>
      <c r="K798" t="s">
        <v>56</v>
      </c>
      <c r="L798">
        <v>1</v>
      </c>
      <c r="M798">
        <v>2045</v>
      </c>
      <c r="N798">
        <v>2</v>
      </c>
      <c r="O798" t="s">
        <v>52</v>
      </c>
      <c r="P798">
        <v>100</v>
      </c>
      <c r="Q798">
        <v>2</v>
      </c>
      <c r="R798">
        <v>2</v>
      </c>
      <c r="S798" t="s">
        <v>136</v>
      </c>
      <c r="T798">
        <v>4</v>
      </c>
      <c r="U798" t="s">
        <v>104</v>
      </c>
      <c r="V798">
        <v>6652</v>
      </c>
      <c r="W798" t="s">
        <v>162</v>
      </c>
      <c r="X798">
        <v>14369</v>
      </c>
      <c r="Y798">
        <v>4</v>
      </c>
      <c r="Z798" t="s">
        <v>47</v>
      </c>
      <c r="AA798" t="s">
        <v>48</v>
      </c>
      <c r="AB798">
        <v>13</v>
      </c>
      <c r="AC798">
        <v>3</v>
      </c>
      <c r="AD798">
        <v>1</v>
      </c>
      <c r="AE798">
        <v>80</v>
      </c>
      <c r="AF798">
        <v>1</v>
      </c>
      <c r="AG798">
        <v>8</v>
      </c>
      <c r="AH798">
        <v>2</v>
      </c>
      <c r="AI798">
        <v>2</v>
      </c>
      <c r="AJ798">
        <v>6</v>
      </c>
      <c r="AK798">
        <v>3</v>
      </c>
      <c r="AL798">
        <v>0</v>
      </c>
    </row>
    <row r="799" spans="1:38" x14ac:dyDescent="0.3">
      <c r="A799" t="s">
        <v>868</v>
      </c>
      <c r="B799">
        <v>36</v>
      </c>
      <c r="C799" t="s">
        <v>800</v>
      </c>
      <c r="D799" t="s">
        <v>48</v>
      </c>
      <c r="E799">
        <f t="shared" si="12"/>
        <v>0</v>
      </c>
      <c r="F799" t="s">
        <v>55</v>
      </c>
      <c r="G799">
        <v>884</v>
      </c>
      <c r="H799" t="s">
        <v>41</v>
      </c>
      <c r="I799">
        <v>23</v>
      </c>
      <c r="J799">
        <v>2</v>
      </c>
      <c r="K799" t="s">
        <v>51</v>
      </c>
      <c r="L799">
        <v>1</v>
      </c>
      <c r="M799">
        <v>2061</v>
      </c>
      <c r="N799">
        <v>3</v>
      </c>
      <c r="O799" t="s">
        <v>43</v>
      </c>
      <c r="P799">
        <v>41</v>
      </c>
      <c r="Q799">
        <v>4</v>
      </c>
      <c r="R799">
        <v>2</v>
      </c>
      <c r="S799" t="s">
        <v>44</v>
      </c>
      <c r="T799">
        <v>4</v>
      </c>
      <c r="U799" t="s">
        <v>104</v>
      </c>
      <c r="V799">
        <v>2571</v>
      </c>
      <c r="W799" t="s">
        <v>46</v>
      </c>
      <c r="X799">
        <v>12290</v>
      </c>
      <c r="Y799">
        <v>4</v>
      </c>
      <c r="Z799" t="s">
        <v>47</v>
      </c>
      <c r="AA799" t="s">
        <v>48</v>
      </c>
      <c r="AB799">
        <v>17</v>
      </c>
      <c r="AC799">
        <v>3</v>
      </c>
      <c r="AD799">
        <v>3</v>
      </c>
      <c r="AE799">
        <v>80</v>
      </c>
      <c r="AF799">
        <v>1</v>
      </c>
      <c r="AG799">
        <v>17</v>
      </c>
      <c r="AH799">
        <v>3</v>
      </c>
      <c r="AI799">
        <v>3</v>
      </c>
      <c r="AJ799">
        <v>5</v>
      </c>
      <c r="AK799">
        <v>2</v>
      </c>
      <c r="AL799">
        <v>0</v>
      </c>
    </row>
    <row r="800" spans="1:38" x14ac:dyDescent="0.3">
      <c r="A800" t="s">
        <v>869</v>
      </c>
      <c r="B800">
        <v>37</v>
      </c>
      <c r="C800" t="s">
        <v>800</v>
      </c>
      <c r="D800" t="s">
        <v>39</v>
      </c>
      <c r="E800">
        <f t="shared" si="12"/>
        <v>1</v>
      </c>
      <c r="F800" t="s">
        <v>40</v>
      </c>
      <c r="G800">
        <v>1373</v>
      </c>
      <c r="H800" t="s">
        <v>41</v>
      </c>
      <c r="I800">
        <v>2</v>
      </c>
      <c r="J800">
        <v>2</v>
      </c>
      <c r="K800" t="s">
        <v>72</v>
      </c>
      <c r="L800">
        <v>1</v>
      </c>
      <c r="M800">
        <v>4</v>
      </c>
      <c r="N800">
        <v>4</v>
      </c>
      <c r="O800" t="s">
        <v>43</v>
      </c>
      <c r="P800">
        <v>92</v>
      </c>
      <c r="Q800">
        <v>2</v>
      </c>
      <c r="R800">
        <v>1</v>
      </c>
      <c r="S800" t="s">
        <v>44</v>
      </c>
      <c r="T800">
        <v>3</v>
      </c>
      <c r="U800" t="s">
        <v>45</v>
      </c>
      <c r="V800">
        <v>2090</v>
      </c>
      <c r="W800" t="s">
        <v>46</v>
      </c>
      <c r="X800">
        <v>2396</v>
      </c>
      <c r="Y800">
        <v>6</v>
      </c>
      <c r="Z800" t="s">
        <v>47</v>
      </c>
      <c r="AA800" t="s">
        <v>39</v>
      </c>
      <c r="AB800">
        <v>15</v>
      </c>
      <c r="AC800">
        <v>3</v>
      </c>
      <c r="AD800">
        <v>2</v>
      </c>
      <c r="AE800">
        <v>80</v>
      </c>
      <c r="AF800">
        <v>0</v>
      </c>
      <c r="AG800">
        <v>7</v>
      </c>
      <c r="AH800">
        <v>3</v>
      </c>
      <c r="AI800">
        <v>3</v>
      </c>
      <c r="AJ800">
        <v>0</v>
      </c>
      <c r="AK800">
        <v>0</v>
      </c>
      <c r="AL800">
        <v>0</v>
      </c>
    </row>
    <row r="801" spans="1:38" x14ac:dyDescent="0.3">
      <c r="A801" t="s">
        <v>870</v>
      </c>
      <c r="B801">
        <v>37</v>
      </c>
      <c r="C801" t="s">
        <v>800</v>
      </c>
      <c r="D801" t="s">
        <v>48</v>
      </c>
      <c r="E801">
        <f t="shared" si="12"/>
        <v>0</v>
      </c>
      <c r="F801" t="s">
        <v>40</v>
      </c>
      <c r="G801">
        <v>408</v>
      </c>
      <c r="H801" t="s">
        <v>41</v>
      </c>
      <c r="I801">
        <v>19</v>
      </c>
      <c r="J801">
        <v>2</v>
      </c>
      <c r="K801" t="s">
        <v>42</v>
      </c>
      <c r="L801">
        <v>1</v>
      </c>
      <c r="M801">
        <v>61</v>
      </c>
      <c r="N801">
        <v>2</v>
      </c>
      <c r="O801" t="s">
        <v>43</v>
      </c>
      <c r="P801">
        <v>73</v>
      </c>
      <c r="Q801">
        <v>3</v>
      </c>
      <c r="R801">
        <v>1</v>
      </c>
      <c r="S801" t="s">
        <v>59</v>
      </c>
      <c r="T801">
        <v>2</v>
      </c>
      <c r="U801" t="s">
        <v>104</v>
      </c>
      <c r="V801">
        <v>3022</v>
      </c>
      <c r="W801" t="s">
        <v>46</v>
      </c>
      <c r="X801">
        <v>10227</v>
      </c>
      <c r="Y801">
        <v>4</v>
      </c>
      <c r="Z801" t="s">
        <v>47</v>
      </c>
      <c r="AA801" t="s">
        <v>48</v>
      </c>
      <c r="AB801">
        <v>21</v>
      </c>
      <c r="AC801">
        <v>4</v>
      </c>
      <c r="AD801">
        <v>1</v>
      </c>
      <c r="AE801">
        <v>80</v>
      </c>
      <c r="AF801">
        <v>0</v>
      </c>
      <c r="AG801">
        <v>8</v>
      </c>
      <c r="AH801">
        <v>1</v>
      </c>
      <c r="AI801">
        <v>3</v>
      </c>
      <c r="AJ801">
        <v>1</v>
      </c>
      <c r="AK801">
        <v>0</v>
      </c>
      <c r="AL801">
        <v>0</v>
      </c>
    </row>
    <row r="802" spans="1:38" x14ac:dyDescent="0.3">
      <c r="A802" t="s">
        <v>871</v>
      </c>
      <c r="B802">
        <v>37</v>
      </c>
      <c r="C802" t="s">
        <v>800</v>
      </c>
      <c r="D802" t="s">
        <v>48</v>
      </c>
      <c r="E802">
        <f t="shared" si="12"/>
        <v>0</v>
      </c>
      <c r="F802" t="s">
        <v>40</v>
      </c>
      <c r="G802">
        <v>1115</v>
      </c>
      <c r="H802" t="s">
        <v>41</v>
      </c>
      <c r="I802">
        <v>1</v>
      </c>
      <c r="J802">
        <v>4</v>
      </c>
      <c r="K802" t="s">
        <v>42</v>
      </c>
      <c r="L802">
        <v>1</v>
      </c>
      <c r="M802">
        <v>77</v>
      </c>
      <c r="N802">
        <v>1</v>
      </c>
      <c r="O802" t="s">
        <v>43</v>
      </c>
      <c r="P802">
        <v>51</v>
      </c>
      <c r="Q802">
        <v>2</v>
      </c>
      <c r="R802">
        <v>2</v>
      </c>
      <c r="S802" t="s">
        <v>111</v>
      </c>
      <c r="T802">
        <v>3</v>
      </c>
      <c r="U802" t="s">
        <v>101</v>
      </c>
      <c r="V802">
        <v>5993</v>
      </c>
      <c r="W802" t="s">
        <v>162</v>
      </c>
      <c r="X802">
        <v>2689</v>
      </c>
      <c r="Y802">
        <v>1</v>
      </c>
      <c r="Z802" t="s">
        <v>47</v>
      </c>
      <c r="AA802" t="s">
        <v>48</v>
      </c>
      <c r="AB802">
        <v>18</v>
      </c>
      <c r="AC802">
        <v>3</v>
      </c>
      <c r="AD802">
        <v>3</v>
      </c>
      <c r="AE802">
        <v>80</v>
      </c>
      <c r="AF802">
        <v>1</v>
      </c>
      <c r="AG802">
        <v>7</v>
      </c>
      <c r="AH802">
        <v>2</v>
      </c>
      <c r="AI802">
        <v>4</v>
      </c>
      <c r="AJ802">
        <v>7</v>
      </c>
      <c r="AK802">
        <v>5</v>
      </c>
      <c r="AL802">
        <v>0</v>
      </c>
    </row>
    <row r="803" spans="1:38" x14ac:dyDescent="0.3">
      <c r="A803" t="s">
        <v>872</v>
      </c>
      <c r="B803">
        <v>37</v>
      </c>
      <c r="C803" t="s">
        <v>800</v>
      </c>
      <c r="D803" t="s">
        <v>48</v>
      </c>
      <c r="E803">
        <f t="shared" si="12"/>
        <v>0</v>
      </c>
      <c r="F803" t="s">
        <v>40</v>
      </c>
      <c r="G803">
        <v>397</v>
      </c>
      <c r="H803" t="s">
        <v>41</v>
      </c>
      <c r="I803">
        <v>7</v>
      </c>
      <c r="J803">
        <v>4</v>
      </c>
      <c r="K803" t="s">
        <v>51</v>
      </c>
      <c r="L803">
        <v>1</v>
      </c>
      <c r="M803">
        <v>102</v>
      </c>
      <c r="N803">
        <v>1</v>
      </c>
      <c r="O803" t="s">
        <v>43</v>
      </c>
      <c r="P803">
        <v>30</v>
      </c>
      <c r="Q803">
        <v>3</v>
      </c>
      <c r="R803">
        <v>3</v>
      </c>
      <c r="S803" t="s">
        <v>251</v>
      </c>
      <c r="T803">
        <v>3</v>
      </c>
      <c r="U803" t="s">
        <v>45</v>
      </c>
      <c r="V803">
        <v>13664</v>
      </c>
      <c r="W803" t="s">
        <v>252</v>
      </c>
      <c r="X803">
        <v>25258</v>
      </c>
      <c r="Y803">
        <v>4</v>
      </c>
      <c r="Z803" t="s">
        <v>47</v>
      </c>
      <c r="AA803" t="s">
        <v>48</v>
      </c>
      <c r="AB803">
        <v>13</v>
      </c>
      <c r="AC803">
        <v>3</v>
      </c>
      <c r="AD803">
        <v>1</v>
      </c>
      <c r="AE803">
        <v>80</v>
      </c>
      <c r="AF803">
        <v>0</v>
      </c>
      <c r="AG803">
        <v>16</v>
      </c>
      <c r="AH803">
        <v>3</v>
      </c>
      <c r="AI803">
        <v>4</v>
      </c>
      <c r="AJ803">
        <v>5</v>
      </c>
      <c r="AK803">
        <v>2</v>
      </c>
      <c r="AL803">
        <v>0</v>
      </c>
    </row>
    <row r="804" spans="1:38" x14ac:dyDescent="0.3">
      <c r="A804" t="s">
        <v>873</v>
      </c>
      <c r="B804">
        <v>37</v>
      </c>
      <c r="C804" t="s">
        <v>800</v>
      </c>
      <c r="D804" t="s">
        <v>39</v>
      </c>
      <c r="E804">
        <f t="shared" si="12"/>
        <v>1</v>
      </c>
      <c r="F804" t="s">
        <v>40</v>
      </c>
      <c r="G804">
        <v>807</v>
      </c>
      <c r="H804" t="s">
        <v>70</v>
      </c>
      <c r="I804">
        <v>6</v>
      </c>
      <c r="J804">
        <v>4</v>
      </c>
      <c r="K804" t="s">
        <v>70</v>
      </c>
      <c r="L804">
        <v>1</v>
      </c>
      <c r="M804">
        <v>133</v>
      </c>
      <c r="N804">
        <v>3</v>
      </c>
      <c r="O804" t="s">
        <v>43</v>
      </c>
      <c r="P804">
        <v>63</v>
      </c>
      <c r="Q804">
        <v>3</v>
      </c>
      <c r="R804">
        <v>1</v>
      </c>
      <c r="S804" t="s">
        <v>70</v>
      </c>
      <c r="T804">
        <v>1</v>
      </c>
      <c r="U804" t="s">
        <v>101</v>
      </c>
      <c r="V804">
        <v>2073</v>
      </c>
      <c r="W804" t="s">
        <v>46</v>
      </c>
      <c r="X804">
        <v>23648</v>
      </c>
      <c r="Y804">
        <v>4</v>
      </c>
      <c r="Z804" t="s">
        <v>47</v>
      </c>
      <c r="AA804" t="s">
        <v>39</v>
      </c>
      <c r="AB804">
        <v>22</v>
      </c>
      <c r="AC804">
        <v>4</v>
      </c>
      <c r="AD804">
        <v>4</v>
      </c>
      <c r="AE804">
        <v>80</v>
      </c>
      <c r="AF804">
        <v>0</v>
      </c>
      <c r="AG804">
        <v>7</v>
      </c>
      <c r="AH804">
        <v>3</v>
      </c>
      <c r="AI804">
        <v>3</v>
      </c>
      <c r="AJ804">
        <v>3</v>
      </c>
      <c r="AK804">
        <v>2</v>
      </c>
      <c r="AL804">
        <v>0</v>
      </c>
    </row>
    <row r="805" spans="1:38" x14ac:dyDescent="0.3">
      <c r="A805" t="s">
        <v>874</v>
      </c>
      <c r="B805">
        <v>37</v>
      </c>
      <c r="C805" t="s">
        <v>800</v>
      </c>
      <c r="D805" t="s">
        <v>48</v>
      </c>
      <c r="E805">
        <f t="shared" si="12"/>
        <v>0</v>
      </c>
      <c r="F805" t="s">
        <v>58</v>
      </c>
      <c r="G805">
        <v>1040</v>
      </c>
      <c r="H805" t="s">
        <v>41</v>
      </c>
      <c r="I805">
        <v>2</v>
      </c>
      <c r="J805">
        <v>2</v>
      </c>
      <c r="K805" t="s">
        <v>42</v>
      </c>
      <c r="L805">
        <v>1</v>
      </c>
      <c r="M805">
        <v>139</v>
      </c>
      <c r="N805">
        <v>3</v>
      </c>
      <c r="O805" t="s">
        <v>43</v>
      </c>
      <c r="P805">
        <v>100</v>
      </c>
      <c r="Q805">
        <v>2</v>
      </c>
      <c r="R805">
        <v>2</v>
      </c>
      <c r="S805" t="s">
        <v>160</v>
      </c>
      <c r="T805">
        <v>4</v>
      </c>
      <c r="U805" t="s">
        <v>101</v>
      </c>
      <c r="V805">
        <v>5163</v>
      </c>
      <c r="W805" t="s">
        <v>162</v>
      </c>
      <c r="X805">
        <v>15850</v>
      </c>
      <c r="Y805">
        <v>5</v>
      </c>
      <c r="Z805" t="s">
        <v>47</v>
      </c>
      <c r="AA805" t="s">
        <v>48</v>
      </c>
      <c r="AB805">
        <v>14</v>
      </c>
      <c r="AC805">
        <v>3</v>
      </c>
      <c r="AD805">
        <v>4</v>
      </c>
      <c r="AE805">
        <v>80</v>
      </c>
      <c r="AF805">
        <v>1</v>
      </c>
      <c r="AG805">
        <v>17</v>
      </c>
      <c r="AH805">
        <v>2</v>
      </c>
      <c r="AI805">
        <v>4</v>
      </c>
      <c r="AJ805">
        <v>1</v>
      </c>
      <c r="AK805">
        <v>0</v>
      </c>
      <c r="AL805">
        <v>0</v>
      </c>
    </row>
    <row r="806" spans="1:38" x14ac:dyDescent="0.3">
      <c r="A806" t="s">
        <v>875</v>
      </c>
      <c r="B806">
        <v>37</v>
      </c>
      <c r="C806" t="s">
        <v>800</v>
      </c>
      <c r="D806" t="s">
        <v>48</v>
      </c>
      <c r="E806">
        <f t="shared" si="12"/>
        <v>0</v>
      </c>
      <c r="F806" t="s">
        <v>40</v>
      </c>
      <c r="G806">
        <v>1189</v>
      </c>
      <c r="H806" t="s">
        <v>50</v>
      </c>
      <c r="I806">
        <v>3</v>
      </c>
      <c r="J806">
        <v>3</v>
      </c>
      <c r="K806" t="s">
        <v>42</v>
      </c>
      <c r="L806">
        <v>1</v>
      </c>
      <c r="M806">
        <v>152</v>
      </c>
      <c r="N806">
        <v>3</v>
      </c>
      <c r="O806" t="s">
        <v>43</v>
      </c>
      <c r="P806">
        <v>87</v>
      </c>
      <c r="Q806">
        <v>3</v>
      </c>
      <c r="R806">
        <v>3</v>
      </c>
      <c r="S806" t="s">
        <v>136</v>
      </c>
      <c r="T806">
        <v>4</v>
      </c>
      <c r="U806" t="s">
        <v>45</v>
      </c>
      <c r="V806">
        <v>7428</v>
      </c>
      <c r="W806" t="s">
        <v>162</v>
      </c>
      <c r="X806">
        <v>14506</v>
      </c>
      <c r="Y806">
        <v>2</v>
      </c>
      <c r="Z806" t="s">
        <v>47</v>
      </c>
      <c r="AA806" t="s">
        <v>48</v>
      </c>
      <c r="AB806">
        <v>12</v>
      </c>
      <c r="AC806">
        <v>3</v>
      </c>
      <c r="AD806">
        <v>1</v>
      </c>
      <c r="AE806">
        <v>80</v>
      </c>
      <c r="AF806">
        <v>0</v>
      </c>
      <c r="AG806">
        <v>12</v>
      </c>
      <c r="AH806">
        <v>3</v>
      </c>
      <c r="AI806">
        <v>3</v>
      </c>
      <c r="AJ806">
        <v>5</v>
      </c>
      <c r="AK806">
        <v>3</v>
      </c>
      <c r="AL806">
        <v>1</v>
      </c>
    </row>
    <row r="807" spans="1:38" x14ac:dyDescent="0.3">
      <c r="A807" t="s">
        <v>876</v>
      </c>
      <c r="B807">
        <v>37</v>
      </c>
      <c r="C807" t="s">
        <v>800</v>
      </c>
      <c r="D807" t="s">
        <v>48</v>
      </c>
      <c r="E807">
        <f t="shared" si="12"/>
        <v>0</v>
      </c>
      <c r="F807" t="s">
        <v>40</v>
      </c>
      <c r="G807">
        <v>290</v>
      </c>
      <c r="H807" t="s">
        <v>41</v>
      </c>
      <c r="I807">
        <v>21</v>
      </c>
      <c r="J807">
        <v>3</v>
      </c>
      <c r="K807" t="s">
        <v>42</v>
      </c>
      <c r="L807">
        <v>1</v>
      </c>
      <c r="M807">
        <v>267</v>
      </c>
      <c r="N807">
        <v>2</v>
      </c>
      <c r="O807" t="s">
        <v>43</v>
      </c>
      <c r="P807">
        <v>65</v>
      </c>
      <c r="Q807">
        <v>4</v>
      </c>
      <c r="R807">
        <v>1</v>
      </c>
      <c r="S807" t="s">
        <v>59</v>
      </c>
      <c r="T807">
        <v>1</v>
      </c>
      <c r="U807" t="s">
        <v>104</v>
      </c>
      <c r="V807">
        <v>3564</v>
      </c>
      <c r="W807" t="s">
        <v>46</v>
      </c>
      <c r="X807">
        <v>22977</v>
      </c>
      <c r="Y807">
        <v>1</v>
      </c>
      <c r="Z807" t="s">
        <v>47</v>
      </c>
      <c r="AA807" t="s">
        <v>39</v>
      </c>
      <c r="AB807">
        <v>12</v>
      </c>
      <c r="AC807">
        <v>3</v>
      </c>
      <c r="AD807">
        <v>1</v>
      </c>
      <c r="AE807">
        <v>80</v>
      </c>
      <c r="AF807">
        <v>1</v>
      </c>
      <c r="AG807">
        <v>8</v>
      </c>
      <c r="AH807">
        <v>3</v>
      </c>
      <c r="AI807">
        <v>2</v>
      </c>
      <c r="AJ807">
        <v>8</v>
      </c>
      <c r="AK807">
        <v>7</v>
      </c>
      <c r="AL807">
        <v>1</v>
      </c>
    </row>
    <row r="808" spans="1:38" x14ac:dyDescent="0.3">
      <c r="A808" t="s">
        <v>877</v>
      </c>
      <c r="B808">
        <v>37</v>
      </c>
      <c r="C808" t="s">
        <v>800</v>
      </c>
      <c r="D808" t="s">
        <v>48</v>
      </c>
      <c r="E808">
        <f t="shared" si="12"/>
        <v>0</v>
      </c>
      <c r="F808" t="s">
        <v>55</v>
      </c>
      <c r="G808">
        <v>663</v>
      </c>
      <c r="H808" t="s">
        <v>41</v>
      </c>
      <c r="I808">
        <v>11</v>
      </c>
      <c r="J808">
        <v>3</v>
      </c>
      <c r="K808" t="s">
        <v>72</v>
      </c>
      <c r="L808">
        <v>1</v>
      </c>
      <c r="M808">
        <v>306</v>
      </c>
      <c r="N808">
        <v>2</v>
      </c>
      <c r="O808" t="s">
        <v>43</v>
      </c>
      <c r="P808">
        <v>47</v>
      </c>
      <c r="Q808">
        <v>3</v>
      </c>
      <c r="R808">
        <v>3</v>
      </c>
      <c r="S808" t="s">
        <v>251</v>
      </c>
      <c r="T808">
        <v>4</v>
      </c>
      <c r="U808" t="s">
        <v>101</v>
      </c>
      <c r="V808">
        <v>12185</v>
      </c>
      <c r="W808" t="s">
        <v>252</v>
      </c>
      <c r="X808">
        <v>10056</v>
      </c>
      <c r="Y808">
        <v>1</v>
      </c>
      <c r="Z808" t="s">
        <v>47</v>
      </c>
      <c r="AA808" t="s">
        <v>39</v>
      </c>
      <c r="AB808">
        <v>14</v>
      </c>
      <c r="AC808">
        <v>3</v>
      </c>
      <c r="AD808">
        <v>3</v>
      </c>
      <c r="AE808">
        <v>80</v>
      </c>
      <c r="AF808">
        <v>3</v>
      </c>
      <c r="AG808">
        <v>10</v>
      </c>
      <c r="AH808">
        <v>1</v>
      </c>
      <c r="AI808">
        <v>3</v>
      </c>
      <c r="AJ808">
        <v>10</v>
      </c>
      <c r="AK808">
        <v>8</v>
      </c>
      <c r="AL808">
        <v>0</v>
      </c>
    </row>
    <row r="809" spans="1:38" x14ac:dyDescent="0.3">
      <c r="A809" t="s">
        <v>878</v>
      </c>
      <c r="B809">
        <v>37</v>
      </c>
      <c r="C809" t="s">
        <v>800</v>
      </c>
      <c r="D809" t="s">
        <v>48</v>
      </c>
      <c r="E809">
        <f t="shared" si="12"/>
        <v>0</v>
      </c>
      <c r="F809" t="s">
        <v>55</v>
      </c>
      <c r="G809">
        <v>319</v>
      </c>
      <c r="H809" t="s">
        <v>50</v>
      </c>
      <c r="I809">
        <v>4</v>
      </c>
      <c r="J809">
        <v>4</v>
      </c>
      <c r="K809" t="s">
        <v>56</v>
      </c>
      <c r="L809">
        <v>1</v>
      </c>
      <c r="M809">
        <v>311</v>
      </c>
      <c r="N809">
        <v>1</v>
      </c>
      <c r="O809" t="s">
        <v>43</v>
      </c>
      <c r="P809">
        <v>41</v>
      </c>
      <c r="Q809">
        <v>3</v>
      </c>
      <c r="R809">
        <v>1</v>
      </c>
      <c r="S809" t="s">
        <v>53</v>
      </c>
      <c r="T809">
        <v>4</v>
      </c>
      <c r="U809" t="s">
        <v>101</v>
      </c>
      <c r="V809">
        <v>2793</v>
      </c>
      <c r="W809" t="s">
        <v>46</v>
      </c>
      <c r="X809">
        <v>2539</v>
      </c>
      <c r="Y809">
        <v>4</v>
      </c>
      <c r="Z809" t="s">
        <v>47</v>
      </c>
      <c r="AA809" t="s">
        <v>48</v>
      </c>
      <c r="AB809">
        <v>17</v>
      </c>
      <c r="AC809">
        <v>3</v>
      </c>
      <c r="AD809">
        <v>3</v>
      </c>
      <c r="AE809">
        <v>80</v>
      </c>
      <c r="AF809">
        <v>1</v>
      </c>
      <c r="AG809">
        <v>13</v>
      </c>
      <c r="AH809">
        <v>2</v>
      </c>
      <c r="AI809">
        <v>3</v>
      </c>
      <c r="AJ809">
        <v>9</v>
      </c>
      <c r="AK809">
        <v>8</v>
      </c>
      <c r="AL809">
        <v>5</v>
      </c>
    </row>
    <row r="810" spans="1:38" x14ac:dyDescent="0.3">
      <c r="A810" t="s">
        <v>879</v>
      </c>
      <c r="B810">
        <v>37</v>
      </c>
      <c r="C810" t="s">
        <v>800</v>
      </c>
      <c r="D810" t="s">
        <v>48</v>
      </c>
      <c r="E810">
        <f t="shared" si="12"/>
        <v>0</v>
      </c>
      <c r="F810" t="s">
        <v>40</v>
      </c>
      <c r="G810">
        <v>1017</v>
      </c>
      <c r="H810" t="s">
        <v>41</v>
      </c>
      <c r="I810">
        <v>1</v>
      </c>
      <c r="J810">
        <v>2</v>
      </c>
      <c r="K810" t="s">
        <v>51</v>
      </c>
      <c r="L810">
        <v>1</v>
      </c>
      <c r="M810">
        <v>340</v>
      </c>
      <c r="N810">
        <v>3</v>
      </c>
      <c r="O810" t="s">
        <v>52</v>
      </c>
      <c r="P810">
        <v>83</v>
      </c>
      <c r="Q810">
        <v>2</v>
      </c>
      <c r="R810">
        <v>1</v>
      </c>
      <c r="S810" t="s">
        <v>59</v>
      </c>
      <c r="T810">
        <v>1</v>
      </c>
      <c r="U810" t="s">
        <v>104</v>
      </c>
      <c r="V810">
        <v>3920</v>
      </c>
      <c r="W810" t="s">
        <v>46</v>
      </c>
      <c r="X810">
        <v>18697</v>
      </c>
      <c r="Y810">
        <v>2</v>
      </c>
      <c r="Z810" t="s">
        <v>47</v>
      </c>
      <c r="AA810" t="s">
        <v>48</v>
      </c>
      <c r="AB810">
        <v>14</v>
      </c>
      <c r="AC810">
        <v>3</v>
      </c>
      <c r="AD810">
        <v>1</v>
      </c>
      <c r="AE810">
        <v>80</v>
      </c>
      <c r="AF810">
        <v>1</v>
      </c>
      <c r="AG810">
        <v>17</v>
      </c>
      <c r="AH810">
        <v>2</v>
      </c>
      <c r="AI810">
        <v>2</v>
      </c>
      <c r="AJ810">
        <v>3</v>
      </c>
      <c r="AK810">
        <v>1</v>
      </c>
      <c r="AL810">
        <v>0</v>
      </c>
    </row>
    <row r="811" spans="1:38" x14ac:dyDescent="0.3">
      <c r="A811" t="s">
        <v>880</v>
      </c>
      <c r="B811">
        <v>37</v>
      </c>
      <c r="C811" t="s">
        <v>800</v>
      </c>
      <c r="D811" t="s">
        <v>39</v>
      </c>
      <c r="E811">
        <f t="shared" si="12"/>
        <v>1</v>
      </c>
      <c r="F811" t="s">
        <v>55</v>
      </c>
      <c r="G811">
        <v>504</v>
      </c>
      <c r="H811" t="s">
        <v>41</v>
      </c>
      <c r="I811">
        <v>10</v>
      </c>
      <c r="J811">
        <v>3</v>
      </c>
      <c r="K811" t="s">
        <v>51</v>
      </c>
      <c r="L811">
        <v>1</v>
      </c>
      <c r="M811">
        <v>342</v>
      </c>
      <c r="N811">
        <v>1</v>
      </c>
      <c r="O811" t="s">
        <v>43</v>
      </c>
      <c r="P811">
        <v>61</v>
      </c>
      <c r="Q811">
        <v>3</v>
      </c>
      <c r="R811">
        <v>3</v>
      </c>
      <c r="S811" t="s">
        <v>111</v>
      </c>
      <c r="T811">
        <v>3</v>
      </c>
      <c r="U811" t="s">
        <v>101</v>
      </c>
      <c r="V811">
        <v>10048</v>
      </c>
      <c r="W811" t="s">
        <v>252</v>
      </c>
      <c r="X811">
        <v>22573</v>
      </c>
      <c r="Y811">
        <v>6</v>
      </c>
      <c r="Z811" t="s">
        <v>47</v>
      </c>
      <c r="AA811" t="s">
        <v>48</v>
      </c>
      <c r="AB811">
        <v>11</v>
      </c>
      <c r="AC811">
        <v>3</v>
      </c>
      <c r="AD811">
        <v>2</v>
      </c>
      <c r="AE811">
        <v>80</v>
      </c>
      <c r="AF811">
        <v>2</v>
      </c>
      <c r="AG811">
        <v>17</v>
      </c>
      <c r="AH811">
        <v>5</v>
      </c>
      <c r="AI811">
        <v>3</v>
      </c>
      <c r="AJ811">
        <v>1</v>
      </c>
      <c r="AK811">
        <v>0</v>
      </c>
      <c r="AL811">
        <v>0</v>
      </c>
    </row>
    <row r="812" spans="1:38" x14ac:dyDescent="0.3">
      <c r="A812" t="s">
        <v>881</v>
      </c>
      <c r="B812">
        <v>37</v>
      </c>
      <c r="C812" t="s">
        <v>800</v>
      </c>
      <c r="D812" t="s">
        <v>48</v>
      </c>
      <c r="E812">
        <f t="shared" si="12"/>
        <v>0</v>
      </c>
      <c r="F812" t="s">
        <v>40</v>
      </c>
      <c r="G812">
        <v>228</v>
      </c>
      <c r="H812" t="s">
        <v>50</v>
      </c>
      <c r="I812">
        <v>6</v>
      </c>
      <c r="J812">
        <v>4</v>
      </c>
      <c r="K812" t="s">
        <v>51</v>
      </c>
      <c r="L812">
        <v>1</v>
      </c>
      <c r="M812">
        <v>378</v>
      </c>
      <c r="N812">
        <v>3</v>
      </c>
      <c r="O812" t="s">
        <v>43</v>
      </c>
      <c r="P812">
        <v>98</v>
      </c>
      <c r="Q812">
        <v>3</v>
      </c>
      <c r="R812">
        <v>2</v>
      </c>
      <c r="S812" t="s">
        <v>136</v>
      </c>
      <c r="T812">
        <v>4</v>
      </c>
      <c r="U812" t="s">
        <v>104</v>
      </c>
      <c r="V812">
        <v>6502</v>
      </c>
      <c r="W812" t="s">
        <v>162</v>
      </c>
      <c r="X812">
        <v>22825</v>
      </c>
      <c r="Y812">
        <v>4</v>
      </c>
      <c r="Z812" t="s">
        <v>47</v>
      </c>
      <c r="AA812" t="s">
        <v>48</v>
      </c>
      <c r="AB812">
        <v>14</v>
      </c>
      <c r="AC812">
        <v>3</v>
      </c>
      <c r="AD812">
        <v>2</v>
      </c>
      <c r="AE812">
        <v>80</v>
      </c>
      <c r="AF812">
        <v>1</v>
      </c>
      <c r="AG812">
        <v>7</v>
      </c>
      <c r="AH812">
        <v>5</v>
      </c>
      <c r="AI812">
        <v>4</v>
      </c>
      <c r="AJ812">
        <v>5</v>
      </c>
      <c r="AK812">
        <v>4</v>
      </c>
      <c r="AL812">
        <v>0</v>
      </c>
    </row>
    <row r="813" spans="1:38" x14ac:dyDescent="0.3">
      <c r="A813" t="s">
        <v>882</v>
      </c>
      <c r="B813">
        <v>37</v>
      </c>
      <c r="C813" t="s">
        <v>800</v>
      </c>
      <c r="D813" t="s">
        <v>48</v>
      </c>
      <c r="E813">
        <f t="shared" si="12"/>
        <v>0</v>
      </c>
      <c r="F813" t="s">
        <v>58</v>
      </c>
      <c r="G813">
        <v>728</v>
      </c>
      <c r="H813" t="s">
        <v>41</v>
      </c>
      <c r="I813">
        <v>1</v>
      </c>
      <c r="J813">
        <v>4</v>
      </c>
      <c r="K813" t="s">
        <v>51</v>
      </c>
      <c r="L813">
        <v>1</v>
      </c>
      <c r="M813">
        <v>380</v>
      </c>
      <c r="N813">
        <v>1</v>
      </c>
      <c r="O813" t="s">
        <v>52</v>
      </c>
      <c r="P813">
        <v>80</v>
      </c>
      <c r="Q813">
        <v>3</v>
      </c>
      <c r="R813">
        <v>3</v>
      </c>
      <c r="S813" t="s">
        <v>251</v>
      </c>
      <c r="T813">
        <v>4</v>
      </c>
      <c r="U813" t="s">
        <v>101</v>
      </c>
      <c r="V813">
        <v>13603</v>
      </c>
      <c r="W813" t="s">
        <v>252</v>
      </c>
      <c r="X813">
        <v>11677</v>
      </c>
      <c r="Y813">
        <v>2</v>
      </c>
      <c r="Z813" t="s">
        <v>47</v>
      </c>
      <c r="AA813" t="s">
        <v>39</v>
      </c>
      <c r="AB813">
        <v>18</v>
      </c>
      <c r="AC813">
        <v>3</v>
      </c>
      <c r="AD813">
        <v>1</v>
      </c>
      <c r="AE813">
        <v>80</v>
      </c>
      <c r="AF813">
        <v>2</v>
      </c>
      <c r="AG813">
        <v>15</v>
      </c>
      <c r="AH813">
        <v>2</v>
      </c>
      <c r="AI813">
        <v>3</v>
      </c>
      <c r="AJ813">
        <v>5</v>
      </c>
      <c r="AK813">
        <v>2</v>
      </c>
      <c r="AL813">
        <v>0</v>
      </c>
    </row>
    <row r="814" spans="1:38" x14ac:dyDescent="0.3">
      <c r="A814" t="s">
        <v>883</v>
      </c>
      <c r="B814">
        <v>37</v>
      </c>
      <c r="C814" t="s">
        <v>800</v>
      </c>
      <c r="D814" t="s">
        <v>48</v>
      </c>
      <c r="E814">
        <f t="shared" si="12"/>
        <v>0</v>
      </c>
      <c r="F814" t="s">
        <v>40</v>
      </c>
      <c r="G814">
        <v>1372</v>
      </c>
      <c r="H814" t="s">
        <v>41</v>
      </c>
      <c r="I814">
        <v>1</v>
      </c>
      <c r="J814">
        <v>3</v>
      </c>
      <c r="K814" t="s">
        <v>42</v>
      </c>
      <c r="L814">
        <v>1</v>
      </c>
      <c r="M814">
        <v>391</v>
      </c>
      <c r="N814">
        <v>4</v>
      </c>
      <c r="O814" t="s">
        <v>52</v>
      </c>
      <c r="P814">
        <v>42</v>
      </c>
      <c r="Q814">
        <v>3</v>
      </c>
      <c r="R814">
        <v>1</v>
      </c>
      <c r="S814" t="s">
        <v>59</v>
      </c>
      <c r="T814">
        <v>4</v>
      </c>
      <c r="U814" t="s">
        <v>45</v>
      </c>
      <c r="V814">
        <v>2115</v>
      </c>
      <c r="W814" t="s">
        <v>46</v>
      </c>
      <c r="X814">
        <v>15881</v>
      </c>
      <c r="Y814">
        <v>1</v>
      </c>
      <c r="Z814" t="s">
        <v>47</v>
      </c>
      <c r="AA814" t="s">
        <v>48</v>
      </c>
      <c r="AB814">
        <v>12</v>
      </c>
      <c r="AC814">
        <v>3</v>
      </c>
      <c r="AD814">
        <v>2</v>
      </c>
      <c r="AE814">
        <v>80</v>
      </c>
      <c r="AF814">
        <v>0</v>
      </c>
      <c r="AG814">
        <v>17</v>
      </c>
      <c r="AH814">
        <v>3</v>
      </c>
      <c r="AI814">
        <v>3</v>
      </c>
      <c r="AJ814">
        <v>17</v>
      </c>
      <c r="AK814">
        <v>12</v>
      </c>
      <c r="AL814">
        <v>5</v>
      </c>
    </row>
    <row r="815" spans="1:38" x14ac:dyDescent="0.3">
      <c r="A815" t="s">
        <v>884</v>
      </c>
      <c r="B815">
        <v>37</v>
      </c>
      <c r="C815" t="s">
        <v>800</v>
      </c>
      <c r="D815" t="s">
        <v>48</v>
      </c>
      <c r="E815">
        <f t="shared" si="12"/>
        <v>0</v>
      </c>
      <c r="F815" t="s">
        <v>55</v>
      </c>
      <c r="G815">
        <v>889</v>
      </c>
      <c r="H815" t="s">
        <v>41</v>
      </c>
      <c r="I815">
        <v>9</v>
      </c>
      <c r="J815">
        <v>3</v>
      </c>
      <c r="K815" t="s">
        <v>51</v>
      </c>
      <c r="L815">
        <v>1</v>
      </c>
      <c r="M815">
        <v>403</v>
      </c>
      <c r="N815">
        <v>2</v>
      </c>
      <c r="O815" t="s">
        <v>43</v>
      </c>
      <c r="P815">
        <v>53</v>
      </c>
      <c r="Q815">
        <v>3</v>
      </c>
      <c r="R815">
        <v>1</v>
      </c>
      <c r="S815" t="s">
        <v>59</v>
      </c>
      <c r="T815">
        <v>4</v>
      </c>
      <c r="U815" t="s">
        <v>104</v>
      </c>
      <c r="V815">
        <v>2326</v>
      </c>
      <c r="W815" t="s">
        <v>46</v>
      </c>
      <c r="X815">
        <v>11411</v>
      </c>
      <c r="Y815">
        <v>1</v>
      </c>
      <c r="Z815" t="s">
        <v>47</v>
      </c>
      <c r="AA815" t="s">
        <v>39</v>
      </c>
      <c r="AB815">
        <v>12</v>
      </c>
      <c r="AC815">
        <v>3</v>
      </c>
      <c r="AD815">
        <v>3</v>
      </c>
      <c r="AE815">
        <v>80</v>
      </c>
      <c r="AF815">
        <v>3</v>
      </c>
      <c r="AG815">
        <v>4</v>
      </c>
      <c r="AH815">
        <v>3</v>
      </c>
      <c r="AI815">
        <v>2</v>
      </c>
      <c r="AJ815">
        <v>4</v>
      </c>
      <c r="AK815">
        <v>2</v>
      </c>
      <c r="AL815">
        <v>1</v>
      </c>
    </row>
    <row r="816" spans="1:38" x14ac:dyDescent="0.3">
      <c r="A816" t="s">
        <v>885</v>
      </c>
      <c r="B816">
        <v>37</v>
      </c>
      <c r="C816" t="s">
        <v>800</v>
      </c>
      <c r="D816" t="s">
        <v>48</v>
      </c>
      <c r="E816">
        <f t="shared" si="12"/>
        <v>0</v>
      </c>
      <c r="F816" t="s">
        <v>40</v>
      </c>
      <c r="G816">
        <v>1192</v>
      </c>
      <c r="H816" t="s">
        <v>41</v>
      </c>
      <c r="I816">
        <v>5</v>
      </c>
      <c r="J816">
        <v>2</v>
      </c>
      <c r="K816" t="s">
        <v>51</v>
      </c>
      <c r="L816">
        <v>1</v>
      </c>
      <c r="M816">
        <v>460</v>
      </c>
      <c r="N816">
        <v>4</v>
      </c>
      <c r="O816" t="s">
        <v>43</v>
      </c>
      <c r="P816">
        <v>61</v>
      </c>
      <c r="Q816">
        <v>3</v>
      </c>
      <c r="R816">
        <v>2</v>
      </c>
      <c r="S816" t="s">
        <v>111</v>
      </c>
      <c r="T816">
        <v>4</v>
      </c>
      <c r="U816" t="s">
        <v>101</v>
      </c>
      <c r="V816">
        <v>6347</v>
      </c>
      <c r="W816" t="s">
        <v>162</v>
      </c>
      <c r="X816">
        <v>23177</v>
      </c>
      <c r="Y816">
        <v>7</v>
      </c>
      <c r="Z816" t="s">
        <v>47</v>
      </c>
      <c r="AA816" t="s">
        <v>48</v>
      </c>
      <c r="AB816">
        <v>16</v>
      </c>
      <c r="AC816">
        <v>3</v>
      </c>
      <c r="AD816">
        <v>3</v>
      </c>
      <c r="AE816">
        <v>80</v>
      </c>
      <c r="AF816">
        <v>2</v>
      </c>
      <c r="AG816">
        <v>8</v>
      </c>
      <c r="AH816">
        <v>2</v>
      </c>
      <c r="AI816">
        <v>2</v>
      </c>
      <c r="AJ816">
        <v>6</v>
      </c>
      <c r="AK816">
        <v>2</v>
      </c>
      <c r="AL816">
        <v>0</v>
      </c>
    </row>
    <row r="817" spans="1:38" x14ac:dyDescent="0.3">
      <c r="A817" t="s">
        <v>886</v>
      </c>
      <c r="B817">
        <v>37</v>
      </c>
      <c r="C817" t="s">
        <v>800</v>
      </c>
      <c r="D817" t="s">
        <v>48</v>
      </c>
      <c r="E817">
        <f t="shared" si="12"/>
        <v>0</v>
      </c>
      <c r="F817" t="s">
        <v>40</v>
      </c>
      <c r="G817">
        <v>1319</v>
      </c>
      <c r="H817" t="s">
        <v>41</v>
      </c>
      <c r="I817">
        <v>6</v>
      </c>
      <c r="J817">
        <v>3</v>
      </c>
      <c r="K817" t="s">
        <v>51</v>
      </c>
      <c r="L817">
        <v>1</v>
      </c>
      <c r="M817">
        <v>474</v>
      </c>
      <c r="N817">
        <v>3</v>
      </c>
      <c r="O817" t="s">
        <v>43</v>
      </c>
      <c r="P817">
        <v>51</v>
      </c>
      <c r="Q817">
        <v>4</v>
      </c>
      <c r="R817">
        <v>2</v>
      </c>
      <c r="S817" t="s">
        <v>59</v>
      </c>
      <c r="T817">
        <v>1</v>
      </c>
      <c r="U817" t="s">
        <v>101</v>
      </c>
      <c r="V817">
        <v>5974</v>
      </c>
      <c r="W817" t="s">
        <v>162</v>
      </c>
      <c r="X817">
        <v>17001</v>
      </c>
      <c r="Y817">
        <v>4</v>
      </c>
      <c r="Z817" t="s">
        <v>47</v>
      </c>
      <c r="AA817" t="s">
        <v>39</v>
      </c>
      <c r="AB817">
        <v>13</v>
      </c>
      <c r="AC817">
        <v>3</v>
      </c>
      <c r="AD817">
        <v>1</v>
      </c>
      <c r="AE817">
        <v>80</v>
      </c>
      <c r="AF817">
        <v>2</v>
      </c>
      <c r="AG817">
        <v>13</v>
      </c>
      <c r="AH817">
        <v>2</v>
      </c>
      <c r="AI817">
        <v>3</v>
      </c>
      <c r="AJ817">
        <v>7</v>
      </c>
      <c r="AK817">
        <v>7</v>
      </c>
      <c r="AL817">
        <v>6</v>
      </c>
    </row>
    <row r="818" spans="1:38" x14ac:dyDescent="0.3">
      <c r="A818" t="s">
        <v>887</v>
      </c>
      <c r="B818">
        <v>37</v>
      </c>
      <c r="C818" t="s">
        <v>800</v>
      </c>
      <c r="D818" t="s">
        <v>48</v>
      </c>
      <c r="E818">
        <f t="shared" si="12"/>
        <v>0</v>
      </c>
      <c r="F818" t="s">
        <v>40</v>
      </c>
      <c r="G818">
        <v>921</v>
      </c>
      <c r="H818" t="s">
        <v>41</v>
      </c>
      <c r="I818">
        <v>10</v>
      </c>
      <c r="J818">
        <v>3</v>
      </c>
      <c r="K818" t="s">
        <v>51</v>
      </c>
      <c r="L818">
        <v>1</v>
      </c>
      <c r="M818">
        <v>486</v>
      </c>
      <c r="N818">
        <v>3</v>
      </c>
      <c r="O818" t="s">
        <v>52</v>
      </c>
      <c r="P818">
        <v>98</v>
      </c>
      <c r="Q818">
        <v>3</v>
      </c>
      <c r="R818">
        <v>1</v>
      </c>
      <c r="S818" t="s">
        <v>44</v>
      </c>
      <c r="T818">
        <v>1</v>
      </c>
      <c r="U818" t="s">
        <v>104</v>
      </c>
      <c r="V818">
        <v>3452</v>
      </c>
      <c r="W818" t="s">
        <v>46</v>
      </c>
      <c r="X818">
        <v>17663</v>
      </c>
      <c r="Y818">
        <v>6</v>
      </c>
      <c r="Z818" t="s">
        <v>47</v>
      </c>
      <c r="AA818" t="s">
        <v>48</v>
      </c>
      <c r="AB818">
        <v>20</v>
      </c>
      <c r="AC818">
        <v>4</v>
      </c>
      <c r="AD818">
        <v>2</v>
      </c>
      <c r="AE818">
        <v>80</v>
      </c>
      <c r="AF818">
        <v>1</v>
      </c>
      <c r="AG818">
        <v>17</v>
      </c>
      <c r="AH818">
        <v>3</v>
      </c>
      <c r="AI818">
        <v>3</v>
      </c>
      <c r="AJ818">
        <v>5</v>
      </c>
      <c r="AK818">
        <v>4</v>
      </c>
      <c r="AL818">
        <v>0</v>
      </c>
    </row>
    <row r="819" spans="1:38" x14ac:dyDescent="0.3">
      <c r="A819" t="s">
        <v>888</v>
      </c>
      <c r="B819">
        <v>37</v>
      </c>
      <c r="C819" t="s">
        <v>800</v>
      </c>
      <c r="D819" t="s">
        <v>48</v>
      </c>
      <c r="E819">
        <f t="shared" si="12"/>
        <v>0</v>
      </c>
      <c r="F819" t="s">
        <v>40</v>
      </c>
      <c r="G819">
        <v>1107</v>
      </c>
      <c r="H819" t="s">
        <v>41</v>
      </c>
      <c r="I819">
        <v>14</v>
      </c>
      <c r="J819">
        <v>3</v>
      </c>
      <c r="K819" t="s">
        <v>42</v>
      </c>
      <c r="L819">
        <v>1</v>
      </c>
      <c r="M819">
        <v>515</v>
      </c>
      <c r="N819">
        <v>4</v>
      </c>
      <c r="O819" t="s">
        <v>52</v>
      </c>
      <c r="P819">
        <v>95</v>
      </c>
      <c r="Q819">
        <v>3</v>
      </c>
      <c r="R819">
        <v>1</v>
      </c>
      <c r="S819" t="s">
        <v>44</v>
      </c>
      <c r="T819">
        <v>1</v>
      </c>
      <c r="U819" t="s">
        <v>101</v>
      </c>
      <c r="V819">
        <v>3034</v>
      </c>
      <c r="W819" t="s">
        <v>46</v>
      </c>
      <c r="X819">
        <v>26914</v>
      </c>
      <c r="Y819">
        <v>1</v>
      </c>
      <c r="Z819" t="s">
        <v>47</v>
      </c>
      <c r="AA819" t="s">
        <v>48</v>
      </c>
      <c r="AB819">
        <v>12</v>
      </c>
      <c r="AC819">
        <v>3</v>
      </c>
      <c r="AD819">
        <v>3</v>
      </c>
      <c r="AE819">
        <v>80</v>
      </c>
      <c r="AF819">
        <v>1</v>
      </c>
      <c r="AG819">
        <v>18</v>
      </c>
      <c r="AH819">
        <v>2</v>
      </c>
      <c r="AI819">
        <v>2</v>
      </c>
      <c r="AJ819">
        <v>18</v>
      </c>
      <c r="AK819">
        <v>7</v>
      </c>
      <c r="AL819">
        <v>12</v>
      </c>
    </row>
    <row r="820" spans="1:38" x14ac:dyDescent="0.3">
      <c r="A820" t="s">
        <v>889</v>
      </c>
      <c r="B820">
        <v>37</v>
      </c>
      <c r="C820" t="s">
        <v>800</v>
      </c>
      <c r="D820" t="s">
        <v>48</v>
      </c>
      <c r="E820">
        <f t="shared" si="12"/>
        <v>0</v>
      </c>
      <c r="F820" t="s">
        <v>40</v>
      </c>
      <c r="G820">
        <v>1305</v>
      </c>
      <c r="H820" t="s">
        <v>41</v>
      </c>
      <c r="I820">
        <v>10</v>
      </c>
      <c r="J820">
        <v>4</v>
      </c>
      <c r="K820" t="s">
        <v>42</v>
      </c>
      <c r="L820">
        <v>1</v>
      </c>
      <c r="M820">
        <v>518</v>
      </c>
      <c r="N820">
        <v>3</v>
      </c>
      <c r="O820" t="s">
        <v>43</v>
      </c>
      <c r="P820">
        <v>49</v>
      </c>
      <c r="Q820">
        <v>3</v>
      </c>
      <c r="R820">
        <v>2</v>
      </c>
      <c r="S820" t="s">
        <v>111</v>
      </c>
      <c r="T820">
        <v>2</v>
      </c>
      <c r="U820" t="s">
        <v>45</v>
      </c>
      <c r="V820">
        <v>4197</v>
      </c>
      <c r="W820" t="s">
        <v>46</v>
      </c>
      <c r="X820">
        <v>21123</v>
      </c>
      <c r="Y820">
        <v>2</v>
      </c>
      <c r="Z820" t="s">
        <v>47</v>
      </c>
      <c r="AA820" t="s">
        <v>39</v>
      </c>
      <c r="AB820">
        <v>12</v>
      </c>
      <c r="AC820">
        <v>3</v>
      </c>
      <c r="AD820">
        <v>4</v>
      </c>
      <c r="AE820">
        <v>80</v>
      </c>
      <c r="AF820">
        <v>0</v>
      </c>
      <c r="AG820">
        <v>18</v>
      </c>
      <c r="AH820">
        <v>2</v>
      </c>
      <c r="AI820">
        <v>2</v>
      </c>
      <c r="AJ820">
        <v>1</v>
      </c>
      <c r="AK820">
        <v>0</v>
      </c>
      <c r="AL820">
        <v>0</v>
      </c>
    </row>
    <row r="821" spans="1:38" x14ac:dyDescent="0.3">
      <c r="A821" t="s">
        <v>890</v>
      </c>
      <c r="B821">
        <v>37</v>
      </c>
      <c r="C821" t="s">
        <v>800</v>
      </c>
      <c r="D821" t="s">
        <v>48</v>
      </c>
      <c r="E821">
        <f t="shared" si="12"/>
        <v>0</v>
      </c>
      <c r="F821" t="s">
        <v>58</v>
      </c>
      <c r="G821">
        <v>1063</v>
      </c>
      <c r="H821" t="s">
        <v>41</v>
      </c>
      <c r="I821">
        <v>25</v>
      </c>
      <c r="J821">
        <v>5</v>
      </c>
      <c r="K821" t="s">
        <v>51</v>
      </c>
      <c r="L821">
        <v>1</v>
      </c>
      <c r="M821">
        <v>529</v>
      </c>
      <c r="N821">
        <v>2</v>
      </c>
      <c r="O821" t="s">
        <v>52</v>
      </c>
      <c r="P821">
        <v>72</v>
      </c>
      <c r="Q821">
        <v>3</v>
      </c>
      <c r="R821">
        <v>2</v>
      </c>
      <c r="S821" t="s">
        <v>59</v>
      </c>
      <c r="T821">
        <v>3</v>
      </c>
      <c r="U821" t="s">
        <v>104</v>
      </c>
      <c r="V821">
        <v>4449</v>
      </c>
      <c r="W821" t="s">
        <v>46</v>
      </c>
      <c r="X821">
        <v>23866</v>
      </c>
      <c r="Y821">
        <v>3</v>
      </c>
      <c r="Z821" t="s">
        <v>47</v>
      </c>
      <c r="AA821" t="s">
        <v>39</v>
      </c>
      <c r="AB821">
        <v>15</v>
      </c>
      <c r="AC821">
        <v>3</v>
      </c>
      <c r="AD821">
        <v>1</v>
      </c>
      <c r="AE821">
        <v>80</v>
      </c>
      <c r="AF821">
        <v>2</v>
      </c>
      <c r="AG821">
        <v>15</v>
      </c>
      <c r="AH821">
        <v>2</v>
      </c>
      <c r="AI821">
        <v>3</v>
      </c>
      <c r="AJ821">
        <v>13</v>
      </c>
      <c r="AK821">
        <v>11</v>
      </c>
      <c r="AL821">
        <v>10</v>
      </c>
    </row>
    <row r="822" spans="1:38" x14ac:dyDescent="0.3">
      <c r="A822" t="s">
        <v>891</v>
      </c>
      <c r="B822">
        <v>37</v>
      </c>
      <c r="C822" t="s">
        <v>800</v>
      </c>
      <c r="D822" t="s">
        <v>48</v>
      </c>
      <c r="E822">
        <f t="shared" si="12"/>
        <v>0</v>
      </c>
      <c r="F822" t="s">
        <v>40</v>
      </c>
      <c r="G822">
        <v>799</v>
      </c>
      <c r="H822" t="s">
        <v>41</v>
      </c>
      <c r="I822">
        <v>1</v>
      </c>
      <c r="J822">
        <v>3</v>
      </c>
      <c r="K822" t="s">
        <v>67</v>
      </c>
      <c r="L822">
        <v>1</v>
      </c>
      <c r="M822">
        <v>623</v>
      </c>
      <c r="N822">
        <v>2</v>
      </c>
      <c r="O822" t="s">
        <v>52</v>
      </c>
      <c r="P822">
        <v>59</v>
      </c>
      <c r="Q822">
        <v>3</v>
      </c>
      <c r="R822">
        <v>3</v>
      </c>
      <c r="S822" t="s">
        <v>111</v>
      </c>
      <c r="T822">
        <v>4</v>
      </c>
      <c r="U822" t="s">
        <v>45</v>
      </c>
      <c r="V822">
        <v>7491</v>
      </c>
      <c r="W822" t="s">
        <v>162</v>
      </c>
      <c r="X822">
        <v>23848</v>
      </c>
      <c r="Y822">
        <v>4</v>
      </c>
      <c r="Z822" t="s">
        <v>47</v>
      </c>
      <c r="AA822" t="s">
        <v>48</v>
      </c>
      <c r="AB822">
        <v>17</v>
      </c>
      <c r="AC822">
        <v>3</v>
      </c>
      <c r="AD822">
        <v>4</v>
      </c>
      <c r="AE822">
        <v>80</v>
      </c>
      <c r="AF822">
        <v>0</v>
      </c>
      <c r="AG822">
        <v>12</v>
      </c>
      <c r="AH822">
        <v>3</v>
      </c>
      <c r="AI822">
        <v>4</v>
      </c>
      <c r="AJ822">
        <v>6</v>
      </c>
      <c r="AK822">
        <v>5</v>
      </c>
      <c r="AL822">
        <v>1</v>
      </c>
    </row>
    <row r="823" spans="1:38" x14ac:dyDescent="0.3">
      <c r="A823" t="s">
        <v>892</v>
      </c>
      <c r="B823">
        <v>37</v>
      </c>
      <c r="C823" t="s">
        <v>800</v>
      </c>
      <c r="D823" t="s">
        <v>48</v>
      </c>
      <c r="E823">
        <f t="shared" si="12"/>
        <v>0</v>
      </c>
      <c r="F823" t="s">
        <v>58</v>
      </c>
      <c r="G823">
        <v>142</v>
      </c>
      <c r="H823" t="s">
        <v>50</v>
      </c>
      <c r="I823">
        <v>9</v>
      </c>
      <c r="J823">
        <v>4</v>
      </c>
      <c r="K823" t="s">
        <v>51</v>
      </c>
      <c r="L823">
        <v>1</v>
      </c>
      <c r="M823">
        <v>626</v>
      </c>
      <c r="N823">
        <v>1</v>
      </c>
      <c r="O823" t="s">
        <v>43</v>
      </c>
      <c r="P823">
        <v>69</v>
      </c>
      <c r="Q823">
        <v>3</v>
      </c>
      <c r="R823">
        <v>3</v>
      </c>
      <c r="S823" t="s">
        <v>136</v>
      </c>
      <c r="T823">
        <v>2</v>
      </c>
      <c r="U823" t="s">
        <v>101</v>
      </c>
      <c r="V823">
        <v>8834</v>
      </c>
      <c r="W823" t="s">
        <v>162</v>
      </c>
      <c r="X823">
        <v>24666</v>
      </c>
      <c r="Y823">
        <v>1</v>
      </c>
      <c r="Z823" t="s">
        <v>47</v>
      </c>
      <c r="AA823" t="s">
        <v>48</v>
      </c>
      <c r="AB823">
        <v>13</v>
      </c>
      <c r="AC823">
        <v>3</v>
      </c>
      <c r="AD823">
        <v>4</v>
      </c>
      <c r="AE823">
        <v>80</v>
      </c>
      <c r="AF823">
        <v>1</v>
      </c>
      <c r="AG823">
        <v>9</v>
      </c>
      <c r="AH823">
        <v>6</v>
      </c>
      <c r="AI823">
        <v>3</v>
      </c>
      <c r="AJ823">
        <v>9</v>
      </c>
      <c r="AK823">
        <v>5</v>
      </c>
      <c r="AL823">
        <v>7</v>
      </c>
    </row>
    <row r="824" spans="1:38" x14ac:dyDescent="0.3">
      <c r="A824" t="s">
        <v>893</v>
      </c>
      <c r="B824">
        <v>37</v>
      </c>
      <c r="C824" t="s">
        <v>800</v>
      </c>
      <c r="D824" t="s">
        <v>48</v>
      </c>
      <c r="E824">
        <f t="shared" si="12"/>
        <v>0</v>
      </c>
      <c r="F824" t="s">
        <v>40</v>
      </c>
      <c r="G824">
        <v>446</v>
      </c>
      <c r="H824" t="s">
        <v>41</v>
      </c>
      <c r="I824">
        <v>1</v>
      </c>
      <c r="J824">
        <v>4</v>
      </c>
      <c r="K824" t="s">
        <v>42</v>
      </c>
      <c r="L824">
        <v>1</v>
      </c>
      <c r="M824">
        <v>635</v>
      </c>
      <c r="N824">
        <v>2</v>
      </c>
      <c r="O824" t="s">
        <v>52</v>
      </c>
      <c r="P824">
        <v>65</v>
      </c>
      <c r="Q824">
        <v>3</v>
      </c>
      <c r="R824">
        <v>2</v>
      </c>
      <c r="S824" t="s">
        <v>111</v>
      </c>
      <c r="T824">
        <v>2</v>
      </c>
      <c r="U824" t="s">
        <v>104</v>
      </c>
      <c r="V824">
        <v>6447</v>
      </c>
      <c r="W824" t="s">
        <v>162</v>
      </c>
      <c r="X824">
        <v>15701</v>
      </c>
      <c r="Y824">
        <v>6</v>
      </c>
      <c r="Z824" t="s">
        <v>47</v>
      </c>
      <c r="AA824" t="s">
        <v>48</v>
      </c>
      <c r="AB824">
        <v>12</v>
      </c>
      <c r="AC824">
        <v>3</v>
      </c>
      <c r="AD824">
        <v>2</v>
      </c>
      <c r="AE824">
        <v>80</v>
      </c>
      <c r="AF824">
        <v>1</v>
      </c>
      <c r="AG824">
        <v>8</v>
      </c>
      <c r="AH824">
        <v>2</v>
      </c>
      <c r="AI824">
        <v>2</v>
      </c>
      <c r="AJ824">
        <v>6</v>
      </c>
      <c r="AK824">
        <v>5</v>
      </c>
      <c r="AL824">
        <v>4</v>
      </c>
    </row>
    <row r="825" spans="1:38" x14ac:dyDescent="0.3">
      <c r="A825" t="s">
        <v>894</v>
      </c>
      <c r="B825">
        <v>37</v>
      </c>
      <c r="C825" t="s">
        <v>800</v>
      </c>
      <c r="D825" t="s">
        <v>48</v>
      </c>
      <c r="E825">
        <f t="shared" si="12"/>
        <v>0</v>
      </c>
      <c r="F825" t="s">
        <v>40</v>
      </c>
      <c r="G825">
        <v>558</v>
      </c>
      <c r="H825" t="s">
        <v>50</v>
      </c>
      <c r="I825">
        <v>2</v>
      </c>
      <c r="J825">
        <v>3</v>
      </c>
      <c r="K825" t="s">
        <v>56</v>
      </c>
      <c r="L825">
        <v>1</v>
      </c>
      <c r="M825">
        <v>656</v>
      </c>
      <c r="N825">
        <v>4</v>
      </c>
      <c r="O825" t="s">
        <v>43</v>
      </c>
      <c r="P825">
        <v>75</v>
      </c>
      <c r="Q825">
        <v>3</v>
      </c>
      <c r="R825">
        <v>2</v>
      </c>
      <c r="S825" t="s">
        <v>136</v>
      </c>
      <c r="T825">
        <v>3</v>
      </c>
      <c r="U825" t="s">
        <v>104</v>
      </c>
      <c r="V825">
        <v>9602</v>
      </c>
      <c r="W825" t="s">
        <v>162</v>
      </c>
      <c r="X825">
        <v>3010</v>
      </c>
      <c r="Y825">
        <v>4</v>
      </c>
      <c r="Z825" t="s">
        <v>47</v>
      </c>
      <c r="AA825" t="s">
        <v>39</v>
      </c>
      <c r="AB825">
        <v>11</v>
      </c>
      <c r="AC825">
        <v>3</v>
      </c>
      <c r="AD825">
        <v>3</v>
      </c>
      <c r="AE825">
        <v>80</v>
      </c>
      <c r="AF825">
        <v>1</v>
      </c>
      <c r="AG825">
        <v>17</v>
      </c>
      <c r="AH825">
        <v>3</v>
      </c>
      <c r="AI825">
        <v>2</v>
      </c>
      <c r="AJ825">
        <v>3</v>
      </c>
      <c r="AK825">
        <v>0</v>
      </c>
      <c r="AL825">
        <v>1</v>
      </c>
    </row>
    <row r="826" spans="1:38" x14ac:dyDescent="0.3">
      <c r="A826" t="s">
        <v>895</v>
      </c>
      <c r="B826">
        <v>37</v>
      </c>
      <c r="C826" t="s">
        <v>800</v>
      </c>
      <c r="D826" t="s">
        <v>48</v>
      </c>
      <c r="E826">
        <f t="shared" si="12"/>
        <v>0</v>
      </c>
      <c r="F826" t="s">
        <v>40</v>
      </c>
      <c r="G826">
        <v>482</v>
      </c>
      <c r="H826" t="s">
        <v>41</v>
      </c>
      <c r="I826">
        <v>3</v>
      </c>
      <c r="J826">
        <v>3</v>
      </c>
      <c r="K826" t="s">
        <v>72</v>
      </c>
      <c r="L826">
        <v>1</v>
      </c>
      <c r="M826">
        <v>689</v>
      </c>
      <c r="N826">
        <v>3</v>
      </c>
      <c r="O826" t="s">
        <v>43</v>
      </c>
      <c r="P826">
        <v>36</v>
      </c>
      <c r="Q826">
        <v>3</v>
      </c>
      <c r="R826">
        <v>3</v>
      </c>
      <c r="S826" t="s">
        <v>111</v>
      </c>
      <c r="T826">
        <v>3</v>
      </c>
      <c r="U826" t="s">
        <v>104</v>
      </c>
      <c r="V826">
        <v>9434</v>
      </c>
      <c r="W826" t="s">
        <v>162</v>
      </c>
      <c r="X826">
        <v>9606</v>
      </c>
      <c r="Y826">
        <v>1</v>
      </c>
      <c r="Z826" t="s">
        <v>47</v>
      </c>
      <c r="AA826" t="s">
        <v>48</v>
      </c>
      <c r="AB826">
        <v>15</v>
      </c>
      <c r="AC826">
        <v>3</v>
      </c>
      <c r="AD826">
        <v>3</v>
      </c>
      <c r="AE826">
        <v>80</v>
      </c>
      <c r="AF826">
        <v>1</v>
      </c>
      <c r="AG826">
        <v>10</v>
      </c>
      <c r="AH826">
        <v>2</v>
      </c>
      <c r="AI826">
        <v>3</v>
      </c>
      <c r="AJ826">
        <v>10</v>
      </c>
      <c r="AK826">
        <v>7</v>
      </c>
      <c r="AL826">
        <v>7</v>
      </c>
    </row>
    <row r="827" spans="1:38" x14ac:dyDescent="0.3">
      <c r="A827" t="s">
        <v>896</v>
      </c>
      <c r="B827">
        <v>37</v>
      </c>
      <c r="C827" t="s">
        <v>800</v>
      </c>
      <c r="D827" t="s">
        <v>48</v>
      </c>
      <c r="E827">
        <f t="shared" si="12"/>
        <v>0</v>
      </c>
      <c r="F827" t="s">
        <v>40</v>
      </c>
      <c r="G827">
        <v>1225</v>
      </c>
      <c r="H827" t="s">
        <v>41</v>
      </c>
      <c r="I827">
        <v>10</v>
      </c>
      <c r="J827">
        <v>2</v>
      </c>
      <c r="K827" t="s">
        <v>42</v>
      </c>
      <c r="L827">
        <v>1</v>
      </c>
      <c r="M827">
        <v>715</v>
      </c>
      <c r="N827">
        <v>4</v>
      </c>
      <c r="O827" t="s">
        <v>43</v>
      </c>
      <c r="P827">
        <v>80</v>
      </c>
      <c r="Q827">
        <v>4</v>
      </c>
      <c r="R827">
        <v>1</v>
      </c>
      <c r="S827" t="s">
        <v>59</v>
      </c>
      <c r="T827">
        <v>4</v>
      </c>
      <c r="U827" t="s">
        <v>45</v>
      </c>
      <c r="V827">
        <v>4680</v>
      </c>
      <c r="W827" t="s">
        <v>46</v>
      </c>
      <c r="X827">
        <v>15232</v>
      </c>
      <c r="Y827">
        <v>3</v>
      </c>
      <c r="Z827" t="s">
        <v>47</v>
      </c>
      <c r="AA827" t="s">
        <v>48</v>
      </c>
      <c r="AB827">
        <v>17</v>
      </c>
      <c r="AC827">
        <v>3</v>
      </c>
      <c r="AD827">
        <v>1</v>
      </c>
      <c r="AE827">
        <v>80</v>
      </c>
      <c r="AF827">
        <v>0</v>
      </c>
      <c r="AG827">
        <v>4</v>
      </c>
      <c r="AH827">
        <v>2</v>
      </c>
      <c r="AI827">
        <v>3</v>
      </c>
      <c r="AJ827">
        <v>1</v>
      </c>
      <c r="AK827">
        <v>0</v>
      </c>
      <c r="AL827">
        <v>0</v>
      </c>
    </row>
    <row r="828" spans="1:38" x14ac:dyDescent="0.3">
      <c r="A828" t="s">
        <v>897</v>
      </c>
      <c r="B828">
        <v>37</v>
      </c>
      <c r="C828" t="s">
        <v>800</v>
      </c>
      <c r="D828" t="s">
        <v>48</v>
      </c>
      <c r="E828">
        <f t="shared" si="12"/>
        <v>0</v>
      </c>
      <c r="F828" t="s">
        <v>40</v>
      </c>
      <c r="G828">
        <v>571</v>
      </c>
      <c r="H828" t="s">
        <v>41</v>
      </c>
      <c r="I828">
        <v>10</v>
      </c>
      <c r="J828">
        <v>1</v>
      </c>
      <c r="K828" t="s">
        <v>42</v>
      </c>
      <c r="L828">
        <v>1</v>
      </c>
      <c r="M828">
        <v>802</v>
      </c>
      <c r="N828">
        <v>4</v>
      </c>
      <c r="O828" t="s">
        <v>52</v>
      </c>
      <c r="P828">
        <v>82</v>
      </c>
      <c r="Q828">
        <v>3</v>
      </c>
      <c r="R828">
        <v>1</v>
      </c>
      <c r="S828" t="s">
        <v>59</v>
      </c>
      <c r="T828">
        <v>1</v>
      </c>
      <c r="U828" t="s">
        <v>101</v>
      </c>
      <c r="V828">
        <v>2782</v>
      </c>
      <c r="W828" t="s">
        <v>46</v>
      </c>
      <c r="X828">
        <v>19905</v>
      </c>
      <c r="Y828">
        <v>0</v>
      </c>
      <c r="Z828" t="s">
        <v>47</v>
      </c>
      <c r="AA828" t="s">
        <v>39</v>
      </c>
      <c r="AB828">
        <v>13</v>
      </c>
      <c r="AC828">
        <v>3</v>
      </c>
      <c r="AD828">
        <v>2</v>
      </c>
      <c r="AE828">
        <v>80</v>
      </c>
      <c r="AF828">
        <v>2</v>
      </c>
      <c r="AG828">
        <v>6</v>
      </c>
      <c r="AH828">
        <v>3</v>
      </c>
      <c r="AI828">
        <v>2</v>
      </c>
      <c r="AJ828">
        <v>5</v>
      </c>
      <c r="AK828">
        <v>3</v>
      </c>
      <c r="AL828">
        <v>4</v>
      </c>
    </row>
    <row r="829" spans="1:38" x14ac:dyDescent="0.3">
      <c r="A829" t="s">
        <v>898</v>
      </c>
      <c r="B829">
        <v>37</v>
      </c>
      <c r="C829" t="s">
        <v>800</v>
      </c>
      <c r="D829" t="s">
        <v>48</v>
      </c>
      <c r="E829">
        <f t="shared" si="12"/>
        <v>0</v>
      </c>
      <c r="F829" t="s">
        <v>40</v>
      </c>
      <c r="G829">
        <v>342</v>
      </c>
      <c r="H829" t="s">
        <v>50</v>
      </c>
      <c r="I829">
        <v>16</v>
      </c>
      <c r="J829">
        <v>4</v>
      </c>
      <c r="K829" t="s">
        <v>56</v>
      </c>
      <c r="L829">
        <v>1</v>
      </c>
      <c r="M829">
        <v>868</v>
      </c>
      <c r="N829">
        <v>4</v>
      </c>
      <c r="O829" t="s">
        <v>43</v>
      </c>
      <c r="P829">
        <v>66</v>
      </c>
      <c r="Q829">
        <v>2</v>
      </c>
      <c r="R829">
        <v>2</v>
      </c>
      <c r="S829" t="s">
        <v>136</v>
      </c>
      <c r="T829">
        <v>3</v>
      </c>
      <c r="U829" t="s">
        <v>101</v>
      </c>
      <c r="V829">
        <v>6334</v>
      </c>
      <c r="W829" t="s">
        <v>162</v>
      </c>
      <c r="X829">
        <v>24558</v>
      </c>
      <c r="Y829">
        <v>4</v>
      </c>
      <c r="Z829" t="s">
        <v>47</v>
      </c>
      <c r="AA829" t="s">
        <v>48</v>
      </c>
      <c r="AB829">
        <v>19</v>
      </c>
      <c r="AC829">
        <v>3</v>
      </c>
      <c r="AD829">
        <v>4</v>
      </c>
      <c r="AE829">
        <v>80</v>
      </c>
      <c r="AF829">
        <v>2</v>
      </c>
      <c r="AG829">
        <v>9</v>
      </c>
      <c r="AH829">
        <v>2</v>
      </c>
      <c r="AI829">
        <v>3</v>
      </c>
      <c r="AJ829">
        <v>1</v>
      </c>
      <c r="AK829">
        <v>0</v>
      </c>
      <c r="AL829">
        <v>0</v>
      </c>
    </row>
    <row r="830" spans="1:38" x14ac:dyDescent="0.3">
      <c r="A830" t="s">
        <v>899</v>
      </c>
      <c r="B830">
        <v>37</v>
      </c>
      <c r="C830" t="s">
        <v>800</v>
      </c>
      <c r="D830" t="s">
        <v>48</v>
      </c>
      <c r="E830">
        <f t="shared" si="12"/>
        <v>0</v>
      </c>
      <c r="F830" t="s">
        <v>55</v>
      </c>
      <c r="G830">
        <v>1231</v>
      </c>
      <c r="H830" t="s">
        <v>50</v>
      </c>
      <c r="I830">
        <v>21</v>
      </c>
      <c r="J830">
        <v>2</v>
      </c>
      <c r="K830" t="s">
        <v>51</v>
      </c>
      <c r="L830">
        <v>1</v>
      </c>
      <c r="M830">
        <v>900</v>
      </c>
      <c r="N830">
        <v>3</v>
      </c>
      <c r="O830" t="s">
        <v>52</v>
      </c>
      <c r="P830">
        <v>54</v>
      </c>
      <c r="Q830">
        <v>3</v>
      </c>
      <c r="R830">
        <v>1</v>
      </c>
      <c r="S830" t="s">
        <v>53</v>
      </c>
      <c r="T830">
        <v>4</v>
      </c>
      <c r="U830" t="s">
        <v>104</v>
      </c>
      <c r="V830">
        <v>2973</v>
      </c>
      <c r="W830" t="s">
        <v>46</v>
      </c>
      <c r="X830">
        <v>21222</v>
      </c>
      <c r="Y830">
        <v>5</v>
      </c>
      <c r="Z830" t="s">
        <v>47</v>
      </c>
      <c r="AA830" t="s">
        <v>48</v>
      </c>
      <c r="AB830">
        <v>15</v>
      </c>
      <c r="AC830">
        <v>3</v>
      </c>
      <c r="AD830">
        <v>2</v>
      </c>
      <c r="AE830">
        <v>80</v>
      </c>
      <c r="AF830">
        <v>1</v>
      </c>
      <c r="AG830">
        <v>10</v>
      </c>
      <c r="AH830">
        <v>3</v>
      </c>
      <c r="AI830">
        <v>3</v>
      </c>
      <c r="AJ830">
        <v>5</v>
      </c>
      <c r="AK830">
        <v>4</v>
      </c>
      <c r="AL830">
        <v>0</v>
      </c>
    </row>
    <row r="831" spans="1:38" x14ac:dyDescent="0.3">
      <c r="A831" t="s">
        <v>900</v>
      </c>
      <c r="B831">
        <v>37</v>
      </c>
      <c r="C831" t="s">
        <v>800</v>
      </c>
      <c r="D831" t="s">
        <v>48</v>
      </c>
      <c r="E831">
        <f t="shared" si="12"/>
        <v>0</v>
      </c>
      <c r="F831" t="s">
        <v>58</v>
      </c>
      <c r="G831">
        <v>1252</v>
      </c>
      <c r="H831" t="s">
        <v>50</v>
      </c>
      <c r="I831">
        <v>19</v>
      </c>
      <c r="J831">
        <v>2</v>
      </c>
      <c r="K831" t="s">
        <v>51</v>
      </c>
      <c r="L831">
        <v>1</v>
      </c>
      <c r="M831">
        <v>904</v>
      </c>
      <c r="N831">
        <v>1</v>
      </c>
      <c r="O831" t="s">
        <v>43</v>
      </c>
      <c r="P831">
        <v>32</v>
      </c>
      <c r="Q831">
        <v>3</v>
      </c>
      <c r="R831">
        <v>3</v>
      </c>
      <c r="S831" t="s">
        <v>136</v>
      </c>
      <c r="T831">
        <v>2</v>
      </c>
      <c r="U831" t="s">
        <v>45</v>
      </c>
      <c r="V831">
        <v>7642</v>
      </c>
      <c r="W831" t="s">
        <v>162</v>
      </c>
      <c r="X831">
        <v>4814</v>
      </c>
      <c r="Y831">
        <v>1</v>
      </c>
      <c r="Z831" t="s">
        <v>47</v>
      </c>
      <c r="AA831" t="s">
        <v>39</v>
      </c>
      <c r="AB831">
        <v>13</v>
      </c>
      <c r="AC831">
        <v>3</v>
      </c>
      <c r="AD831">
        <v>4</v>
      </c>
      <c r="AE831">
        <v>80</v>
      </c>
      <c r="AF831">
        <v>0</v>
      </c>
      <c r="AG831">
        <v>10</v>
      </c>
      <c r="AH831">
        <v>2</v>
      </c>
      <c r="AI831">
        <v>3</v>
      </c>
      <c r="AJ831">
        <v>10</v>
      </c>
      <c r="AK831">
        <v>0</v>
      </c>
      <c r="AL831">
        <v>0</v>
      </c>
    </row>
    <row r="832" spans="1:38" x14ac:dyDescent="0.3">
      <c r="A832" t="s">
        <v>901</v>
      </c>
      <c r="B832">
        <v>37</v>
      </c>
      <c r="C832" t="s">
        <v>800</v>
      </c>
      <c r="D832" t="s">
        <v>39</v>
      </c>
      <c r="E832">
        <f t="shared" si="12"/>
        <v>1</v>
      </c>
      <c r="F832" t="s">
        <v>40</v>
      </c>
      <c r="G832">
        <v>625</v>
      </c>
      <c r="H832" t="s">
        <v>50</v>
      </c>
      <c r="I832">
        <v>1</v>
      </c>
      <c r="J832">
        <v>4</v>
      </c>
      <c r="K832" t="s">
        <v>42</v>
      </c>
      <c r="L832">
        <v>1</v>
      </c>
      <c r="M832">
        <v>970</v>
      </c>
      <c r="N832">
        <v>1</v>
      </c>
      <c r="O832" t="s">
        <v>43</v>
      </c>
      <c r="P832">
        <v>46</v>
      </c>
      <c r="Q832">
        <v>2</v>
      </c>
      <c r="R832">
        <v>3</v>
      </c>
      <c r="S832" t="s">
        <v>136</v>
      </c>
      <c r="T832">
        <v>3</v>
      </c>
      <c r="U832" t="s">
        <v>104</v>
      </c>
      <c r="V832">
        <v>10609</v>
      </c>
      <c r="W832" t="s">
        <v>252</v>
      </c>
      <c r="X832">
        <v>14922</v>
      </c>
      <c r="Y832">
        <v>5</v>
      </c>
      <c r="Z832" t="s">
        <v>47</v>
      </c>
      <c r="AA832" t="s">
        <v>48</v>
      </c>
      <c r="AB832">
        <v>11</v>
      </c>
      <c r="AC832">
        <v>3</v>
      </c>
      <c r="AD832">
        <v>3</v>
      </c>
      <c r="AE832">
        <v>80</v>
      </c>
      <c r="AF832">
        <v>0</v>
      </c>
      <c r="AG832">
        <v>17</v>
      </c>
      <c r="AH832">
        <v>2</v>
      </c>
      <c r="AI832">
        <v>1</v>
      </c>
      <c r="AJ832">
        <v>14</v>
      </c>
      <c r="AK832">
        <v>1</v>
      </c>
      <c r="AL832">
        <v>11</v>
      </c>
    </row>
    <row r="833" spans="1:38" x14ac:dyDescent="0.3">
      <c r="A833" t="s">
        <v>902</v>
      </c>
      <c r="B833">
        <v>37</v>
      </c>
      <c r="C833" t="s">
        <v>800</v>
      </c>
      <c r="D833" t="s">
        <v>39</v>
      </c>
      <c r="E833">
        <f t="shared" si="12"/>
        <v>1</v>
      </c>
      <c r="F833" t="s">
        <v>40</v>
      </c>
      <c r="G833">
        <v>1141</v>
      </c>
      <c r="H833" t="s">
        <v>41</v>
      </c>
      <c r="I833">
        <v>11</v>
      </c>
      <c r="J833">
        <v>2</v>
      </c>
      <c r="K833" t="s">
        <v>51</v>
      </c>
      <c r="L833">
        <v>1</v>
      </c>
      <c r="M833">
        <v>1033</v>
      </c>
      <c r="N833">
        <v>1</v>
      </c>
      <c r="O833" t="s">
        <v>52</v>
      </c>
      <c r="P833">
        <v>61</v>
      </c>
      <c r="Q833">
        <v>1</v>
      </c>
      <c r="R833">
        <v>2</v>
      </c>
      <c r="S833" t="s">
        <v>160</v>
      </c>
      <c r="T833">
        <v>2</v>
      </c>
      <c r="U833" t="s">
        <v>104</v>
      </c>
      <c r="V833">
        <v>4777</v>
      </c>
      <c r="W833" t="s">
        <v>46</v>
      </c>
      <c r="X833">
        <v>14382</v>
      </c>
      <c r="Y833">
        <v>5</v>
      </c>
      <c r="Z833" t="s">
        <v>47</v>
      </c>
      <c r="AA833" t="s">
        <v>48</v>
      </c>
      <c r="AB833">
        <v>15</v>
      </c>
      <c r="AC833">
        <v>3</v>
      </c>
      <c r="AD833">
        <v>1</v>
      </c>
      <c r="AE833">
        <v>80</v>
      </c>
      <c r="AF833">
        <v>0</v>
      </c>
      <c r="AG833">
        <v>15</v>
      </c>
      <c r="AH833">
        <v>2</v>
      </c>
      <c r="AI833">
        <v>1</v>
      </c>
      <c r="AJ833">
        <v>1</v>
      </c>
      <c r="AK833">
        <v>0</v>
      </c>
      <c r="AL833">
        <v>0</v>
      </c>
    </row>
    <row r="834" spans="1:38" x14ac:dyDescent="0.3">
      <c r="A834" t="s">
        <v>903</v>
      </c>
      <c r="B834">
        <v>37</v>
      </c>
      <c r="C834" t="s">
        <v>800</v>
      </c>
      <c r="D834" t="s">
        <v>48</v>
      </c>
      <c r="E834">
        <f t="shared" si="12"/>
        <v>0</v>
      </c>
      <c r="F834" t="s">
        <v>40</v>
      </c>
      <c r="G834">
        <v>124</v>
      </c>
      <c r="H834" t="s">
        <v>41</v>
      </c>
      <c r="I834">
        <v>3</v>
      </c>
      <c r="J834">
        <v>3</v>
      </c>
      <c r="K834" t="s">
        <v>72</v>
      </c>
      <c r="L834">
        <v>1</v>
      </c>
      <c r="M834">
        <v>1062</v>
      </c>
      <c r="N834">
        <v>4</v>
      </c>
      <c r="O834" t="s">
        <v>52</v>
      </c>
      <c r="P834">
        <v>35</v>
      </c>
      <c r="Q834">
        <v>3</v>
      </c>
      <c r="R834">
        <v>2</v>
      </c>
      <c r="S834" t="s">
        <v>160</v>
      </c>
      <c r="T834">
        <v>2</v>
      </c>
      <c r="U834" t="s">
        <v>45</v>
      </c>
      <c r="V834">
        <v>4107</v>
      </c>
      <c r="W834" t="s">
        <v>46</v>
      </c>
      <c r="X834">
        <v>13848</v>
      </c>
      <c r="Y834">
        <v>3</v>
      </c>
      <c r="Z834" t="s">
        <v>47</v>
      </c>
      <c r="AA834" t="s">
        <v>48</v>
      </c>
      <c r="AB834">
        <v>15</v>
      </c>
      <c r="AC834">
        <v>3</v>
      </c>
      <c r="AD834">
        <v>1</v>
      </c>
      <c r="AE834">
        <v>80</v>
      </c>
      <c r="AF834">
        <v>0</v>
      </c>
      <c r="AG834">
        <v>8</v>
      </c>
      <c r="AH834">
        <v>3</v>
      </c>
      <c r="AI834">
        <v>2</v>
      </c>
      <c r="AJ834">
        <v>4</v>
      </c>
      <c r="AK834">
        <v>3</v>
      </c>
      <c r="AL834">
        <v>0</v>
      </c>
    </row>
    <row r="835" spans="1:38" x14ac:dyDescent="0.3">
      <c r="A835" t="s">
        <v>904</v>
      </c>
      <c r="B835">
        <v>37</v>
      </c>
      <c r="C835" t="s">
        <v>800</v>
      </c>
      <c r="D835" t="s">
        <v>48</v>
      </c>
      <c r="E835">
        <f t="shared" ref="E835:E898" si="13">IF(D835="Yes",1,0)</f>
        <v>0</v>
      </c>
      <c r="F835" t="s">
        <v>40</v>
      </c>
      <c r="G835">
        <v>309</v>
      </c>
      <c r="H835" t="s">
        <v>50</v>
      </c>
      <c r="I835">
        <v>10</v>
      </c>
      <c r="J835">
        <v>4</v>
      </c>
      <c r="K835" t="s">
        <v>42</v>
      </c>
      <c r="L835">
        <v>1</v>
      </c>
      <c r="M835">
        <v>1105</v>
      </c>
      <c r="N835">
        <v>4</v>
      </c>
      <c r="O835" t="s">
        <v>52</v>
      </c>
      <c r="P835">
        <v>88</v>
      </c>
      <c r="Q835">
        <v>2</v>
      </c>
      <c r="R835">
        <v>2</v>
      </c>
      <c r="S835" t="s">
        <v>136</v>
      </c>
      <c r="T835">
        <v>4</v>
      </c>
      <c r="U835" t="s">
        <v>101</v>
      </c>
      <c r="V835">
        <v>6694</v>
      </c>
      <c r="W835" t="s">
        <v>162</v>
      </c>
      <c r="X835">
        <v>24223</v>
      </c>
      <c r="Y835">
        <v>2</v>
      </c>
      <c r="Z835" t="s">
        <v>47</v>
      </c>
      <c r="AA835" t="s">
        <v>39</v>
      </c>
      <c r="AB835">
        <v>14</v>
      </c>
      <c r="AC835">
        <v>3</v>
      </c>
      <c r="AD835">
        <v>3</v>
      </c>
      <c r="AE835">
        <v>80</v>
      </c>
      <c r="AF835">
        <v>3</v>
      </c>
      <c r="AG835">
        <v>8</v>
      </c>
      <c r="AH835">
        <v>5</v>
      </c>
      <c r="AI835">
        <v>3</v>
      </c>
      <c r="AJ835">
        <v>1</v>
      </c>
      <c r="AK835">
        <v>0</v>
      </c>
      <c r="AL835">
        <v>0</v>
      </c>
    </row>
    <row r="836" spans="1:38" x14ac:dyDescent="0.3">
      <c r="A836" t="s">
        <v>905</v>
      </c>
      <c r="B836">
        <v>37</v>
      </c>
      <c r="C836" t="s">
        <v>800</v>
      </c>
      <c r="D836" t="s">
        <v>48</v>
      </c>
      <c r="E836">
        <f t="shared" si="13"/>
        <v>0</v>
      </c>
      <c r="F836" t="s">
        <v>40</v>
      </c>
      <c r="G836">
        <v>367</v>
      </c>
      <c r="H836" t="s">
        <v>41</v>
      </c>
      <c r="I836">
        <v>25</v>
      </c>
      <c r="J836">
        <v>2</v>
      </c>
      <c r="K836" t="s">
        <v>51</v>
      </c>
      <c r="L836">
        <v>1</v>
      </c>
      <c r="M836">
        <v>1161</v>
      </c>
      <c r="N836">
        <v>3</v>
      </c>
      <c r="O836" t="s">
        <v>52</v>
      </c>
      <c r="P836">
        <v>52</v>
      </c>
      <c r="Q836">
        <v>2</v>
      </c>
      <c r="R836">
        <v>2</v>
      </c>
      <c r="S836" t="s">
        <v>160</v>
      </c>
      <c r="T836">
        <v>4</v>
      </c>
      <c r="U836" t="s">
        <v>101</v>
      </c>
      <c r="V836">
        <v>5731</v>
      </c>
      <c r="W836" t="s">
        <v>162</v>
      </c>
      <c r="X836">
        <v>17171</v>
      </c>
      <c r="Y836">
        <v>7</v>
      </c>
      <c r="Z836" t="s">
        <v>47</v>
      </c>
      <c r="AA836" t="s">
        <v>48</v>
      </c>
      <c r="AB836">
        <v>13</v>
      </c>
      <c r="AC836">
        <v>3</v>
      </c>
      <c r="AD836">
        <v>3</v>
      </c>
      <c r="AE836">
        <v>80</v>
      </c>
      <c r="AF836">
        <v>2</v>
      </c>
      <c r="AG836">
        <v>9</v>
      </c>
      <c r="AH836">
        <v>2</v>
      </c>
      <c r="AI836">
        <v>3</v>
      </c>
      <c r="AJ836">
        <v>6</v>
      </c>
      <c r="AK836">
        <v>2</v>
      </c>
      <c r="AL836">
        <v>1</v>
      </c>
    </row>
    <row r="837" spans="1:38" x14ac:dyDescent="0.3">
      <c r="A837" t="s">
        <v>906</v>
      </c>
      <c r="B837">
        <v>37</v>
      </c>
      <c r="C837" t="s">
        <v>800</v>
      </c>
      <c r="D837" t="s">
        <v>48</v>
      </c>
      <c r="E837">
        <f t="shared" si="13"/>
        <v>0</v>
      </c>
      <c r="F837" t="s">
        <v>40</v>
      </c>
      <c r="G837">
        <v>977</v>
      </c>
      <c r="H837" t="s">
        <v>41</v>
      </c>
      <c r="I837">
        <v>1</v>
      </c>
      <c r="J837">
        <v>3</v>
      </c>
      <c r="K837" t="s">
        <v>42</v>
      </c>
      <c r="L837">
        <v>1</v>
      </c>
      <c r="M837">
        <v>1196</v>
      </c>
      <c r="N837">
        <v>4</v>
      </c>
      <c r="O837" t="s">
        <v>52</v>
      </c>
      <c r="P837">
        <v>56</v>
      </c>
      <c r="Q837">
        <v>2</v>
      </c>
      <c r="R837">
        <v>2</v>
      </c>
      <c r="S837" t="s">
        <v>111</v>
      </c>
      <c r="T837">
        <v>4</v>
      </c>
      <c r="U837" t="s">
        <v>104</v>
      </c>
      <c r="V837">
        <v>6474</v>
      </c>
      <c r="W837" t="s">
        <v>162</v>
      </c>
      <c r="X837">
        <v>9961</v>
      </c>
      <c r="Y837">
        <v>1</v>
      </c>
      <c r="Z837" t="s">
        <v>47</v>
      </c>
      <c r="AA837" t="s">
        <v>48</v>
      </c>
      <c r="AB837">
        <v>13</v>
      </c>
      <c r="AC837">
        <v>3</v>
      </c>
      <c r="AD837">
        <v>2</v>
      </c>
      <c r="AE837">
        <v>80</v>
      </c>
      <c r="AF837">
        <v>1</v>
      </c>
      <c r="AG837">
        <v>14</v>
      </c>
      <c r="AH837">
        <v>2</v>
      </c>
      <c r="AI837">
        <v>2</v>
      </c>
      <c r="AJ837">
        <v>14</v>
      </c>
      <c r="AK837">
        <v>8</v>
      </c>
      <c r="AL837">
        <v>3</v>
      </c>
    </row>
    <row r="838" spans="1:38" x14ac:dyDescent="0.3">
      <c r="A838" t="s">
        <v>907</v>
      </c>
      <c r="B838">
        <v>37</v>
      </c>
      <c r="C838" t="s">
        <v>800</v>
      </c>
      <c r="D838" t="s">
        <v>48</v>
      </c>
      <c r="E838">
        <f t="shared" si="13"/>
        <v>0</v>
      </c>
      <c r="F838" t="s">
        <v>40</v>
      </c>
      <c r="G838">
        <v>1439</v>
      </c>
      <c r="H838" t="s">
        <v>41</v>
      </c>
      <c r="I838">
        <v>4</v>
      </c>
      <c r="J838">
        <v>1</v>
      </c>
      <c r="K838" t="s">
        <v>42</v>
      </c>
      <c r="L838">
        <v>1</v>
      </c>
      <c r="M838">
        <v>1394</v>
      </c>
      <c r="N838">
        <v>3</v>
      </c>
      <c r="O838" t="s">
        <v>43</v>
      </c>
      <c r="P838">
        <v>54</v>
      </c>
      <c r="Q838">
        <v>3</v>
      </c>
      <c r="R838">
        <v>1</v>
      </c>
      <c r="S838" t="s">
        <v>59</v>
      </c>
      <c r="T838">
        <v>3</v>
      </c>
      <c r="U838" t="s">
        <v>104</v>
      </c>
      <c r="V838">
        <v>2996</v>
      </c>
      <c r="W838" t="s">
        <v>46</v>
      </c>
      <c r="X838">
        <v>5182</v>
      </c>
      <c r="Y838">
        <v>7</v>
      </c>
      <c r="Z838" t="s">
        <v>47</v>
      </c>
      <c r="AA838" t="s">
        <v>39</v>
      </c>
      <c r="AB838">
        <v>15</v>
      </c>
      <c r="AC838">
        <v>3</v>
      </c>
      <c r="AD838">
        <v>4</v>
      </c>
      <c r="AE838">
        <v>80</v>
      </c>
      <c r="AF838">
        <v>0</v>
      </c>
      <c r="AG838">
        <v>8</v>
      </c>
      <c r="AH838">
        <v>2</v>
      </c>
      <c r="AI838">
        <v>3</v>
      </c>
      <c r="AJ838">
        <v>6</v>
      </c>
      <c r="AK838">
        <v>4</v>
      </c>
      <c r="AL838">
        <v>1</v>
      </c>
    </row>
    <row r="839" spans="1:38" x14ac:dyDescent="0.3">
      <c r="A839" t="s">
        <v>908</v>
      </c>
      <c r="B839">
        <v>37</v>
      </c>
      <c r="C839" t="s">
        <v>800</v>
      </c>
      <c r="D839" t="s">
        <v>48</v>
      </c>
      <c r="E839">
        <f t="shared" si="13"/>
        <v>0</v>
      </c>
      <c r="F839" t="s">
        <v>40</v>
      </c>
      <c r="G839">
        <v>1462</v>
      </c>
      <c r="H839" t="s">
        <v>41</v>
      </c>
      <c r="I839">
        <v>11</v>
      </c>
      <c r="J839">
        <v>3</v>
      </c>
      <c r="K839" t="s">
        <v>51</v>
      </c>
      <c r="L839">
        <v>1</v>
      </c>
      <c r="M839">
        <v>1411</v>
      </c>
      <c r="N839">
        <v>1</v>
      </c>
      <c r="O839" t="s">
        <v>52</v>
      </c>
      <c r="P839">
        <v>94</v>
      </c>
      <c r="Q839">
        <v>3</v>
      </c>
      <c r="R839">
        <v>1</v>
      </c>
      <c r="S839" t="s">
        <v>44</v>
      </c>
      <c r="T839">
        <v>3</v>
      </c>
      <c r="U839" t="s">
        <v>45</v>
      </c>
      <c r="V839">
        <v>3629</v>
      </c>
      <c r="W839" t="s">
        <v>46</v>
      </c>
      <c r="X839">
        <v>19106</v>
      </c>
      <c r="Y839">
        <v>4</v>
      </c>
      <c r="Z839" t="s">
        <v>47</v>
      </c>
      <c r="AA839" t="s">
        <v>48</v>
      </c>
      <c r="AB839">
        <v>18</v>
      </c>
      <c r="AC839">
        <v>3</v>
      </c>
      <c r="AD839">
        <v>1</v>
      </c>
      <c r="AE839">
        <v>80</v>
      </c>
      <c r="AF839">
        <v>0</v>
      </c>
      <c r="AG839">
        <v>8</v>
      </c>
      <c r="AH839">
        <v>6</v>
      </c>
      <c r="AI839">
        <v>3</v>
      </c>
      <c r="AJ839">
        <v>3</v>
      </c>
      <c r="AK839">
        <v>2</v>
      </c>
      <c r="AL839">
        <v>0</v>
      </c>
    </row>
    <row r="840" spans="1:38" x14ac:dyDescent="0.3">
      <c r="A840" t="s">
        <v>909</v>
      </c>
      <c r="B840">
        <v>37</v>
      </c>
      <c r="C840" t="s">
        <v>800</v>
      </c>
      <c r="D840" t="s">
        <v>48</v>
      </c>
      <c r="E840">
        <f t="shared" si="13"/>
        <v>0</v>
      </c>
      <c r="F840" t="s">
        <v>58</v>
      </c>
      <c r="G840">
        <v>1413</v>
      </c>
      <c r="H840" t="s">
        <v>41</v>
      </c>
      <c r="I840">
        <v>5</v>
      </c>
      <c r="J840">
        <v>2</v>
      </c>
      <c r="K840" t="s">
        <v>67</v>
      </c>
      <c r="L840">
        <v>1</v>
      </c>
      <c r="M840">
        <v>1440</v>
      </c>
      <c r="N840">
        <v>3</v>
      </c>
      <c r="O840" t="s">
        <v>43</v>
      </c>
      <c r="P840">
        <v>84</v>
      </c>
      <c r="Q840">
        <v>4</v>
      </c>
      <c r="R840">
        <v>1</v>
      </c>
      <c r="S840" t="s">
        <v>44</v>
      </c>
      <c r="T840">
        <v>3</v>
      </c>
      <c r="U840" t="s">
        <v>45</v>
      </c>
      <c r="V840">
        <v>3500</v>
      </c>
      <c r="W840" t="s">
        <v>46</v>
      </c>
      <c r="X840">
        <v>25470</v>
      </c>
      <c r="Y840">
        <v>0</v>
      </c>
      <c r="Z840" t="s">
        <v>47</v>
      </c>
      <c r="AA840" t="s">
        <v>48</v>
      </c>
      <c r="AB840">
        <v>14</v>
      </c>
      <c r="AC840">
        <v>3</v>
      </c>
      <c r="AD840">
        <v>1</v>
      </c>
      <c r="AE840">
        <v>80</v>
      </c>
      <c r="AF840">
        <v>0</v>
      </c>
      <c r="AG840">
        <v>7</v>
      </c>
      <c r="AH840">
        <v>2</v>
      </c>
      <c r="AI840">
        <v>1</v>
      </c>
      <c r="AJ840">
        <v>6</v>
      </c>
      <c r="AK840">
        <v>5</v>
      </c>
      <c r="AL840">
        <v>1</v>
      </c>
    </row>
    <row r="841" spans="1:38" x14ac:dyDescent="0.3">
      <c r="A841" t="s">
        <v>910</v>
      </c>
      <c r="B841">
        <v>37</v>
      </c>
      <c r="C841" t="s">
        <v>800</v>
      </c>
      <c r="D841" t="s">
        <v>48</v>
      </c>
      <c r="E841">
        <f t="shared" si="13"/>
        <v>0</v>
      </c>
      <c r="F841" t="s">
        <v>40</v>
      </c>
      <c r="G841">
        <v>674</v>
      </c>
      <c r="H841" t="s">
        <v>41</v>
      </c>
      <c r="I841">
        <v>13</v>
      </c>
      <c r="J841">
        <v>3</v>
      </c>
      <c r="K841" t="s">
        <v>51</v>
      </c>
      <c r="L841">
        <v>1</v>
      </c>
      <c r="M841">
        <v>1543</v>
      </c>
      <c r="N841">
        <v>1</v>
      </c>
      <c r="O841" t="s">
        <v>43</v>
      </c>
      <c r="P841">
        <v>47</v>
      </c>
      <c r="Q841">
        <v>3</v>
      </c>
      <c r="R841">
        <v>2</v>
      </c>
      <c r="S841" t="s">
        <v>59</v>
      </c>
      <c r="T841">
        <v>4</v>
      </c>
      <c r="U841" t="s">
        <v>104</v>
      </c>
      <c r="V841">
        <v>4285</v>
      </c>
      <c r="W841" t="s">
        <v>46</v>
      </c>
      <c r="X841">
        <v>3031</v>
      </c>
      <c r="Y841">
        <v>1</v>
      </c>
      <c r="Z841" t="s">
        <v>47</v>
      </c>
      <c r="AA841" t="s">
        <v>48</v>
      </c>
      <c r="AB841">
        <v>17</v>
      </c>
      <c r="AC841">
        <v>3</v>
      </c>
      <c r="AD841">
        <v>1</v>
      </c>
      <c r="AE841">
        <v>80</v>
      </c>
      <c r="AF841">
        <v>0</v>
      </c>
      <c r="AG841">
        <v>10</v>
      </c>
      <c r="AH841">
        <v>2</v>
      </c>
      <c r="AI841">
        <v>3</v>
      </c>
      <c r="AJ841">
        <v>10</v>
      </c>
      <c r="AK841">
        <v>8</v>
      </c>
      <c r="AL841">
        <v>3</v>
      </c>
    </row>
    <row r="842" spans="1:38" x14ac:dyDescent="0.3">
      <c r="A842" t="s">
        <v>911</v>
      </c>
      <c r="B842">
        <v>37</v>
      </c>
      <c r="C842" t="s">
        <v>800</v>
      </c>
      <c r="D842" t="s">
        <v>48</v>
      </c>
      <c r="E842">
        <f t="shared" si="13"/>
        <v>0</v>
      </c>
      <c r="F842" t="s">
        <v>40</v>
      </c>
      <c r="G842">
        <v>671</v>
      </c>
      <c r="H842" t="s">
        <v>41</v>
      </c>
      <c r="I842">
        <v>19</v>
      </c>
      <c r="J842">
        <v>3</v>
      </c>
      <c r="K842" t="s">
        <v>42</v>
      </c>
      <c r="L842">
        <v>1</v>
      </c>
      <c r="M842">
        <v>1631</v>
      </c>
      <c r="N842">
        <v>3</v>
      </c>
      <c r="O842" t="s">
        <v>43</v>
      </c>
      <c r="P842">
        <v>85</v>
      </c>
      <c r="Q842">
        <v>3</v>
      </c>
      <c r="R842">
        <v>2</v>
      </c>
      <c r="S842" t="s">
        <v>111</v>
      </c>
      <c r="T842">
        <v>3</v>
      </c>
      <c r="U842" t="s">
        <v>104</v>
      </c>
      <c r="V842">
        <v>5768</v>
      </c>
      <c r="W842" t="s">
        <v>162</v>
      </c>
      <c r="X842">
        <v>26493</v>
      </c>
      <c r="Y842">
        <v>3</v>
      </c>
      <c r="Z842" t="s">
        <v>47</v>
      </c>
      <c r="AA842" t="s">
        <v>48</v>
      </c>
      <c r="AB842">
        <v>17</v>
      </c>
      <c r="AC842">
        <v>3</v>
      </c>
      <c r="AD842">
        <v>1</v>
      </c>
      <c r="AE842">
        <v>80</v>
      </c>
      <c r="AF842">
        <v>3</v>
      </c>
      <c r="AG842">
        <v>9</v>
      </c>
      <c r="AH842">
        <v>2</v>
      </c>
      <c r="AI842">
        <v>2</v>
      </c>
      <c r="AJ842">
        <v>4</v>
      </c>
      <c r="AK842">
        <v>3</v>
      </c>
      <c r="AL842">
        <v>0</v>
      </c>
    </row>
    <row r="843" spans="1:38" x14ac:dyDescent="0.3">
      <c r="A843" t="s">
        <v>912</v>
      </c>
      <c r="B843">
        <v>37</v>
      </c>
      <c r="C843" t="s">
        <v>800</v>
      </c>
      <c r="D843" t="s">
        <v>48</v>
      </c>
      <c r="E843">
        <f t="shared" si="13"/>
        <v>0</v>
      </c>
      <c r="F843" t="s">
        <v>40</v>
      </c>
      <c r="G843">
        <v>1470</v>
      </c>
      <c r="H843" t="s">
        <v>41</v>
      </c>
      <c r="I843">
        <v>10</v>
      </c>
      <c r="J843">
        <v>3</v>
      </c>
      <c r="K843" t="s">
        <v>51</v>
      </c>
      <c r="L843">
        <v>1</v>
      </c>
      <c r="M843">
        <v>1640</v>
      </c>
      <c r="N843">
        <v>2</v>
      </c>
      <c r="O843" t="s">
        <v>52</v>
      </c>
      <c r="P843">
        <v>71</v>
      </c>
      <c r="Q843">
        <v>3</v>
      </c>
      <c r="R843">
        <v>1</v>
      </c>
      <c r="S843" t="s">
        <v>59</v>
      </c>
      <c r="T843">
        <v>2</v>
      </c>
      <c r="U843" t="s">
        <v>104</v>
      </c>
      <c r="V843">
        <v>3936</v>
      </c>
      <c r="W843" t="s">
        <v>46</v>
      </c>
      <c r="X843">
        <v>9953</v>
      </c>
      <c r="Y843">
        <v>1</v>
      </c>
      <c r="Z843" t="s">
        <v>47</v>
      </c>
      <c r="AA843" t="s">
        <v>48</v>
      </c>
      <c r="AB843">
        <v>11</v>
      </c>
      <c r="AC843">
        <v>3</v>
      </c>
      <c r="AD843">
        <v>1</v>
      </c>
      <c r="AE843">
        <v>80</v>
      </c>
      <c r="AF843">
        <v>1</v>
      </c>
      <c r="AG843">
        <v>8</v>
      </c>
      <c r="AH843">
        <v>2</v>
      </c>
      <c r="AI843">
        <v>1</v>
      </c>
      <c r="AJ843">
        <v>8</v>
      </c>
      <c r="AK843">
        <v>4</v>
      </c>
      <c r="AL843">
        <v>7</v>
      </c>
    </row>
    <row r="844" spans="1:38" x14ac:dyDescent="0.3">
      <c r="A844" t="s">
        <v>913</v>
      </c>
      <c r="B844">
        <v>37</v>
      </c>
      <c r="C844" t="s">
        <v>800</v>
      </c>
      <c r="D844" t="s">
        <v>48</v>
      </c>
      <c r="E844">
        <f t="shared" si="13"/>
        <v>0</v>
      </c>
      <c r="F844" t="s">
        <v>55</v>
      </c>
      <c r="G844">
        <v>1278</v>
      </c>
      <c r="H844" t="s">
        <v>50</v>
      </c>
      <c r="I844">
        <v>1</v>
      </c>
      <c r="J844">
        <v>4</v>
      </c>
      <c r="K844" t="s">
        <v>51</v>
      </c>
      <c r="L844">
        <v>1</v>
      </c>
      <c r="M844">
        <v>1700</v>
      </c>
      <c r="N844">
        <v>3</v>
      </c>
      <c r="O844" t="s">
        <v>43</v>
      </c>
      <c r="P844">
        <v>31</v>
      </c>
      <c r="Q844">
        <v>1</v>
      </c>
      <c r="R844">
        <v>2</v>
      </c>
      <c r="S844" t="s">
        <v>136</v>
      </c>
      <c r="T844">
        <v>4</v>
      </c>
      <c r="U844" t="s">
        <v>101</v>
      </c>
      <c r="V844">
        <v>9525</v>
      </c>
      <c r="W844" t="s">
        <v>162</v>
      </c>
      <c r="X844">
        <v>7677</v>
      </c>
      <c r="Y844">
        <v>1</v>
      </c>
      <c r="Z844" t="s">
        <v>47</v>
      </c>
      <c r="AA844" t="s">
        <v>48</v>
      </c>
      <c r="AB844">
        <v>14</v>
      </c>
      <c r="AC844">
        <v>3</v>
      </c>
      <c r="AD844">
        <v>3</v>
      </c>
      <c r="AE844">
        <v>80</v>
      </c>
      <c r="AF844">
        <v>2</v>
      </c>
      <c r="AG844">
        <v>6</v>
      </c>
      <c r="AH844">
        <v>2</v>
      </c>
      <c r="AI844">
        <v>2</v>
      </c>
      <c r="AJ844">
        <v>6</v>
      </c>
      <c r="AK844">
        <v>3</v>
      </c>
      <c r="AL844">
        <v>1</v>
      </c>
    </row>
    <row r="845" spans="1:38" x14ac:dyDescent="0.3">
      <c r="A845" t="s">
        <v>914</v>
      </c>
      <c r="B845">
        <v>37</v>
      </c>
      <c r="C845" t="s">
        <v>800</v>
      </c>
      <c r="D845" t="s">
        <v>48</v>
      </c>
      <c r="E845">
        <f t="shared" si="13"/>
        <v>0</v>
      </c>
      <c r="F845" t="s">
        <v>40</v>
      </c>
      <c r="G845">
        <v>589</v>
      </c>
      <c r="H845" t="s">
        <v>50</v>
      </c>
      <c r="I845">
        <v>9</v>
      </c>
      <c r="J845">
        <v>2</v>
      </c>
      <c r="K845" t="s">
        <v>56</v>
      </c>
      <c r="L845">
        <v>1</v>
      </c>
      <c r="M845">
        <v>1787</v>
      </c>
      <c r="N845">
        <v>2</v>
      </c>
      <c r="O845" t="s">
        <v>43</v>
      </c>
      <c r="P845">
        <v>46</v>
      </c>
      <c r="Q845">
        <v>2</v>
      </c>
      <c r="R845">
        <v>2</v>
      </c>
      <c r="S845" t="s">
        <v>136</v>
      </c>
      <c r="T845">
        <v>2</v>
      </c>
      <c r="U845" t="s">
        <v>104</v>
      </c>
      <c r="V845">
        <v>4189</v>
      </c>
      <c r="W845" t="s">
        <v>46</v>
      </c>
      <c r="X845">
        <v>8800</v>
      </c>
      <c r="Y845">
        <v>1</v>
      </c>
      <c r="Z845" t="s">
        <v>47</v>
      </c>
      <c r="AA845" t="s">
        <v>48</v>
      </c>
      <c r="AB845">
        <v>14</v>
      </c>
      <c r="AC845">
        <v>3</v>
      </c>
      <c r="AD845">
        <v>1</v>
      </c>
      <c r="AE845">
        <v>80</v>
      </c>
      <c r="AF845">
        <v>2</v>
      </c>
      <c r="AG845">
        <v>5</v>
      </c>
      <c r="AH845">
        <v>2</v>
      </c>
      <c r="AI845">
        <v>3</v>
      </c>
      <c r="AJ845">
        <v>5</v>
      </c>
      <c r="AK845">
        <v>2</v>
      </c>
      <c r="AL845">
        <v>0</v>
      </c>
    </row>
    <row r="846" spans="1:38" x14ac:dyDescent="0.3">
      <c r="A846" t="s">
        <v>915</v>
      </c>
      <c r="B846">
        <v>37</v>
      </c>
      <c r="C846" t="s">
        <v>800</v>
      </c>
      <c r="D846" t="s">
        <v>48</v>
      </c>
      <c r="E846">
        <f t="shared" si="13"/>
        <v>0</v>
      </c>
      <c r="F846" t="s">
        <v>40</v>
      </c>
      <c r="G846">
        <v>1239</v>
      </c>
      <c r="H846" t="s">
        <v>70</v>
      </c>
      <c r="I846">
        <v>8</v>
      </c>
      <c r="J846">
        <v>2</v>
      </c>
      <c r="K846" t="s">
        <v>72</v>
      </c>
      <c r="L846">
        <v>1</v>
      </c>
      <c r="M846">
        <v>1794</v>
      </c>
      <c r="N846">
        <v>3</v>
      </c>
      <c r="O846" t="s">
        <v>43</v>
      </c>
      <c r="P846">
        <v>89</v>
      </c>
      <c r="Q846">
        <v>3</v>
      </c>
      <c r="R846">
        <v>2</v>
      </c>
      <c r="S846" t="s">
        <v>70</v>
      </c>
      <c r="T846">
        <v>2</v>
      </c>
      <c r="U846" t="s">
        <v>101</v>
      </c>
      <c r="V846">
        <v>4071</v>
      </c>
      <c r="W846" t="s">
        <v>46</v>
      </c>
      <c r="X846">
        <v>12832</v>
      </c>
      <c r="Y846">
        <v>2</v>
      </c>
      <c r="Z846" t="s">
        <v>47</v>
      </c>
      <c r="AA846" t="s">
        <v>48</v>
      </c>
      <c r="AB846">
        <v>13</v>
      </c>
      <c r="AC846">
        <v>3</v>
      </c>
      <c r="AD846">
        <v>3</v>
      </c>
      <c r="AE846">
        <v>80</v>
      </c>
      <c r="AF846">
        <v>0</v>
      </c>
      <c r="AG846">
        <v>19</v>
      </c>
      <c r="AH846">
        <v>4</v>
      </c>
      <c r="AI846">
        <v>2</v>
      </c>
      <c r="AJ846">
        <v>10</v>
      </c>
      <c r="AK846">
        <v>0</v>
      </c>
      <c r="AL846">
        <v>4</v>
      </c>
    </row>
    <row r="847" spans="1:38" x14ac:dyDescent="0.3">
      <c r="A847" t="s">
        <v>916</v>
      </c>
      <c r="B847">
        <v>37</v>
      </c>
      <c r="C847" t="s">
        <v>800</v>
      </c>
      <c r="D847" t="s">
        <v>39</v>
      </c>
      <c r="E847">
        <f t="shared" si="13"/>
        <v>1</v>
      </c>
      <c r="F847" t="s">
        <v>40</v>
      </c>
      <c r="G847">
        <v>370</v>
      </c>
      <c r="H847" t="s">
        <v>41</v>
      </c>
      <c r="I847">
        <v>10</v>
      </c>
      <c r="J847">
        <v>4</v>
      </c>
      <c r="K847" t="s">
        <v>51</v>
      </c>
      <c r="L847">
        <v>1</v>
      </c>
      <c r="M847">
        <v>1809</v>
      </c>
      <c r="N847">
        <v>4</v>
      </c>
      <c r="O847" t="s">
        <v>43</v>
      </c>
      <c r="P847">
        <v>58</v>
      </c>
      <c r="Q847">
        <v>3</v>
      </c>
      <c r="R847">
        <v>2</v>
      </c>
      <c r="S847" t="s">
        <v>111</v>
      </c>
      <c r="T847">
        <v>1</v>
      </c>
      <c r="U847" t="s">
        <v>45</v>
      </c>
      <c r="V847">
        <v>4213</v>
      </c>
      <c r="W847" t="s">
        <v>46</v>
      </c>
      <c r="X847">
        <v>4992</v>
      </c>
      <c r="Y847">
        <v>1</v>
      </c>
      <c r="Z847" t="s">
        <v>47</v>
      </c>
      <c r="AA847" t="s">
        <v>48</v>
      </c>
      <c r="AB847">
        <v>15</v>
      </c>
      <c r="AC847">
        <v>3</v>
      </c>
      <c r="AD847">
        <v>2</v>
      </c>
      <c r="AE847">
        <v>80</v>
      </c>
      <c r="AF847">
        <v>0</v>
      </c>
      <c r="AG847">
        <v>10</v>
      </c>
      <c r="AH847">
        <v>4</v>
      </c>
      <c r="AI847">
        <v>1</v>
      </c>
      <c r="AJ847">
        <v>10</v>
      </c>
      <c r="AK847">
        <v>3</v>
      </c>
      <c r="AL847">
        <v>0</v>
      </c>
    </row>
    <row r="848" spans="1:38" x14ac:dyDescent="0.3">
      <c r="A848" t="s">
        <v>917</v>
      </c>
      <c r="B848">
        <v>37</v>
      </c>
      <c r="C848" t="s">
        <v>800</v>
      </c>
      <c r="D848" t="s">
        <v>48</v>
      </c>
      <c r="E848">
        <f t="shared" si="13"/>
        <v>0</v>
      </c>
      <c r="F848" t="s">
        <v>40</v>
      </c>
      <c r="G848">
        <v>783</v>
      </c>
      <c r="H848" t="s">
        <v>41</v>
      </c>
      <c r="I848">
        <v>7</v>
      </c>
      <c r="J848">
        <v>4</v>
      </c>
      <c r="K848" t="s">
        <v>51</v>
      </c>
      <c r="L848">
        <v>1</v>
      </c>
      <c r="M848">
        <v>1885</v>
      </c>
      <c r="N848">
        <v>4</v>
      </c>
      <c r="O848" t="s">
        <v>43</v>
      </c>
      <c r="P848">
        <v>78</v>
      </c>
      <c r="Q848">
        <v>3</v>
      </c>
      <c r="R848">
        <v>2</v>
      </c>
      <c r="S848" t="s">
        <v>59</v>
      </c>
      <c r="T848">
        <v>1</v>
      </c>
      <c r="U848" t="s">
        <v>104</v>
      </c>
      <c r="V848">
        <v>4284</v>
      </c>
      <c r="W848" t="s">
        <v>46</v>
      </c>
      <c r="X848">
        <v>13588</v>
      </c>
      <c r="Y848">
        <v>5</v>
      </c>
      <c r="Z848" t="s">
        <v>47</v>
      </c>
      <c r="AA848" t="s">
        <v>39</v>
      </c>
      <c r="AB848">
        <v>22</v>
      </c>
      <c r="AC848">
        <v>4</v>
      </c>
      <c r="AD848">
        <v>3</v>
      </c>
      <c r="AE848">
        <v>80</v>
      </c>
      <c r="AF848">
        <v>1</v>
      </c>
      <c r="AG848">
        <v>16</v>
      </c>
      <c r="AH848">
        <v>2</v>
      </c>
      <c r="AI848">
        <v>3</v>
      </c>
      <c r="AJ848">
        <v>5</v>
      </c>
      <c r="AK848">
        <v>3</v>
      </c>
      <c r="AL848">
        <v>0</v>
      </c>
    </row>
    <row r="849" spans="1:38" x14ac:dyDescent="0.3">
      <c r="A849" t="s">
        <v>918</v>
      </c>
      <c r="B849">
        <v>37</v>
      </c>
      <c r="C849" t="s">
        <v>800</v>
      </c>
      <c r="D849" t="s">
        <v>48</v>
      </c>
      <c r="E849">
        <f t="shared" si="13"/>
        <v>0</v>
      </c>
      <c r="F849" t="s">
        <v>40</v>
      </c>
      <c r="G849">
        <v>161</v>
      </c>
      <c r="H849" t="s">
        <v>41</v>
      </c>
      <c r="I849">
        <v>10</v>
      </c>
      <c r="J849">
        <v>3</v>
      </c>
      <c r="K849" t="s">
        <v>42</v>
      </c>
      <c r="L849">
        <v>1</v>
      </c>
      <c r="M849">
        <v>2017</v>
      </c>
      <c r="N849">
        <v>3</v>
      </c>
      <c r="O849" t="s">
        <v>52</v>
      </c>
      <c r="P849">
        <v>42</v>
      </c>
      <c r="Q849">
        <v>4</v>
      </c>
      <c r="R849">
        <v>3</v>
      </c>
      <c r="S849" t="s">
        <v>251</v>
      </c>
      <c r="T849">
        <v>4</v>
      </c>
      <c r="U849" t="s">
        <v>104</v>
      </c>
      <c r="V849">
        <v>13744</v>
      </c>
      <c r="W849" t="s">
        <v>252</v>
      </c>
      <c r="X849">
        <v>15471</v>
      </c>
      <c r="Y849">
        <v>1</v>
      </c>
      <c r="Z849" t="s">
        <v>47</v>
      </c>
      <c r="AA849" t="s">
        <v>39</v>
      </c>
      <c r="AB849">
        <v>25</v>
      </c>
      <c r="AC849">
        <v>4</v>
      </c>
      <c r="AD849">
        <v>1</v>
      </c>
      <c r="AE849">
        <v>80</v>
      </c>
      <c r="AF849">
        <v>1</v>
      </c>
      <c r="AG849">
        <v>16</v>
      </c>
      <c r="AH849">
        <v>2</v>
      </c>
      <c r="AI849">
        <v>3</v>
      </c>
      <c r="AJ849">
        <v>16</v>
      </c>
      <c r="AK849">
        <v>11</v>
      </c>
      <c r="AL849">
        <v>6</v>
      </c>
    </row>
    <row r="850" spans="1:38" x14ac:dyDescent="0.3">
      <c r="A850" t="s">
        <v>919</v>
      </c>
      <c r="B850">
        <v>38</v>
      </c>
      <c r="C850" t="s">
        <v>800</v>
      </c>
      <c r="D850" t="s">
        <v>48</v>
      </c>
      <c r="E850">
        <f t="shared" si="13"/>
        <v>0</v>
      </c>
      <c r="F850" t="s">
        <v>55</v>
      </c>
      <c r="G850">
        <v>216</v>
      </c>
      <c r="H850" t="s">
        <v>41</v>
      </c>
      <c r="I850">
        <v>23</v>
      </c>
      <c r="J850">
        <v>3</v>
      </c>
      <c r="K850" t="s">
        <v>42</v>
      </c>
      <c r="L850">
        <v>1</v>
      </c>
      <c r="M850">
        <v>12</v>
      </c>
      <c r="N850">
        <v>4</v>
      </c>
      <c r="O850" t="s">
        <v>43</v>
      </c>
      <c r="P850">
        <v>44</v>
      </c>
      <c r="Q850">
        <v>2</v>
      </c>
      <c r="R850">
        <v>3</v>
      </c>
      <c r="S850" t="s">
        <v>111</v>
      </c>
      <c r="T850">
        <v>3</v>
      </c>
      <c r="U850" t="s">
        <v>45</v>
      </c>
      <c r="V850">
        <v>9526</v>
      </c>
      <c r="W850" t="s">
        <v>162</v>
      </c>
      <c r="X850">
        <v>8787</v>
      </c>
      <c r="Y850">
        <v>0</v>
      </c>
      <c r="Z850" t="s">
        <v>47</v>
      </c>
      <c r="AA850" t="s">
        <v>48</v>
      </c>
      <c r="AB850">
        <v>21</v>
      </c>
      <c r="AC850">
        <v>4</v>
      </c>
      <c r="AD850">
        <v>2</v>
      </c>
      <c r="AE850">
        <v>80</v>
      </c>
      <c r="AF850">
        <v>0</v>
      </c>
      <c r="AG850">
        <v>10</v>
      </c>
      <c r="AH850">
        <v>2</v>
      </c>
      <c r="AI850">
        <v>3</v>
      </c>
      <c r="AJ850">
        <v>9</v>
      </c>
      <c r="AK850">
        <v>7</v>
      </c>
      <c r="AL850">
        <v>1</v>
      </c>
    </row>
    <row r="851" spans="1:38" x14ac:dyDescent="0.3">
      <c r="A851" t="s">
        <v>920</v>
      </c>
      <c r="B851">
        <v>38</v>
      </c>
      <c r="C851" t="s">
        <v>800</v>
      </c>
      <c r="D851" t="s">
        <v>48</v>
      </c>
      <c r="E851">
        <f t="shared" si="13"/>
        <v>0</v>
      </c>
      <c r="F851" t="s">
        <v>40</v>
      </c>
      <c r="G851">
        <v>371</v>
      </c>
      <c r="H851" t="s">
        <v>41</v>
      </c>
      <c r="I851">
        <v>2</v>
      </c>
      <c r="J851">
        <v>3</v>
      </c>
      <c r="K851" t="s">
        <v>42</v>
      </c>
      <c r="L851">
        <v>1</v>
      </c>
      <c r="M851">
        <v>24</v>
      </c>
      <c r="N851">
        <v>4</v>
      </c>
      <c r="O851" t="s">
        <v>43</v>
      </c>
      <c r="P851">
        <v>45</v>
      </c>
      <c r="Q851">
        <v>3</v>
      </c>
      <c r="R851">
        <v>1</v>
      </c>
      <c r="S851" t="s">
        <v>59</v>
      </c>
      <c r="T851">
        <v>4</v>
      </c>
      <c r="U851" t="s">
        <v>45</v>
      </c>
      <c r="V851">
        <v>3944</v>
      </c>
      <c r="W851" t="s">
        <v>46</v>
      </c>
      <c r="X851">
        <v>4306</v>
      </c>
      <c r="Y851">
        <v>5</v>
      </c>
      <c r="Z851" t="s">
        <v>47</v>
      </c>
      <c r="AA851" t="s">
        <v>39</v>
      </c>
      <c r="AB851">
        <v>11</v>
      </c>
      <c r="AC851">
        <v>3</v>
      </c>
      <c r="AD851">
        <v>3</v>
      </c>
      <c r="AE851">
        <v>80</v>
      </c>
      <c r="AF851">
        <v>0</v>
      </c>
      <c r="AG851">
        <v>6</v>
      </c>
      <c r="AH851">
        <v>3</v>
      </c>
      <c r="AI851">
        <v>3</v>
      </c>
      <c r="AJ851">
        <v>3</v>
      </c>
      <c r="AK851">
        <v>2</v>
      </c>
      <c r="AL851">
        <v>1</v>
      </c>
    </row>
    <row r="852" spans="1:38" x14ac:dyDescent="0.3">
      <c r="A852" t="s">
        <v>921</v>
      </c>
      <c r="B852">
        <v>38</v>
      </c>
      <c r="C852" t="s">
        <v>800</v>
      </c>
      <c r="D852" t="s">
        <v>48</v>
      </c>
      <c r="E852">
        <f t="shared" si="13"/>
        <v>0</v>
      </c>
      <c r="F852" t="s">
        <v>55</v>
      </c>
      <c r="G852">
        <v>653</v>
      </c>
      <c r="H852" t="s">
        <v>41</v>
      </c>
      <c r="I852">
        <v>29</v>
      </c>
      <c r="J852">
        <v>5</v>
      </c>
      <c r="K852" t="s">
        <v>42</v>
      </c>
      <c r="L852">
        <v>1</v>
      </c>
      <c r="M852">
        <v>79</v>
      </c>
      <c r="N852">
        <v>4</v>
      </c>
      <c r="O852" t="s">
        <v>52</v>
      </c>
      <c r="P852">
        <v>50</v>
      </c>
      <c r="Q852">
        <v>3</v>
      </c>
      <c r="R852">
        <v>2</v>
      </c>
      <c r="S852" t="s">
        <v>44</v>
      </c>
      <c r="T852">
        <v>4</v>
      </c>
      <c r="U852" t="s">
        <v>45</v>
      </c>
      <c r="V852">
        <v>2406</v>
      </c>
      <c r="W852" t="s">
        <v>46</v>
      </c>
      <c r="X852">
        <v>5456</v>
      </c>
      <c r="Y852">
        <v>1</v>
      </c>
      <c r="Z852" t="s">
        <v>47</v>
      </c>
      <c r="AA852" t="s">
        <v>48</v>
      </c>
      <c r="AB852">
        <v>11</v>
      </c>
      <c r="AC852">
        <v>3</v>
      </c>
      <c r="AD852">
        <v>4</v>
      </c>
      <c r="AE852">
        <v>80</v>
      </c>
      <c r="AF852">
        <v>0</v>
      </c>
      <c r="AG852">
        <v>10</v>
      </c>
      <c r="AH852">
        <v>2</v>
      </c>
      <c r="AI852">
        <v>3</v>
      </c>
      <c r="AJ852">
        <v>10</v>
      </c>
      <c r="AK852">
        <v>3</v>
      </c>
      <c r="AL852">
        <v>9</v>
      </c>
    </row>
    <row r="853" spans="1:38" x14ac:dyDescent="0.3">
      <c r="A853" t="s">
        <v>922</v>
      </c>
      <c r="B853">
        <v>38</v>
      </c>
      <c r="C853" t="s">
        <v>800</v>
      </c>
      <c r="D853" t="s">
        <v>48</v>
      </c>
      <c r="E853">
        <f t="shared" si="13"/>
        <v>0</v>
      </c>
      <c r="F853" t="s">
        <v>58</v>
      </c>
      <c r="G853">
        <v>573</v>
      </c>
      <c r="H853" t="s">
        <v>41</v>
      </c>
      <c r="I853">
        <v>6</v>
      </c>
      <c r="J853">
        <v>3</v>
      </c>
      <c r="K853" t="s">
        <v>51</v>
      </c>
      <c r="L853">
        <v>1</v>
      </c>
      <c r="M853">
        <v>107</v>
      </c>
      <c r="N853">
        <v>2</v>
      </c>
      <c r="O853" t="s">
        <v>52</v>
      </c>
      <c r="P853">
        <v>79</v>
      </c>
      <c r="Q853">
        <v>1</v>
      </c>
      <c r="R853">
        <v>2</v>
      </c>
      <c r="S853" t="s">
        <v>59</v>
      </c>
      <c r="T853">
        <v>4</v>
      </c>
      <c r="U853" t="s">
        <v>101</v>
      </c>
      <c r="V853">
        <v>5329</v>
      </c>
      <c r="W853" t="s">
        <v>162</v>
      </c>
      <c r="X853">
        <v>15717</v>
      </c>
      <c r="Y853">
        <v>7</v>
      </c>
      <c r="Z853" t="s">
        <v>47</v>
      </c>
      <c r="AA853" t="s">
        <v>39</v>
      </c>
      <c r="AB853">
        <v>12</v>
      </c>
      <c r="AC853">
        <v>3</v>
      </c>
      <c r="AD853">
        <v>4</v>
      </c>
      <c r="AE853">
        <v>80</v>
      </c>
      <c r="AF853">
        <v>3</v>
      </c>
      <c r="AG853">
        <v>17</v>
      </c>
      <c r="AH853">
        <v>3</v>
      </c>
      <c r="AI853">
        <v>3</v>
      </c>
      <c r="AJ853">
        <v>13</v>
      </c>
      <c r="AK853">
        <v>11</v>
      </c>
      <c r="AL853">
        <v>1</v>
      </c>
    </row>
    <row r="854" spans="1:38" x14ac:dyDescent="0.3">
      <c r="A854" t="s">
        <v>923</v>
      </c>
      <c r="B854">
        <v>38</v>
      </c>
      <c r="C854" t="s">
        <v>800</v>
      </c>
      <c r="D854" t="s">
        <v>48</v>
      </c>
      <c r="E854">
        <f t="shared" si="13"/>
        <v>0</v>
      </c>
      <c r="F854" t="s">
        <v>40</v>
      </c>
      <c r="G854">
        <v>364</v>
      </c>
      <c r="H854" t="s">
        <v>41</v>
      </c>
      <c r="I854">
        <v>3</v>
      </c>
      <c r="J854">
        <v>5</v>
      </c>
      <c r="K854" t="s">
        <v>67</v>
      </c>
      <c r="L854">
        <v>1</v>
      </c>
      <c r="M854">
        <v>193</v>
      </c>
      <c r="N854">
        <v>4</v>
      </c>
      <c r="O854" t="s">
        <v>52</v>
      </c>
      <c r="P854">
        <v>32</v>
      </c>
      <c r="Q854">
        <v>3</v>
      </c>
      <c r="R854">
        <v>2</v>
      </c>
      <c r="S854" t="s">
        <v>59</v>
      </c>
      <c r="T854">
        <v>3</v>
      </c>
      <c r="U854" t="s">
        <v>45</v>
      </c>
      <c r="V854">
        <v>4317</v>
      </c>
      <c r="W854" t="s">
        <v>46</v>
      </c>
      <c r="X854">
        <v>2302</v>
      </c>
      <c r="Y854">
        <v>3</v>
      </c>
      <c r="Z854" t="s">
        <v>47</v>
      </c>
      <c r="AA854" t="s">
        <v>39</v>
      </c>
      <c r="AB854">
        <v>20</v>
      </c>
      <c r="AC854">
        <v>4</v>
      </c>
      <c r="AD854">
        <v>2</v>
      </c>
      <c r="AE854">
        <v>80</v>
      </c>
      <c r="AF854">
        <v>0</v>
      </c>
      <c r="AG854">
        <v>19</v>
      </c>
      <c r="AH854">
        <v>2</v>
      </c>
      <c r="AI854">
        <v>3</v>
      </c>
      <c r="AJ854">
        <v>3</v>
      </c>
      <c r="AK854">
        <v>2</v>
      </c>
      <c r="AL854">
        <v>2</v>
      </c>
    </row>
    <row r="855" spans="1:38" x14ac:dyDescent="0.3">
      <c r="A855" t="s">
        <v>924</v>
      </c>
      <c r="B855">
        <v>38</v>
      </c>
      <c r="C855" t="s">
        <v>800</v>
      </c>
      <c r="D855" t="s">
        <v>48</v>
      </c>
      <c r="E855">
        <f t="shared" si="13"/>
        <v>0</v>
      </c>
      <c r="F855" t="s">
        <v>40</v>
      </c>
      <c r="G855">
        <v>702</v>
      </c>
      <c r="H855" t="s">
        <v>50</v>
      </c>
      <c r="I855">
        <v>1</v>
      </c>
      <c r="J855">
        <v>4</v>
      </c>
      <c r="K855" t="s">
        <v>42</v>
      </c>
      <c r="L855">
        <v>1</v>
      </c>
      <c r="M855">
        <v>230</v>
      </c>
      <c r="N855">
        <v>1</v>
      </c>
      <c r="O855" t="s">
        <v>52</v>
      </c>
      <c r="P855">
        <v>59</v>
      </c>
      <c r="Q855">
        <v>2</v>
      </c>
      <c r="R855">
        <v>2</v>
      </c>
      <c r="S855" t="s">
        <v>136</v>
      </c>
      <c r="T855">
        <v>4</v>
      </c>
      <c r="U855" t="s">
        <v>45</v>
      </c>
      <c r="V855">
        <v>8686</v>
      </c>
      <c r="W855" t="s">
        <v>162</v>
      </c>
      <c r="X855">
        <v>12930</v>
      </c>
      <c r="Y855">
        <v>4</v>
      </c>
      <c r="Z855" t="s">
        <v>47</v>
      </c>
      <c r="AA855" t="s">
        <v>48</v>
      </c>
      <c r="AB855">
        <v>22</v>
      </c>
      <c r="AC855">
        <v>4</v>
      </c>
      <c r="AD855">
        <v>3</v>
      </c>
      <c r="AE855">
        <v>80</v>
      </c>
      <c r="AF855">
        <v>0</v>
      </c>
      <c r="AG855">
        <v>12</v>
      </c>
      <c r="AH855">
        <v>2</v>
      </c>
      <c r="AI855">
        <v>4</v>
      </c>
      <c r="AJ855">
        <v>8</v>
      </c>
      <c r="AK855">
        <v>3</v>
      </c>
      <c r="AL855">
        <v>0</v>
      </c>
    </row>
    <row r="856" spans="1:38" x14ac:dyDescent="0.3">
      <c r="A856" t="s">
        <v>925</v>
      </c>
      <c r="B856">
        <v>38</v>
      </c>
      <c r="C856" t="s">
        <v>800</v>
      </c>
      <c r="D856" t="s">
        <v>48</v>
      </c>
      <c r="E856">
        <f t="shared" si="13"/>
        <v>0</v>
      </c>
      <c r="F856" t="s">
        <v>40</v>
      </c>
      <c r="G856">
        <v>1380</v>
      </c>
      <c r="H856" t="s">
        <v>41</v>
      </c>
      <c r="I856">
        <v>9</v>
      </c>
      <c r="J856">
        <v>2</v>
      </c>
      <c r="K856" t="s">
        <v>42</v>
      </c>
      <c r="L856">
        <v>1</v>
      </c>
      <c r="M856">
        <v>245</v>
      </c>
      <c r="N856">
        <v>3</v>
      </c>
      <c r="O856" t="s">
        <v>52</v>
      </c>
      <c r="P856">
        <v>75</v>
      </c>
      <c r="Q856">
        <v>3</v>
      </c>
      <c r="R856">
        <v>1</v>
      </c>
      <c r="S856" t="s">
        <v>44</v>
      </c>
      <c r="T856">
        <v>4</v>
      </c>
      <c r="U856" t="s">
        <v>45</v>
      </c>
      <c r="V856">
        <v>2288</v>
      </c>
      <c r="W856" t="s">
        <v>46</v>
      </c>
      <c r="X856">
        <v>6319</v>
      </c>
      <c r="Y856">
        <v>1</v>
      </c>
      <c r="Z856" t="s">
        <v>47</v>
      </c>
      <c r="AA856" t="s">
        <v>48</v>
      </c>
      <c r="AB856">
        <v>12</v>
      </c>
      <c r="AC856">
        <v>3</v>
      </c>
      <c r="AD856">
        <v>3</v>
      </c>
      <c r="AE856">
        <v>80</v>
      </c>
      <c r="AF856">
        <v>0</v>
      </c>
      <c r="AG856">
        <v>2</v>
      </c>
      <c r="AH856">
        <v>3</v>
      </c>
      <c r="AI856">
        <v>3</v>
      </c>
      <c r="AJ856">
        <v>2</v>
      </c>
      <c r="AK856">
        <v>2</v>
      </c>
      <c r="AL856">
        <v>2</v>
      </c>
    </row>
    <row r="857" spans="1:38" x14ac:dyDescent="0.3">
      <c r="A857" t="s">
        <v>926</v>
      </c>
      <c r="B857">
        <v>38</v>
      </c>
      <c r="C857" t="s">
        <v>800</v>
      </c>
      <c r="D857" t="s">
        <v>48</v>
      </c>
      <c r="E857">
        <f t="shared" si="13"/>
        <v>0</v>
      </c>
      <c r="F857" t="s">
        <v>40</v>
      </c>
      <c r="G857">
        <v>1261</v>
      </c>
      <c r="H857" t="s">
        <v>41</v>
      </c>
      <c r="I857">
        <v>2</v>
      </c>
      <c r="J857">
        <v>4</v>
      </c>
      <c r="K857" t="s">
        <v>42</v>
      </c>
      <c r="L857">
        <v>1</v>
      </c>
      <c r="M857">
        <v>271</v>
      </c>
      <c r="N857">
        <v>4</v>
      </c>
      <c r="O857" t="s">
        <v>43</v>
      </c>
      <c r="P857">
        <v>88</v>
      </c>
      <c r="Q857">
        <v>3</v>
      </c>
      <c r="R857">
        <v>2</v>
      </c>
      <c r="S857" t="s">
        <v>111</v>
      </c>
      <c r="T857">
        <v>3</v>
      </c>
      <c r="U857" t="s">
        <v>104</v>
      </c>
      <c r="V857">
        <v>6553</v>
      </c>
      <c r="W857" t="s">
        <v>162</v>
      </c>
      <c r="X857">
        <v>7259</v>
      </c>
      <c r="Y857">
        <v>9</v>
      </c>
      <c r="Z857" t="s">
        <v>47</v>
      </c>
      <c r="AA857" t="s">
        <v>48</v>
      </c>
      <c r="AB857">
        <v>14</v>
      </c>
      <c r="AC857">
        <v>3</v>
      </c>
      <c r="AD857">
        <v>2</v>
      </c>
      <c r="AE857">
        <v>80</v>
      </c>
      <c r="AF857">
        <v>0</v>
      </c>
      <c r="AG857">
        <v>14</v>
      </c>
      <c r="AH857">
        <v>3</v>
      </c>
      <c r="AI857">
        <v>3</v>
      </c>
      <c r="AJ857">
        <v>1</v>
      </c>
      <c r="AK857">
        <v>0</v>
      </c>
      <c r="AL857">
        <v>0</v>
      </c>
    </row>
    <row r="858" spans="1:38" x14ac:dyDescent="0.3">
      <c r="A858" t="s">
        <v>927</v>
      </c>
      <c r="B858">
        <v>38</v>
      </c>
      <c r="C858" t="s">
        <v>800</v>
      </c>
      <c r="D858" t="s">
        <v>48</v>
      </c>
      <c r="E858">
        <f t="shared" si="13"/>
        <v>0</v>
      </c>
      <c r="F858" t="s">
        <v>40</v>
      </c>
      <c r="G858">
        <v>1084</v>
      </c>
      <c r="H858" t="s">
        <v>41</v>
      </c>
      <c r="I858">
        <v>29</v>
      </c>
      <c r="J858">
        <v>3</v>
      </c>
      <c r="K858" t="s">
        <v>67</v>
      </c>
      <c r="L858">
        <v>1</v>
      </c>
      <c r="M858">
        <v>273</v>
      </c>
      <c r="N858">
        <v>4</v>
      </c>
      <c r="O858" t="s">
        <v>43</v>
      </c>
      <c r="P858">
        <v>54</v>
      </c>
      <c r="Q858">
        <v>3</v>
      </c>
      <c r="R858">
        <v>2</v>
      </c>
      <c r="S858" t="s">
        <v>111</v>
      </c>
      <c r="T858">
        <v>4</v>
      </c>
      <c r="U858" t="s">
        <v>104</v>
      </c>
      <c r="V858">
        <v>6261</v>
      </c>
      <c r="W858" t="s">
        <v>162</v>
      </c>
      <c r="X858">
        <v>4185</v>
      </c>
      <c r="Y858">
        <v>3</v>
      </c>
      <c r="Z858" t="s">
        <v>47</v>
      </c>
      <c r="AA858" t="s">
        <v>48</v>
      </c>
      <c r="AB858">
        <v>18</v>
      </c>
      <c r="AC858">
        <v>3</v>
      </c>
      <c r="AD858">
        <v>1</v>
      </c>
      <c r="AE858">
        <v>80</v>
      </c>
      <c r="AF858">
        <v>1</v>
      </c>
      <c r="AG858">
        <v>9</v>
      </c>
      <c r="AH858">
        <v>3</v>
      </c>
      <c r="AI858">
        <v>1</v>
      </c>
      <c r="AJ858">
        <v>7</v>
      </c>
      <c r="AK858">
        <v>7</v>
      </c>
      <c r="AL858">
        <v>1</v>
      </c>
    </row>
    <row r="859" spans="1:38" x14ac:dyDescent="0.3">
      <c r="A859" t="s">
        <v>928</v>
      </c>
      <c r="B859">
        <v>38</v>
      </c>
      <c r="C859" t="s">
        <v>800</v>
      </c>
      <c r="D859" t="s">
        <v>39</v>
      </c>
      <c r="E859">
        <f t="shared" si="13"/>
        <v>1</v>
      </c>
      <c r="F859" t="s">
        <v>40</v>
      </c>
      <c r="G859">
        <v>1180</v>
      </c>
      <c r="H859" t="s">
        <v>41</v>
      </c>
      <c r="I859">
        <v>29</v>
      </c>
      <c r="J859">
        <v>1</v>
      </c>
      <c r="K859" t="s">
        <v>51</v>
      </c>
      <c r="L859">
        <v>1</v>
      </c>
      <c r="M859">
        <v>282</v>
      </c>
      <c r="N859">
        <v>2</v>
      </c>
      <c r="O859" t="s">
        <v>43</v>
      </c>
      <c r="P859">
        <v>70</v>
      </c>
      <c r="Q859">
        <v>3</v>
      </c>
      <c r="R859">
        <v>2</v>
      </c>
      <c r="S859" t="s">
        <v>160</v>
      </c>
      <c r="T859">
        <v>1</v>
      </c>
      <c r="U859" t="s">
        <v>104</v>
      </c>
      <c r="V859">
        <v>6673</v>
      </c>
      <c r="W859" t="s">
        <v>162</v>
      </c>
      <c r="X859">
        <v>11354</v>
      </c>
      <c r="Y859">
        <v>7</v>
      </c>
      <c r="Z859" t="s">
        <v>47</v>
      </c>
      <c r="AA859" t="s">
        <v>39</v>
      </c>
      <c r="AB859">
        <v>19</v>
      </c>
      <c r="AC859">
        <v>3</v>
      </c>
      <c r="AD859">
        <v>2</v>
      </c>
      <c r="AE859">
        <v>80</v>
      </c>
      <c r="AF859">
        <v>0</v>
      </c>
      <c r="AG859">
        <v>17</v>
      </c>
      <c r="AH859">
        <v>2</v>
      </c>
      <c r="AI859">
        <v>3</v>
      </c>
      <c r="AJ859">
        <v>1</v>
      </c>
      <c r="AK859">
        <v>0</v>
      </c>
      <c r="AL859">
        <v>0</v>
      </c>
    </row>
    <row r="860" spans="1:38" x14ac:dyDescent="0.3">
      <c r="A860" t="s">
        <v>929</v>
      </c>
      <c r="B860">
        <v>38</v>
      </c>
      <c r="C860" t="s">
        <v>800</v>
      </c>
      <c r="D860" t="s">
        <v>48</v>
      </c>
      <c r="E860">
        <f t="shared" si="13"/>
        <v>0</v>
      </c>
      <c r="F860" t="s">
        <v>40</v>
      </c>
      <c r="G860">
        <v>119</v>
      </c>
      <c r="H860" t="s">
        <v>50</v>
      </c>
      <c r="I860">
        <v>3</v>
      </c>
      <c r="J860">
        <v>3</v>
      </c>
      <c r="K860" t="s">
        <v>42</v>
      </c>
      <c r="L860">
        <v>1</v>
      </c>
      <c r="M860">
        <v>307</v>
      </c>
      <c r="N860">
        <v>1</v>
      </c>
      <c r="O860" t="s">
        <v>43</v>
      </c>
      <c r="P860">
        <v>76</v>
      </c>
      <c r="Q860">
        <v>3</v>
      </c>
      <c r="R860">
        <v>3</v>
      </c>
      <c r="S860" t="s">
        <v>136</v>
      </c>
      <c r="T860">
        <v>3</v>
      </c>
      <c r="U860" t="s">
        <v>101</v>
      </c>
      <c r="V860">
        <v>10609</v>
      </c>
      <c r="W860" t="s">
        <v>252</v>
      </c>
      <c r="X860">
        <v>9647</v>
      </c>
      <c r="Y860">
        <v>0</v>
      </c>
      <c r="Z860" t="s">
        <v>47</v>
      </c>
      <c r="AA860" t="s">
        <v>48</v>
      </c>
      <c r="AB860">
        <v>12</v>
      </c>
      <c r="AC860">
        <v>3</v>
      </c>
      <c r="AD860">
        <v>3</v>
      </c>
      <c r="AE860">
        <v>80</v>
      </c>
      <c r="AF860">
        <v>2</v>
      </c>
      <c r="AG860">
        <v>17</v>
      </c>
      <c r="AH860">
        <v>6</v>
      </c>
      <c r="AI860">
        <v>2</v>
      </c>
      <c r="AJ860">
        <v>16</v>
      </c>
      <c r="AK860">
        <v>10</v>
      </c>
      <c r="AL860">
        <v>5</v>
      </c>
    </row>
    <row r="861" spans="1:38" x14ac:dyDescent="0.3">
      <c r="A861" t="s">
        <v>930</v>
      </c>
      <c r="B861">
        <v>38</v>
      </c>
      <c r="C861" t="s">
        <v>800</v>
      </c>
      <c r="D861" t="s">
        <v>48</v>
      </c>
      <c r="E861">
        <f t="shared" si="13"/>
        <v>0</v>
      </c>
      <c r="F861" t="s">
        <v>58</v>
      </c>
      <c r="G861">
        <v>1327</v>
      </c>
      <c r="H861" t="s">
        <v>50</v>
      </c>
      <c r="I861">
        <v>2</v>
      </c>
      <c r="J861">
        <v>2</v>
      </c>
      <c r="K861" t="s">
        <v>42</v>
      </c>
      <c r="L861">
        <v>1</v>
      </c>
      <c r="M861">
        <v>361</v>
      </c>
      <c r="N861">
        <v>4</v>
      </c>
      <c r="O861" t="s">
        <v>43</v>
      </c>
      <c r="P861">
        <v>39</v>
      </c>
      <c r="Q861">
        <v>2</v>
      </c>
      <c r="R861">
        <v>2</v>
      </c>
      <c r="S861" t="s">
        <v>136</v>
      </c>
      <c r="T861">
        <v>4</v>
      </c>
      <c r="U861" t="s">
        <v>104</v>
      </c>
      <c r="V861">
        <v>5249</v>
      </c>
      <c r="W861" t="s">
        <v>162</v>
      </c>
      <c r="X861">
        <v>19682</v>
      </c>
      <c r="Y861">
        <v>3</v>
      </c>
      <c r="Z861" t="s">
        <v>47</v>
      </c>
      <c r="AA861" t="s">
        <v>48</v>
      </c>
      <c r="AB861">
        <v>18</v>
      </c>
      <c r="AC861">
        <v>3</v>
      </c>
      <c r="AD861">
        <v>4</v>
      </c>
      <c r="AE861">
        <v>80</v>
      </c>
      <c r="AF861">
        <v>1</v>
      </c>
      <c r="AG861">
        <v>13</v>
      </c>
      <c r="AH861">
        <v>0</v>
      </c>
      <c r="AI861">
        <v>3</v>
      </c>
      <c r="AJ861">
        <v>8</v>
      </c>
      <c r="AK861">
        <v>7</v>
      </c>
      <c r="AL861">
        <v>7</v>
      </c>
    </row>
    <row r="862" spans="1:38" x14ac:dyDescent="0.3">
      <c r="A862" t="s">
        <v>931</v>
      </c>
      <c r="B862">
        <v>38</v>
      </c>
      <c r="C862" t="s">
        <v>800</v>
      </c>
      <c r="D862" t="s">
        <v>48</v>
      </c>
      <c r="E862">
        <f t="shared" si="13"/>
        <v>0</v>
      </c>
      <c r="F862" t="s">
        <v>40</v>
      </c>
      <c r="G862">
        <v>322</v>
      </c>
      <c r="H862" t="s">
        <v>50</v>
      </c>
      <c r="I862">
        <v>7</v>
      </c>
      <c r="J862">
        <v>2</v>
      </c>
      <c r="K862" t="s">
        <v>51</v>
      </c>
      <c r="L862">
        <v>1</v>
      </c>
      <c r="M862">
        <v>382</v>
      </c>
      <c r="N862">
        <v>1</v>
      </c>
      <c r="O862" t="s">
        <v>52</v>
      </c>
      <c r="P862">
        <v>44</v>
      </c>
      <c r="Q862">
        <v>4</v>
      </c>
      <c r="R862">
        <v>2</v>
      </c>
      <c r="S862" t="s">
        <v>136</v>
      </c>
      <c r="T862">
        <v>1</v>
      </c>
      <c r="U862" t="s">
        <v>101</v>
      </c>
      <c r="V862">
        <v>5605</v>
      </c>
      <c r="W862" t="s">
        <v>162</v>
      </c>
      <c r="X862">
        <v>19191</v>
      </c>
      <c r="Y862">
        <v>1</v>
      </c>
      <c r="Z862" t="s">
        <v>47</v>
      </c>
      <c r="AA862" t="s">
        <v>39</v>
      </c>
      <c r="AB862">
        <v>24</v>
      </c>
      <c r="AC862">
        <v>4</v>
      </c>
      <c r="AD862">
        <v>3</v>
      </c>
      <c r="AE862">
        <v>80</v>
      </c>
      <c r="AF862">
        <v>1</v>
      </c>
      <c r="AG862">
        <v>8</v>
      </c>
      <c r="AH862">
        <v>3</v>
      </c>
      <c r="AI862">
        <v>3</v>
      </c>
      <c r="AJ862">
        <v>8</v>
      </c>
      <c r="AK862">
        <v>0</v>
      </c>
      <c r="AL862">
        <v>7</v>
      </c>
    </row>
    <row r="863" spans="1:38" x14ac:dyDescent="0.3">
      <c r="A863" t="s">
        <v>932</v>
      </c>
      <c r="B863">
        <v>38</v>
      </c>
      <c r="C863" t="s">
        <v>800</v>
      </c>
      <c r="D863" t="s">
        <v>48</v>
      </c>
      <c r="E863">
        <f t="shared" si="13"/>
        <v>0</v>
      </c>
      <c r="F863" t="s">
        <v>40</v>
      </c>
      <c r="G863">
        <v>688</v>
      </c>
      <c r="H863" t="s">
        <v>41</v>
      </c>
      <c r="I863">
        <v>23</v>
      </c>
      <c r="J863">
        <v>4</v>
      </c>
      <c r="K863" t="s">
        <v>42</v>
      </c>
      <c r="L863">
        <v>1</v>
      </c>
      <c r="M863">
        <v>393</v>
      </c>
      <c r="N863">
        <v>4</v>
      </c>
      <c r="O863" t="s">
        <v>43</v>
      </c>
      <c r="P863">
        <v>82</v>
      </c>
      <c r="Q863">
        <v>3</v>
      </c>
      <c r="R863">
        <v>2</v>
      </c>
      <c r="S863" t="s">
        <v>160</v>
      </c>
      <c r="T863">
        <v>4</v>
      </c>
      <c r="U863" t="s">
        <v>101</v>
      </c>
      <c r="V863">
        <v>5745</v>
      </c>
      <c r="W863" t="s">
        <v>162</v>
      </c>
      <c r="X863">
        <v>18899</v>
      </c>
      <c r="Y863">
        <v>9</v>
      </c>
      <c r="Z863" t="s">
        <v>47</v>
      </c>
      <c r="AA863" t="s">
        <v>48</v>
      </c>
      <c r="AB863">
        <v>14</v>
      </c>
      <c r="AC863">
        <v>3</v>
      </c>
      <c r="AD863">
        <v>2</v>
      </c>
      <c r="AE863">
        <v>80</v>
      </c>
      <c r="AF863">
        <v>1</v>
      </c>
      <c r="AG863">
        <v>10</v>
      </c>
      <c r="AH863">
        <v>2</v>
      </c>
      <c r="AI863">
        <v>3</v>
      </c>
      <c r="AJ863">
        <v>2</v>
      </c>
      <c r="AK863">
        <v>2</v>
      </c>
      <c r="AL863">
        <v>1</v>
      </c>
    </row>
    <row r="864" spans="1:38" x14ac:dyDescent="0.3">
      <c r="A864" t="s">
        <v>933</v>
      </c>
      <c r="B864">
        <v>38</v>
      </c>
      <c r="C864" t="s">
        <v>800</v>
      </c>
      <c r="D864" t="s">
        <v>48</v>
      </c>
      <c r="E864">
        <f t="shared" si="13"/>
        <v>0</v>
      </c>
      <c r="F864" t="s">
        <v>40</v>
      </c>
      <c r="G864">
        <v>849</v>
      </c>
      <c r="H864" t="s">
        <v>41</v>
      </c>
      <c r="I864">
        <v>25</v>
      </c>
      <c r="J864">
        <v>2</v>
      </c>
      <c r="K864" t="s">
        <v>42</v>
      </c>
      <c r="L864">
        <v>1</v>
      </c>
      <c r="M864">
        <v>421</v>
      </c>
      <c r="N864">
        <v>1</v>
      </c>
      <c r="O864" t="s">
        <v>52</v>
      </c>
      <c r="P864">
        <v>81</v>
      </c>
      <c r="Q864">
        <v>2</v>
      </c>
      <c r="R864">
        <v>3</v>
      </c>
      <c r="S864" t="s">
        <v>251</v>
      </c>
      <c r="T864">
        <v>2</v>
      </c>
      <c r="U864" t="s">
        <v>104</v>
      </c>
      <c r="V864">
        <v>12061</v>
      </c>
      <c r="W864" t="s">
        <v>252</v>
      </c>
      <c r="X864">
        <v>26707</v>
      </c>
      <c r="Y864">
        <v>3</v>
      </c>
      <c r="Z864" t="s">
        <v>47</v>
      </c>
      <c r="AA864" t="s">
        <v>48</v>
      </c>
      <c r="AB864">
        <v>17</v>
      </c>
      <c r="AC864">
        <v>3</v>
      </c>
      <c r="AD864">
        <v>3</v>
      </c>
      <c r="AE864">
        <v>80</v>
      </c>
      <c r="AF864">
        <v>1</v>
      </c>
      <c r="AG864">
        <v>19</v>
      </c>
      <c r="AH864">
        <v>2</v>
      </c>
      <c r="AI864">
        <v>3</v>
      </c>
      <c r="AJ864">
        <v>10</v>
      </c>
      <c r="AK864">
        <v>8</v>
      </c>
      <c r="AL864">
        <v>0</v>
      </c>
    </row>
    <row r="865" spans="1:38" x14ac:dyDescent="0.3">
      <c r="A865" t="s">
        <v>934</v>
      </c>
      <c r="B865">
        <v>38</v>
      </c>
      <c r="C865" t="s">
        <v>800</v>
      </c>
      <c r="D865" t="s">
        <v>48</v>
      </c>
      <c r="E865">
        <f t="shared" si="13"/>
        <v>0</v>
      </c>
      <c r="F865" t="s">
        <v>40</v>
      </c>
      <c r="G865">
        <v>343</v>
      </c>
      <c r="H865" t="s">
        <v>41</v>
      </c>
      <c r="I865">
        <v>15</v>
      </c>
      <c r="J865">
        <v>2</v>
      </c>
      <c r="K865" t="s">
        <v>42</v>
      </c>
      <c r="L865">
        <v>1</v>
      </c>
      <c r="M865">
        <v>461</v>
      </c>
      <c r="N865">
        <v>3</v>
      </c>
      <c r="O865" t="s">
        <v>43</v>
      </c>
      <c r="P865">
        <v>92</v>
      </c>
      <c r="Q865">
        <v>2</v>
      </c>
      <c r="R865">
        <v>3</v>
      </c>
      <c r="S865" t="s">
        <v>251</v>
      </c>
      <c r="T865">
        <v>4</v>
      </c>
      <c r="U865" t="s">
        <v>101</v>
      </c>
      <c r="V865">
        <v>11510</v>
      </c>
      <c r="W865" t="s">
        <v>252</v>
      </c>
      <c r="X865">
        <v>15682</v>
      </c>
      <c r="Y865">
        <v>0</v>
      </c>
      <c r="Z865" t="s">
        <v>47</v>
      </c>
      <c r="AA865" t="s">
        <v>39</v>
      </c>
      <c r="AB865">
        <v>14</v>
      </c>
      <c r="AC865">
        <v>3</v>
      </c>
      <c r="AD865">
        <v>2</v>
      </c>
      <c r="AE865">
        <v>80</v>
      </c>
      <c r="AF865">
        <v>1</v>
      </c>
      <c r="AG865">
        <v>12</v>
      </c>
      <c r="AH865">
        <v>3</v>
      </c>
      <c r="AI865">
        <v>3</v>
      </c>
      <c r="AJ865">
        <v>11</v>
      </c>
      <c r="AK865">
        <v>10</v>
      </c>
      <c r="AL865">
        <v>2</v>
      </c>
    </row>
    <row r="866" spans="1:38" x14ac:dyDescent="0.3">
      <c r="A866" t="s">
        <v>935</v>
      </c>
      <c r="B866">
        <v>38</v>
      </c>
      <c r="C866" t="s">
        <v>800</v>
      </c>
      <c r="D866" t="s">
        <v>48</v>
      </c>
      <c r="E866">
        <f t="shared" si="13"/>
        <v>0</v>
      </c>
      <c r="F866" t="s">
        <v>55</v>
      </c>
      <c r="G866">
        <v>1490</v>
      </c>
      <c r="H866" t="s">
        <v>41</v>
      </c>
      <c r="I866">
        <v>2</v>
      </c>
      <c r="J866">
        <v>2</v>
      </c>
      <c r="K866" t="s">
        <v>42</v>
      </c>
      <c r="L866">
        <v>1</v>
      </c>
      <c r="M866">
        <v>556</v>
      </c>
      <c r="N866">
        <v>4</v>
      </c>
      <c r="O866" t="s">
        <v>43</v>
      </c>
      <c r="P866">
        <v>42</v>
      </c>
      <c r="Q866">
        <v>3</v>
      </c>
      <c r="R866">
        <v>1</v>
      </c>
      <c r="S866" t="s">
        <v>44</v>
      </c>
      <c r="T866">
        <v>4</v>
      </c>
      <c r="U866" t="s">
        <v>104</v>
      </c>
      <c r="V866">
        <v>1702</v>
      </c>
      <c r="W866" t="s">
        <v>46</v>
      </c>
      <c r="X866">
        <v>12106</v>
      </c>
      <c r="Y866">
        <v>1</v>
      </c>
      <c r="Z866" t="s">
        <v>47</v>
      </c>
      <c r="AA866" t="s">
        <v>39</v>
      </c>
      <c r="AB866">
        <v>23</v>
      </c>
      <c r="AC866">
        <v>4</v>
      </c>
      <c r="AD866">
        <v>3</v>
      </c>
      <c r="AE866">
        <v>80</v>
      </c>
      <c r="AF866">
        <v>1</v>
      </c>
      <c r="AG866">
        <v>1</v>
      </c>
      <c r="AH866">
        <v>3</v>
      </c>
      <c r="AI866">
        <v>3</v>
      </c>
      <c r="AJ866">
        <v>1</v>
      </c>
      <c r="AK866">
        <v>0</v>
      </c>
      <c r="AL866">
        <v>0</v>
      </c>
    </row>
    <row r="867" spans="1:38" x14ac:dyDescent="0.3">
      <c r="A867" t="s">
        <v>936</v>
      </c>
      <c r="B867">
        <v>38</v>
      </c>
      <c r="C867" t="s">
        <v>800</v>
      </c>
      <c r="D867" t="s">
        <v>48</v>
      </c>
      <c r="E867">
        <f t="shared" si="13"/>
        <v>0</v>
      </c>
      <c r="F867" t="s">
        <v>40</v>
      </c>
      <c r="G867">
        <v>1495</v>
      </c>
      <c r="H867" t="s">
        <v>41</v>
      </c>
      <c r="I867">
        <v>10</v>
      </c>
      <c r="J867">
        <v>3</v>
      </c>
      <c r="K867" t="s">
        <v>51</v>
      </c>
      <c r="L867">
        <v>1</v>
      </c>
      <c r="M867">
        <v>634</v>
      </c>
      <c r="N867">
        <v>3</v>
      </c>
      <c r="O867" t="s">
        <v>52</v>
      </c>
      <c r="P867">
        <v>76</v>
      </c>
      <c r="Q867">
        <v>3</v>
      </c>
      <c r="R867">
        <v>2</v>
      </c>
      <c r="S867" t="s">
        <v>160</v>
      </c>
      <c r="T867">
        <v>3</v>
      </c>
      <c r="U867" t="s">
        <v>104</v>
      </c>
      <c r="V867">
        <v>9824</v>
      </c>
      <c r="W867" t="s">
        <v>162</v>
      </c>
      <c r="X867">
        <v>22174</v>
      </c>
      <c r="Y867">
        <v>3</v>
      </c>
      <c r="Z867" t="s">
        <v>47</v>
      </c>
      <c r="AA867" t="s">
        <v>48</v>
      </c>
      <c r="AB867">
        <v>19</v>
      </c>
      <c r="AC867">
        <v>3</v>
      </c>
      <c r="AD867">
        <v>3</v>
      </c>
      <c r="AE867">
        <v>80</v>
      </c>
      <c r="AF867">
        <v>1</v>
      </c>
      <c r="AG867">
        <v>18</v>
      </c>
      <c r="AH867">
        <v>4</v>
      </c>
      <c r="AI867">
        <v>3</v>
      </c>
      <c r="AJ867">
        <v>1</v>
      </c>
      <c r="AK867">
        <v>0</v>
      </c>
      <c r="AL867">
        <v>0</v>
      </c>
    </row>
    <row r="868" spans="1:38" x14ac:dyDescent="0.3">
      <c r="A868" t="s">
        <v>937</v>
      </c>
      <c r="B868">
        <v>38</v>
      </c>
      <c r="C868" t="s">
        <v>800</v>
      </c>
      <c r="D868" t="s">
        <v>48</v>
      </c>
      <c r="E868">
        <f t="shared" si="13"/>
        <v>0</v>
      </c>
      <c r="F868" t="s">
        <v>40</v>
      </c>
      <c r="G868">
        <v>362</v>
      </c>
      <c r="H868" t="s">
        <v>41</v>
      </c>
      <c r="I868">
        <v>1</v>
      </c>
      <c r="J868">
        <v>1</v>
      </c>
      <c r="K868" t="s">
        <v>42</v>
      </c>
      <c r="L868">
        <v>1</v>
      </c>
      <c r="M868">
        <v>662</v>
      </c>
      <c r="N868">
        <v>3</v>
      </c>
      <c r="O868" t="s">
        <v>52</v>
      </c>
      <c r="P868">
        <v>43</v>
      </c>
      <c r="Q868">
        <v>3</v>
      </c>
      <c r="R868">
        <v>1</v>
      </c>
      <c r="S868" t="s">
        <v>59</v>
      </c>
      <c r="T868">
        <v>1</v>
      </c>
      <c r="U868" t="s">
        <v>45</v>
      </c>
      <c r="V868">
        <v>2619</v>
      </c>
      <c r="W868" t="s">
        <v>46</v>
      </c>
      <c r="X868">
        <v>14561</v>
      </c>
      <c r="Y868">
        <v>3</v>
      </c>
      <c r="Z868" t="s">
        <v>47</v>
      </c>
      <c r="AA868" t="s">
        <v>48</v>
      </c>
      <c r="AB868">
        <v>17</v>
      </c>
      <c r="AC868">
        <v>3</v>
      </c>
      <c r="AD868">
        <v>4</v>
      </c>
      <c r="AE868">
        <v>80</v>
      </c>
      <c r="AF868">
        <v>0</v>
      </c>
      <c r="AG868">
        <v>8</v>
      </c>
      <c r="AH868">
        <v>3</v>
      </c>
      <c r="AI868">
        <v>2</v>
      </c>
      <c r="AJ868">
        <v>0</v>
      </c>
      <c r="AK868">
        <v>0</v>
      </c>
      <c r="AL868">
        <v>0</v>
      </c>
    </row>
    <row r="869" spans="1:38" x14ac:dyDescent="0.3">
      <c r="A869" t="s">
        <v>938</v>
      </c>
      <c r="B869">
        <v>38</v>
      </c>
      <c r="C869" t="s">
        <v>800</v>
      </c>
      <c r="D869" t="s">
        <v>48</v>
      </c>
      <c r="E869">
        <f t="shared" si="13"/>
        <v>0</v>
      </c>
      <c r="F869" t="s">
        <v>40</v>
      </c>
      <c r="G869">
        <v>243</v>
      </c>
      <c r="H869" t="s">
        <v>50</v>
      </c>
      <c r="I869">
        <v>7</v>
      </c>
      <c r="J869">
        <v>4</v>
      </c>
      <c r="K869" t="s">
        <v>56</v>
      </c>
      <c r="L869">
        <v>1</v>
      </c>
      <c r="M869">
        <v>709</v>
      </c>
      <c r="N869">
        <v>4</v>
      </c>
      <c r="O869" t="s">
        <v>52</v>
      </c>
      <c r="P869">
        <v>46</v>
      </c>
      <c r="Q869">
        <v>2</v>
      </c>
      <c r="R869">
        <v>2</v>
      </c>
      <c r="S869" t="s">
        <v>136</v>
      </c>
      <c r="T869">
        <v>4</v>
      </c>
      <c r="U869" t="s">
        <v>45</v>
      </c>
      <c r="V869">
        <v>4028</v>
      </c>
      <c r="W869" t="s">
        <v>46</v>
      </c>
      <c r="X869">
        <v>7791</v>
      </c>
      <c r="Y869">
        <v>0</v>
      </c>
      <c r="Z869" t="s">
        <v>47</v>
      </c>
      <c r="AA869" t="s">
        <v>48</v>
      </c>
      <c r="AB869">
        <v>20</v>
      </c>
      <c r="AC869">
        <v>4</v>
      </c>
      <c r="AD869">
        <v>1</v>
      </c>
      <c r="AE869">
        <v>80</v>
      </c>
      <c r="AF869">
        <v>0</v>
      </c>
      <c r="AG869">
        <v>8</v>
      </c>
      <c r="AH869">
        <v>2</v>
      </c>
      <c r="AI869">
        <v>3</v>
      </c>
      <c r="AJ869">
        <v>7</v>
      </c>
      <c r="AK869">
        <v>7</v>
      </c>
      <c r="AL869">
        <v>0</v>
      </c>
    </row>
    <row r="870" spans="1:38" x14ac:dyDescent="0.3">
      <c r="A870" t="s">
        <v>939</v>
      </c>
      <c r="B870">
        <v>38</v>
      </c>
      <c r="C870" t="s">
        <v>800</v>
      </c>
      <c r="D870" t="s">
        <v>48</v>
      </c>
      <c r="E870">
        <f t="shared" si="13"/>
        <v>0</v>
      </c>
      <c r="F870" t="s">
        <v>40</v>
      </c>
      <c r="G870">
        <v>827</v>
      </c>
      <c r="H870" t="s">
        <v>41</v>
      </c>
      <c r="I870">
        <v>1</v>
      </c>
      <c r="J870">
        <v>4</v>
      </c>
      <c r="K870" t="s">
        <v>42</v>
      </c>
      <c r="L870">
        <v>1</v>
      </c>
      <c r="M870">
        <v>724</v>
      </c>
      <c r="N870">
        <v>2</v>
      </c>
      <c r="O870" t="s">
        <v>52</v>
      </c>
      <c r="P870">
        <v>33</v>
      </c>
      <c r="Q870">
        <v>4</v>
      </c>
      <c r="R870">
        <v>2</v>
      </c>
      <c r="S870" t="s">
        <v>160</v>
      </c>
      <c r="T870">
        <v>4</v>
      </c>
      <c r="U870" t="s">
        <v>45</v>
      </c>
      <c r="V870">
        <v>7625</v>
      </c>
      <c r="W870" t="s">
        <v>162</v>
      </c>
      <c r="X870">
        <v>19383</v>
      </c>
      <c r="Y870">
        <v>0</v>
      </c>
      <c r="Z870" t="s">
        <v>47</v>
      </c>
      <c r="AA870" t="s">
        <v>48</v>
      </c>
      <c r="AB870">
        <v>13</v>
      </c>
      <c r="AC870">
        <v>3</v>
      </c>
      <c r="AD870">
        <v>3</v>
      </c>
      <c r="AE870">
        <v>80</v>
      </c>
      <c r="AF870">
        <v>0</v>
      </c>
      <c r="AG870">
        <v>10</v>
      </c>
      <c r="AH870">
        <v>4</v>
      </c>
      <c r="AI870">
        <v>2</v>
      </c>
      <c r="AJ870">
        <v>9</v>
      </c>
      <c r="AK870">
        <v>7</v>
      </c>
      <c r="AL870">
        <v>1</v>
      </c>
    </row>
    <row r="871" spans="1:38" x14ac:dyDescent="0.3">
      <c r="A871" t="s">
        <v>940</v>
      </c>
      <c r="B871">
        <v>38</v>
      </c>
      <c r="C871" t="s">
        <v>800</v>
      </c>
      <c r="D871" t="s">
        <v>48</v>
      </c>
      <c r="E871">
        <f t="shared" si="13"/>
        <v>0</v>
      </c>
      <c r="F871" t="s">
        <v>40</v>
      </c>
      <c r="G871">
        <v>168</v>
      </c>
      <c r="H871" t="s">
        <v>41</v>
      </c>
      <c r="I871">
        <v>1</v>
      </c>
      <c r="J871">
        <v>3</v>
      </c>
      <c r="K871" t="s">
        <v>42</v>
      </c>
      <c r="L871">
        <v>1</v>
      </c>
      <c r="M871">
        <v>743</v>
      </c>
      <c r="N871">
        <v>3</v>
      </c>
      <c r="O871" t="s">
        <v>52</v>
      </c>
      <c r="P871">
        <v>81</v>
      </c>
      <c r="Q871">
        <v>3</v>
      </c>
      <c r="R871">
        <v>3</v>
      </c>
      <c r="S871" t="s">
        <v>111</v>
      </c>
      <c r="T871">
        <v>3</v>
      </c>
      <c r="U871" t="s">
        <v>45</v>
      </c>
      <c r="V871">
        <v>7861</v>
      </c>
      <c r="W871" t="s">
        <v>162</v>
      </c>
      <c r="X871">
        <v>15397</v>
      </c>
      <c r="Y871">
        <v>4</v>
      </c>
      <c r="Z871" t="s">
        <v>47</v>
      </c>
      <c r="AA871" t="s">
        <v>39</v>
      </c>
      <c r="AB871">
        <v>14</v>
      </c>
      <c r="AC871">
        <v>3</v>
      </c>
      <c r="AD871">
        <v>4</v>
      </c>
      <c r="AE871">
        <v>80</v>
      </c>
      <c r="AF871">
        <v>0</v>
      </c>
      <c r="AG871">
        <v>10</v>
      </c>
      <c r="AH871">
        <v>4</v>
      </c>
      <c r="AI871">
        <v>4</v>
      </c>
      <c r="AJ871">
        <v>1</v>
      </c>
      <c r="AK871">
        <v>0</v>
      </c>
      <c r="AL871">
        <v>0</v>
      </c>
    </row>
    <row r="872" spans="1:38" x14ac:dyDescent="0.3">
      <c r="A872" t="s">
        <v>941</v>
      </c>
      <c r="B872">
        <v>38</v>
      </c>
      <c r="C872" t="s">
        <v>800</v>
      </c>
      <c r="D872" t="s">
        <v>48</v>
      </c>
      <c r="E872">
        <f t="shared" si="13"/>
        <v>0</v>
      </c>
      <c r="F872" t="s">
        <v>40</v>
      </c>
      <c r="G872">
        <v>268</v>
      </c>
      <c r="H872" t="s">
        <v>41</v>
      </c>
      <c r="I872">
        <v>2</v>
      </c>
      <c r="J872">
        <v>5</v>
      </c>
      <c r="K872" t="s">
        <v>51</v>
      </c>
      <c r="L872">
        <v>1</v>
      </c>
      <c r="M872">
        <v>773</v>
      </c>
      <c r="N872">
        <v>4</v>
      </c>
      <c r="O872" t="s">
        <v>43</v>
      </c>
      <c r="P872">
        <v>92</v>
      </c>
      <c r="Q872">
        <v>3</v>
      </c>
      <c r="R872">
        <v>1</v>
      </c>
      <c r="S872" t="s">
        <v>59</v>
      </c>
      <c r="T872">
        <v>3</v>
      </c>
      <c r="U872" t="s">
        <v>104</v>
      </c>
      <c r="V872">
        <v>3057</v>
      </c>
      <c r="W872" t="s">
        <v>46</v>
      </c>
      <c r="X872">
        <v>20471</v>
      </c>
      <c r="Y872">
        <v>6</v>
      </c>
      <c r="Z872" t="s">
        <v>47</v>
      </c>
      <c r="AA872" t="s">
        <v>39</v>
      </c>
      <c r="AB872">
        <v>13</v>
      </c>
      <c r="AC872">
        <v>3</v>
      </c>
      <c r="AD872">
        <v>2</v>
      </c>
      <c r="AE872">
        <v>80</v>
      </c>
      <c r="AF872">
        <v>1</v>
      </c>
      <c r="AG872">
        <v>6</v>
      </c>
      <c r="AH872">
        <v>0</v>
      </c>
      <c r="AI872">
        <v>1</v>
      </c>
      <c r="AJ872">
        <v>1</v>
      </c>
      <c r="AK872">
        <v>0</v>
      </c>
      <c r="AL872">
        <v>0</v>
      </c>
    </row>
    <row r="873" spans="1:38" x14ac:dyDescent="0.3">
      <c r="A873" t="s">
        <v>942</v>
      </c>
      <c r="B873">
        <v>38</v>
      </c>
      <c r="C873" t="s">
        <v>800</v>
      </c>
      <c r="D873" t="s">
        <v>48</v>
      </c>
      <c r="E873">
        <f t="shared" si="13"/>
        <v>0</v>
      </c>
      <c r="F873" t="s">
        <v>55</v>
      </c>
      <c r="G873">
        <v>240</v>
      </c>
      <c r="H873" t="s">
        <v>41</v>
      </c>
      <c r="I873">
        <v>2</v>
      </c>
      <c r="J873">
        <v>4</v>
      </c>
      <c r="K873" t="s">
        <v>42</v>
      </c>
      <c r="L873">
        <v>1</v>
      </c>
      <c r="M873">
        <v>803</v>
      </c>
      <c r="N873">
        <v>1</v>
      </c>
      <c r="O873" t="s">
        <v>52</v>
      </c>
      <c r="P873">
        <v>75</v>
      </c>
      <c r="Q873">
        <v>4</v>
      </c>
      <c r="R873">
        <v>2</v>
      </c>
      <c r="S873" t="s">
        <v>111</v>
      </c>
      <c r="T873">
        <v>1</v>
      </c>
      <c r="U873" t="s">
        <v>45</v>
      </c>
      <c r="V873">
        <v>5980</v>
      </c>
      <c r="W873" t="s">
        <v>162</v>
      </c>
      <c r="X873">
        <v>26085</v>
      </c>
      <c r="Y873">
        <v>6</v>
      </c>
      <c r="Z873" t="s">
        <v>47</v>
      </c>
      <c r="AA873" t="s">
        <v>39</v>
      </c>
      <c r="AB873">
        <v>12</v>
      </c>
      <c r="AC873">
        <v>3</v>
      </c>
      <c r="AD873">
        <v>4</v>
      </c>
      <c r="AE873">
        <v>80</v>
      </c>
      <c r="AF873">
        <v>0</v>
      </c>
      <c r="AG873">
        <v>17</v>
      </c>
      <c r="AH873">
        <v>2</v>
      </c>
      <c r="AI873">
        <v>3</v>
      </c>
      <c r="AJ873">
        <v>15</v>
      </c>
      <c r="AK873">
        <v>7</v>
      </c>
      <c r="AL873">
        <v>4</v>
      </c>
    </row>
    <row r="874" spans="1:38" x14ac:dyDescent="0.3">
      <c r="A874" t="s">
        <v>943</v>
      </c>
      <c r="B874">
        <v>38</v>
      </c>
      <c r="C874" t="s">
        <v>800</v>
      </c>
      <c r="D874" t="s">
        <v>48</v>
      </c>
      <c r="E874">
        <f t="shared" si="13"/>
        <v>0</v>
      </c>
      <c r="F874" t="s">
        <v>55</v>
      </c>
      <c r="G874">
        <v>471</v>
      </c>
      <c r="H874" t="s">
        <v>41</v>
      </c>
      <c r="I874">
        <v>12</v>
      </c>
      <c r="J874">
        <v>3</v>
      </c>
      <c r="K874" t="s">
        <v>42</v>
      </c>
      <c r="L874">
        <v>1</v>
      </c>
      <c r="M874">
        <v>837</v>
      </c>
      <c r="N874">
        <v>1</v>
      </c>
      <c r="O874" t="s">
        <v>43</v>
      </c>
      <c r="P874">
        <v>45</v>
      </c>
      <c r="Q874">
        <v>2</v>
      </c>
      <c r="R874">
        <v>2</v>
      </c>
      <c r="S874" t="s">
        <v>160</v>
      </c>
      <c r="T874">
        <v>1</v>
      </c>
      <c r="U874" t="s">
        <v>101</v>
      </c>
      <c r="V874">
        <v>6288</v>
      </c>
      <c r="W874" t="s">
        <v>162</v>
      </c>
      <c r="X874">
        <v>4284</v>
      </c>
      <c r="Y874">
        <v>2</v>
      </c>
      <c r="Z874" t="s">
        <v>47</v>
      </c>
      <c r="AA874" t="s">
        <v>48</v>
      </c>
      <c r="AB874">
        <v>15</v>
      </c>
      <c r="AC874">
        <v>3</v>
      </c>
      <c r="AD874">
        <v>3</v>
      </c>
      <c r="AE874">
        <v>80</v>
      </c>
      <c r="AF874">
        <v>1</v>
      </c>
      <c r="AG874">
        <v>13</v>
      </c>
      <c r="AH874">
        <v>3</v>
      </c>
      <c r="AI874">
        <v>2</v>
      </c>
      <c r="AJ874">
        <v>4</v>
      </c>
      <c r="AK874">
        <v>3</v>
      </c>
      <c r="AL874">
        <v>1</v>
      </c>
    </row>
    <row r="875" spans="1:38" x14ac:dyDescent="0.3">
      <c r="A875" t="s">
        <v>944</v>
      </c>
      <c r="B875">
        <v>38</v>
      </c>
      <c r="C875" t="s">
        <v>800</v>
      </c>
      <c r="D875" t="s">
        <v>48</v>
      </c>
      <c r="E875">
        <f t="shared" si="13"/>
        <v>0</v>
      </c>
      <c r="F875" t="s">
        <v>40</v>
      </c>
      <c r="G875">
        <v>395</v>
      </c>
      <c r="H875" t="s">
        <v>50</v>
      </c>
      <c r="I875">
        <v>9</v>
      </c>
      <c r="J875">
        <v>3</v>
      </c>
      <c r="K875" t="s">
        <v>56</v>
      </c>
      <c r="L875">
        <v>1</v>
      </c>
      <c r="M875">
        <v>893</v>
      </c>
      <c r="N875">
        <v>2</v>
      </c>
      <c r="O875" t="s">
        <v>43</v>
      </c>
      <c r="P875">
        <v>98</v>
      </c>
      <c r="Q875">
        <v>2</v>
      </c>
      <c r="R875">
        <v>1</v>
      </c>
      <c r="S875" t="s">
        <v>53</v>
      </c>
      <c r="T875">
        <v>2</v>
      </c>
      <c r="U875" t="s">
        <v>104</v>
      </c>
      <c r="V875">
        <v>2899</v>
      </c>
      <c r="W875" t="s">
        <v>46</v>
      </c>
      <c r="X875">
        <v>12102</v>
      </c>
      <c r="Y875">
        <v>0</v>
      </c>
      <c r="Z875" t="s">
        <v>47</v>
      </c>
      <c r="AA875" t="s">
        <v>48</v>
      </c>
      <c r="AB875">
        <v>19</v>
      </c>
      <c r="AC875">
        <v>3</v>
      </c>
      <c r="AD875">
        <v>4</v>
      </c>
      <c r="AE875">
        <v>80</v>
      </c>
      <c r="AF875">
        <v>1</v>
      </c>
      <c r="AG875">
        <v>3</v>
      </c>
      <c r="AH875">
        <v>3</v>
      </c>
      <c r="AI875">
        <v>3</v>
      </c>
      <c r="AJ875">
        <v>2</v>
      </c>
      <c r="AK875">
        <v>2</v>
      </c>
      <c r="AL875">
        <v>1</v>
      </c>
    </row>
    <row r="876" spans="1:38" x14ac:dyDescent="0.3">
      <c r="A876" t="s">
        <v>945</v>
      </c>
      <c r="B876">
        <v>38</v>
      </c>
      <c r="C876" t="s">
        <v>800</v>
      </c>
      <c r="D876" t="s">
        <v>48</v>
      </c>
      <c r="E876">
        <f t="shared" si="13"/>
        <v>0</v>
      </c>
      <c r="F876" t="s">
        <v>40</v>
      </c>
      <c r="G876">
        <v>1333</v>
      </c>
      <c r="H876" t="s">
        <v>41</v>
      </c>
      <c r="I876">
        <v>1</v>
      </c>
      <c r="J876">
        <v>3</v>
      </c>
      <c r="K876" t="s">
        <v>67</v>
      </c>
      <c r="L876">
        <v>1</v>
      </c>
      <c r="M876">
        <v>950</v>
      </c>
      <c r="N876">
        <v>4</v>
      </c>
      <c r="O876" t="s">
        <v>52</v>
      </c>
      <c r="P876">
        <v>80</v>
      </c>
      <c r="Q876">
        <v>3</v>
      </c>
      <c r="R876">
        <v>3</v>
      </c>
      <c r="S876" t="s">
        <v>251</v>
      </c>
      <c r="T876">
        <v>1</v>
      </c>
      <c r="U876" t="s">
        <v>104</v>
      </c>
      <c r="V876">
        <v>13582</v>
      </c>
      <c r="W876" t="s">
        <v>252</v>
      </c>
      <c r="X876">
        <v>16292</v>
      </c>
      <c r="Y876">
        <v>1</v>
      </c>
      <c r="Z876" t="s">
        <v>47</v>
      </c>
      <c r="AA876" t="s">
        <v>48</v>
      </c>
      <c r="AB876">
        <v>13</v>
      </c>
      <c r="AC876">
        <v>3</v>
      </c>
      <c r="AD876">
        <v>2</v>
      </c>
      <c r="AE876">
        <v>80</v>
      </c>
      <c r="AF876">
        <v>1</v>
      </c>
      <c r="AG876">
        <v>15</v>
      </c>
      <c r="AH876">
        <v>3</v>
      </c>
      <c r="AI876">
        <v>3</v>
      </c>
      <c r="AJ876">
        <v>15</v>
      </c>
      <c r="AK876">
        <v>12</v>
      </c>
      <c r="AL876">
        <v>5</v>
      </c>
    </row>
    <row r="877" spans="1:38" x14ac:dyDescent="0.3">
      <c r="A877" t="s">
        <v>946</v>
      </c>
      <c r="B877">
        <v>38</v>
      </c>
      <c r="C877" t="s">
        <v>800</v>
      </c>
      <c r="D877" t="s">
        <v>48</v>
      </c>
      <c r="E877">
        <f t="shared" si="13"/>
        <v>0</v>
      </c>
      <c r="F877" t="s">
        <v>58</v>
      </c>
      <c r="G877">
        <v>152</v>
      </c>
      <c r="H877" t="s">
        <v>50</v>
      </c>
      <c r="I877">
        <v>10</v>
      </c>
      <c r="J877">
        <v>3</v>
      </c>
      <c r="K877" t="s">
        <v>67</v>
      </c>
      <c r="L877">
        <v>1</v>
      </c>
      <c r="M877">
        <v>983</v>
      </c>
      <c r="N877">
        <v>3</v>
      </c>
      <c r="O877" t="s">
        <v>52</v>
      </c>
      <c r="P877">
        <v>85</v>
      </c>
      <c r="Q877">
        <v>3</v>
      </c>
      <c r="R877">
        <v>2</v>
      </c>
      <c r="S877" t="s">
        <v>136</v>
      </c>
      <c r="T877">
        <v>4</v>
      </c>
      <c r="U877" t="s">
        <v>45</v>
      </c>
      <c r="V877">
        <v>5666</v>
      </c>
      <c r="W877" t="s">
        <v>162</v>
      </c>
      <c r="X877">
        <v>19899</v>
      </c>
      <c r="Y877">
        <v>1</v>
      </c>
      <c r="Z877" t="s">
        <v>47</v>
      </c>
      <c r="AA877" t="s">
        <v>39</v>
      </c>
      <c r="AB877">
        <v>13</v>
      </c>
      <c r="AC877">
        <v>3</v>
      </c>
      <c r="AD877">
        <v>2</v>
      </c>
      <c r="AE877">
        <v>80</v>
      </c>
      <c r="AF877">
        <v>0</v>
      </c>
      <c r="AG877">
        <v>6</v>
      </c>
      <c r="AH877">
        <v>1</v>
      </c>
      <c r="AI877">
        <v>3</v>
      </c>
      <c r="AJ877">
        <v>5</v>
      </c>
      <c r="AK877">
        <v>3</v>
      </c>
      <c r="AL877">
        <v>1</v>
      </c>
    </row>
    <row r="878" spans="1:38" x14ac:dyDescent="0.3">
      <c r="A878" t="s">
        <v>947</v>
      </c>
      <c r="B878">
        <v>38</v>
      </c>
      <c r="C878" t="s">
        <v>800</v>
      </c>
      <c r="D878" t="s">
        <v>48</v>
      </c>
      <c r="E878">
        <f t="shared" si="13"/>
        <v>0</v>
      </c>
      <c r="F878" t="s">
        <v>55</v>
      </c>
      <c r="G878">
        <v>1391</v>
      </c>
      <c r="H878" t="s">
        <v>41</v>
      </c>
      <c r="I878">
        <v>10</v>
      </c>
      <c r="J878">
        <v>1</v>
      </c>
      <c r="K878" t="s">
        <v>51</v>
      </c>
      <c r="L878">
        <v>1</v>
      </c>
      <c r="M878">
        <v>1006</v>
      </c>
      <c r="N878">
        <v>3</v>
      </c>
      <c r="O878" t="s">
        <v>43</v>
      </c>
      <c r="P878">
        <v>66</v>
      </c>
      <c r="Q878">
        <v>3</v>
      </c>
      <c r="R878">
        <v>1</v>
      </c>
      <c r="S878" t="s">
        <v>59</v>
      </c>
      <c r="T878">
        <v>3</v>
      </c>
      <c r="U878" t="s">
        <v>104</v>
      </c>
      <c r="V878">
        <v>2684</v>
      </c>
      <c r="W878" t="s">
        <v>46</v>
      </c>
      <c r="X878">
        <v>12127</v>
      </c>
      <c r="Y878">
        <v>0</v>
      </c>
      <c r="Z878" t="s">
        <v>47</v>
      </c>
      <c r="AA878" t="s">
        <v>48</v>
      </c>
      <c r="AB878">
        <v>17</v>
      </c>
      <c r="AC878">
        <v>3</v>
      </c>
      <c r="AD878">
        <v>2</v>
      </c>
      <c r="AE878">
        <v>80</v>
      </c>
      <c r="AF878">
        <v>1</v>
      </c>
      <c r="AG878">
        <v>3</v>
      </c>
      <c r="AH878">
        <v>0</v>
      </c>
      <c r="AI878">
        <v>2</v>
      </c>
      <c r="AJ878">
        <v>2</v>
      </c>
      <c r="AK878">
        <v>1</v>
      </c>
      <c r="AL878">
        <v>0</v>
      </c>
    </row>
    <row r="879" spans="1:38" x14ac:dyDescent="0.3">
      <c r="A879" t="s">
        <v>948</v>
      </c>
      <c r="B879">
        <v>38</v>
      </c>
      <c r="C879" t="s">
        <v>800</v>
      </c>
      <c r="D879" t="s">
        <v>48</v>
      </c>
      <c r="E879">
        <f t="shared" si="13"/>
        <v>0</v>
      </c>
      <c r="F879" t="s">
        <v>40</v>
      </c>
      <c r="G879">
        <v>1035</v>
      </c>
      <c r="H879" t="s">
        <v>50</v>
      </c>
      <c r="I879">
        <v>3</v>
      </c>
      <c r="J879">
        <v>4</v>
      </c>
      <c r="K879" t="s">
        <v>42</v>
      </c>
      <c r="L879">
        <v>1</v>
      </c>
      <c r="M879">
        <v>1036</v>
      </c>
      <c r="N879">
        <v>2</v>
      </c>
      <c r="O879" t="s">
        <v>43</v>
      </c>
      <c r="P879">
        <v>42</v>
      </c>
      <c r="Q879">
        <v>3</v>
      </c>
      <c r="R879">
        <v>2</v>
      </c>
      <c r="S879" t="s">
        <v>136</v>
      </c>
      <c r="T879">
        <v>4</v>
      </c>
      <c r="U879" t="s">
        <v>45</v>
      </c>
      <c r="V879">
        <v>6861</v>
      </c>
      <c r="W879" t="s">
        <v>162</v>
      </c>
      <c r="X879">
        <v>4981</v>
      </c>
      <c r="Y879">
        <v>8</v>
      </c>
      <c r="Z879" t="s">
        <v>47</v>
      </c>
      <c r="AA879" t="s">
        <v>39</v>
      </c>
      <c r="AB879">
        <v>12</v>
      </c>
      <c r="AC879">
        <v>3</v>
      </c>
      <c r="AD879">
        <v>3</v>
      </c>
      <c r="AE879">
        <v>80</v>
      </c>
      <c r="AF879">
        <v>0</v>
      </c>
      <c r="AG879">
        <v>19</v>
      </c>
      <c r="AH879">
        <v>1</v>
      </c>
      <c r="AI879">
        <v>3</v>
      </c>
      <c r="AJ879">
        <v>1</v>
      </c>
      <c r="AK879">
        <v>0</v>
      </c>
      <c r="AL879">
        <v>0</v>
      </c>
    </row>
    <row r="880" spans="1:38" x14ac:dyDescent="0.3">
      <c r="A880" t="s">
        <v>949</v>
      </c>
      <c r="B880">
        <v>38</v>
      </c>
      <c r="C880" t="s">
        <v>800</v>
      </c>
      <c r="D880" t="s">
        <v>48</v>
      </c>
      <c r="E880">
        <f t="shared" si="13"/>
        <v>0</v>
      </c>
      <c r="F880" t="s">
        <v>55</v>
      </c>
      <c r="G880">
        <v>1186</v>
      </c>
      <c r="H880" t="s">
        <v>41</v>
      </c>
      <c r="I880">
        <v>3</v>
      </c>
      <c r="J880">
        <v>4</v>
      </c>
      <c r="K880" t="s">
        <v>72</v>
      </c>
      <c r="L880">
        <v>1</v>
      </c>
      <c r="M880">
        <v>1060</v>
      </c>
      <c r="N880">
        <v>3</v>
      </c>
      <c r="O880" t="s">
        <v>43</v>
      </c>
      <c r="P880">
        <v>44</v>
      </c>
      <c r="Q880">
        <v>3</v>
      </c>
      <c r="R880">
        <v>1</v>
      </c>
      <c r="S880" t="s">
        <v>59</v>
      </c>
      <c r="T880">
        <v>3</v>
      </c>
      <c r="U880" t="s">
        <v>104</v>
      </c>
      <c r="V880">
        <v>2821</v>
      </c>
      <c r="W880" t="s">
        <v>46</v>
      </c>
      <c r="X880">
        <v>2997</v>
      </c>
      <c r="Y880">
        <v>3</v>
      </c>
      <c r="Z880" t="s">
        <v>47</v>
      </c>
      <c r="AA880" t="s">
        <v>48</v>
      </c>
      <c r="AB880">
        <v>16</v>
      </c>
      <c r="AC880">
        <v>3</v>
      </c>
      <c r="AD880">
        <v>1</v>
      </c>
      <c r="AE880">
        <v>80</v>
      </c>
      <c r="AF880">
        <v>1</v>
      </c>
      <c r="AG880">
        <v>8</v>
      </c>
      <c r="AH880">
        <v>2</v>
      </c>
      <c r="AI880">
        <v>3</v>
      </c>
      <c r="AJ880">
        <v>2</v>
      </c>
      <c r="AK880">
        <v>2</v>
      </c>
      <c r="AL880">
        <v>2</v>
      </c>
    </row>
    <row r="881" spans="1:38" x14ac:dyDescent="0.3">
      <c r="A881" t="s">
        <v>950</v>
      </c>
      <c r="B881">
        <v>38</v>
      </c>
      <c r="C881" t="s">
        <v>800</v>
      </c>
      <c r="D881" t="s">
        <v>48</v>
      </c>
      <c r="E881">
        <f t="shared" si="13"/>
        <v>0</v>
      </c>
      <c r="F881" t="s">
        <v>40</v>
      </c>
      <c r="G881">
        <v>330</v>
      </c>
      <c r="H881" t="s">
        <v>41</v>
      </c>
      <c r="I881">
        <v>17</v>
      </c>
      <c r="J881">
        <v>1</v>
      </c>
      <c r="K881" t="s">
        <v>42</v>
      </c>
      <c r="L881">
        <v>1</v>
      </c>
      <c r="M881">
        <v>1088</v>
      </c>
      <c r="N881">
        <v>3</v>
      </c>
      <c r="O881" t="s">
        <v>52</v>
      </c>
      <c r="P881">
        <v>65</v>
      </c>
      <c r="Q881">
        <v>2</v>
      </c>
      <c r="R881">
        <v>3</v>
      </c>
      <c r="S881" t="s">
        <v>160</v>
      </c>
      <c r="T881">
        <v>3</v>
      </c>
      <c r="U881" t="s">
        <v>104</v>
      </c>
      <c r="V881">
        <v>8823</v>
      </c>
      <c r="W881" t="s">
        <v>162</v>
      </c>
      <c r="X881">
        <v>24608</v>
      </c>
      <c r="Y881">
        <v>0</v>
      </c>
      <c r="Z881" t="s">
        <v>47</v>
      </c>
      <c r="AA881" t="s">
        <v>48</v>
      </c>
      <c r="AB881">
        <v>18</v>
      </c>
      <c r="AC881">
        <v>3</v>
      </c>
      <c r="AD881">
        <v>1</v>
      </c>
      <c r="AE881">
        <v>80</v>
      </c>
      <c r="AF881">
        <v>1</v>
      </c>
      <c r="AG881">
        <v>20</v>
      </c>
      <c r="AH881">
        <v>4</v>
      </c>
      <c r="AI881">
        <v>2</v>
      </c>
      <c r="AJ881">
        <v>19</v>
      </c>
      <c r="AK881">
        <v>9</v>
      </c>
      <c r="AL881">
        <v>1</v>
      </c>
    </row>
    <row r="882" spans="1:38" x14ac:dyDescent="0.3">
      <c r="A882" t="s">
        <v>951</v>
      </c>
      <c r="B882">
        <v>38</v>
      </c>
      <c r="C882" t="s">
        <v>800</v>
      </c>
      <c r="D882" t="s">
        <v>48</v>
      </c>
      <c r="E882">
        <f t="shared" si="13"/>
        <v>0</v>
      </c>
      <c r="F882" t="s">
        <v>40</v>
      </c>
      <c r="G882">
        <v>770</v>
      </c>
      <c r="H882" t="s">
        <v>50</v>
      </c>
      <c r="I882">
        <v>10</v>
      </c>
      <c r="J882">
        <v>4</v>
      </c>
      <c r="K882" t="s">
        <v>56</v>
      </c>
      <c r="L882">
        <v>1</v>
      </c>
      <c r="M882">
        <v>1119</v>
      </c>
      <c r="N882">
        <v>3</v>
      </c>
      <c r="O882" t="s">
        <v>43</v>
      </c>
      <c r="P882">
        <v>73</v>
      </c>
      <c r="Q882">
        <v>2</v>
      </c>
      <c r="R882">
        <v>3</v>
      </c>
      <c r="S882" t="s">
        <v>136</v>
      </c>
      <c r="T882">
        <v>3</v>
      </c>
      <c r="U882" t="s">
        <v>101</v>
      </c>
      <c r="V882">
        <v>8740</v>
      </c>
      <c r="W882" t="s">
        <v>162</v>
      </c>
      <c r="X882">
        <v>5569</v>
      </c>
      <c r="Y882">
        <v>0</v>
      </c>
      <c r="Z882" t="s">
        <v>47</v>
      </c>
      <c r="AA882" t="s">
        <v>39</v>
      </c>
      <c r="AB882">
        <v>14</v>
      </c>
      <c r="AC882">
        <v>3</v>
      </c>
      <c r="AD882">
        <v>2</v>
      </c>
      <c r="AE882">
        <v>80</v>
      </c>
      <c r="AF882">
        <v>2</v>
      </c>
      <c r="AG882">
        <v>9</v>
      </c>
      <c r="AH882">
        <v>2</v>
      </c>
      <c r="AI882">
        <v>3</v>
      </c>
      <c r="AJ882">
        <v>8</v>
      </c>
      <c r="AK882">
        <v>7</v>
      </c>
      <c r="AL882">
        <v>2</v>
      </c>
    </row>
    <row r="883" spans="1:38" x14ac:dyDescent="0.3">
      <c r="A883" t="s">
        <v>952</v>
      </c>
      <c r="B883">
        <v>38</v>
      </c>
      <c r="C883" t="s">
        <v>800</v>
      </c>
      <c r="D883" t="s">
        <v>48</v>
      </c>
      <c r="E883">
        <f t="shared" si="13"/>
        <v>0</v>
      </c>
      <c r="F883" t="s">
        <v>40</v>
      </c>
      <c r="G883">
        <v>130</v>
      </c>
      <c r="H883" t="s">
        <v>50</v>
      </c>
      <c r="I883">
        <v>2</v>
      </c>
      <c r="J883">
        <v>2</v>
      </c>
      <c r="K883" t="s">
        <v>56</v>
      </c>
      <c r="L883">
        <v>1</v>
      </c>
      <c r="M883">
        <v>1125</v>
      </c>
      <c r="N883">
        <v>4</v>
      </c>
      <c r="O883" t="s">
        <v>43</v>
      </c>
      <c r="P883">
        <v>32</v>
      </c>
      <c r="Q883">
        <v>3</v>
      </c>
      <c r="R883">
        <v>3</v>
      </c>
      <c r="S883" t="s">
        <v>136</v>
      </c>
      <c r="T883">
        <v>2</v>
      </c>
      <c r="U883" t="s">
        <v>45</v>
      </c>
      <c r="V883">
        <v>7351</v>
      </c>
      <c r="W883" t="s">
        <v>162</v>
      </c>
      <c r="X883">
        <v>20619</v>
      </c>
      <c r="Y883">
        <v>7</v>
      </c>
      <c r="Z883" t="s">
        <v>47</v>
      </c>
      <c r="AA883" t="s">
        <v>48</v>
      </c>
      <c r="AB883">
        <v>16</v>
      </c>
      <c r="AC883">
        <v>3</v>
      </c>
      <c r="AD883">
        <v>3</v>
      </c>
      <c r="AE883">
        <v>80</v>
      </c>
      <c r="AF883">
        <v>0</v>
      </c>
      <c r="AG883">
        <v>10</v>
      </c>
      <c r="AH883">
        <v>2</v>
      </c>
      <c r="AI883">
        <v>3</v>
      </c>
      <c r="AJ883">
        <v>1</v>
      </c>
      <c r="AK883">
        <v>0</v>
      </c>
      <c r="AL883">
        <v>0</v>
      </c>
    </row>
    <row r="884" spans="1:38" x14ac:dyDescent="0.3">
      <c r="A884" t="s">
        <v>953</v>
      </c>
      <c r="B884">
        <v>38</v>
      </c>
      <c r="C884" t="s">
        <v>800</v>
      </c>
      <c r="D884" t="s">
        <v>48</v>
      </c>
      <c r="E884">
        <f t="shared" si="13"/>
        <v>0</v>
      </c>
      <c r="F884" t="s">
        <v>40</v>
      </c>
      <c r="G884">
        <v>433</v>
      </c>
      <c r="H884" t="s">
        <v>70</v>
      </c>
      <c r="I884">
        <v>1</v>
      </c>
      <c r="J884">
        <v>3</v>
      </c>
      <c r="K884" t="s">
        <v>70</v>
      </c>
      <c r="L884">
        <v>1</v>
      </c>
      <c r="M884">
        <v>1152</v>
      </c>
      <c r="N884">
        <v>3</v>
      </c>
      <c r="O884" t="s">
        <v>43</v>
      </c>
      <c r="P884">
        <v>37</v>
      </c>
      <c r="Q884">
        <v>4</v>
      </c>
      <c r="R884">
        <v>1</v>
      </c>
      <c r="S884" t="s">
        <v>70</v>
      </c>
      <c r="T884">
        <v>3</v>
      </c>
      <c r="U884" t="s">
        <v>104</v>
      </c>
      <c r="V884">
        <v>2844</v>
      </c>
      <c r="W884" t="s">
        <v>46</v>
      </c>
      <c r="X884">
        <v>6004</v>
      </c>
      <c r="Y884">
        <v>1</v>
      </c>
      <c r="Z884" t="s">
        <v>47</v>
      </c>
      <c r="AA884" t="s">
        <v>48</v>
      </c>
      <c r="AB884">
        <v>13</v>
      </c>
      <c r="AC884">
        <v>3</v>
      </c>
      <c r="AD884">
        <v>4</v>
      </c>
      <c r="AE884">
        <v>80</v>
      </c>
      <c r="AF884">
        <v>1</v>
      </c>
      <c r="AG884">
        <v>7</v>
      </c>
      <c r="AH884">
        <v>2</v>
      </c>
      <c r="AI884">
        <v>4</v>
      </c>
      <c r="AJ884">
        <v>7</v>
      </c>
      <c r="AK884">
        <v>6</v>
      </c>
      <c r="AL884">
        <v>5</v>
      </c>
    </row>
    <row r="885" spans="1:38" x14ac:dyDescent="0.3">
      <c r="A885" t="s">
        <v>954</v>
      </c>
      <c r="B885">
        <v>38</v>
      </c>
      <c r="C885" t="s">
        <v>800</v>
      </c>
      <c r="D885" t="s">
        <v>48</v>
      </c>
      <c r="E885">
        <f t="shared" si="13"/>
        <v>0</v>
      </c>
      <c r="F885" t="s">
        <v>40</v>
      </c>
      <c r="G885">
        <v>1009</v>
      </c>
      <c r="H885" t="s">
        <v>50</v>
      </c>
      <c r="I885">
        <v>2</v>
      </c>
      <c r="J885">
        <v>2</v>
      </c>
      <c r="K885" t="s">
        <v>42</v>
      </c>
      <c r="L885">
        <v>1</v>
      </c>
      <c r="M885">
        <v>1355</v>
      </c>
      <c r="N885">
        <v>2</v>
      </c>
      <c r="O885" t="s">
        <v>52</v>
      </c>
      <c r="P885">
        <v>31</v>
      </c>
      <c r="Q885">
        <v>3</v>
      </c>
      <c r="R885">
        <v>2</v>
      </c>
      <c r="S885" t="s">
        <v>136</v>
      </c>
      <c r="T885">
        <v>1</v>
      </c>
      <c r="U885" t="s">
        <v>101</v>
      </c>
      <c r="V885">
        <v>6893</v>
      </c>
      <c r="W885" t="s">
        <v>162</v>
      </c>
      <c r="X885">
        <v>19461</v>
      </c>
      <c r="Y885">
        <v>3</v>
      </c>
      <c r="Z885" t="s">
        <v>47</v>
      </c>
      <c r="AA885" t="s">
        <v>48</v>
      </c>
      <c r="AB885">
        <v>15</v>
      </c>
      <c r="AC885">
        <v>3</v>
      </c>
      <c r="AD885">
        <v>4</v>
      </c>
      <c r="AE885">
        <v>80</v>
      </c>
      <c r="AF885">
        <v>1</v>
      </c>
      <c r="AG885">
        <v>11</v>
      </c>
      <c r="AH885">
        <v>3</v>
      </c>
      <c r="AI885">
        <v>3</v>
      </c>
      <c r="AJ885">
        <v>7</v>
      </c>
      <c r="AK885">
        <v>7</v>
      </c>
      <c r="AL885">
        <v>1</v>
      </c>
    </row>
    <row r="886" spans="1:38" x14ac:dyDescent="0.3">
      <c r="A886" t="s">
        <v>955</v>
      </c>
      <c r="B886">
        <v>38</v>
      </c>
      <c r="C886" t="s">
        <v>800</v>
      </c>
      <c r="D886" t="s">
        <v>48</v>
      </c>
      <c r="E886">
        <f t="shared" si="13"/>
        <v>0</v>
      </c>
      <c r="F886" t="s">
        <v>55</v>
      </c>
      <c r="G886">
        <v>693</v>
      </c>
      <c r="H886" t="s">
        <v>41</v>
      </c>
      <c r="I886">
        <v>7</v>
      </c>
      <c r="J886">
        <v>3</v>
      </c>
      <c r="K886" t="s">
        <v>42</v>
      </c>
      <c r="L886">
        <v>1</v>
      </c>
      <c r="M886">
        <v>1382</v>
      </c>
      <c r="N886">
        <v>4</v>
      </c>
      <c r="O886" t="s">
        <v>43</v>
      </c>
      <c r="P886">
        <v>57</v>
      </c>
      <c r="Q886">
        <v>4</v>
      </c>
      <c r="R886">
        <v>1</v>
      </c>
      <c r="S886" t="s">
        <v>59</v>
      </c>
      <c r="T886">
        <v>3</v>
      </c>
      <c r="U886" t="s">
        <v>101</v>
      </c>
      <c r="V886">
        <v>2610</v>
      </c>
      <c r="W886" t="s">
        <v>46</v>
      </c>
      <c r="X886">
        <v>15748</v>
      </c>
      <c r="Y886">
        <v>1</v>
      </c>
      <c r="Z886" t="s">
        <v>47</v>
      </c>
      <c r="AA886" t="s">
        <v>48</v>
      </c>
      <c r="AB886">
        <v>11</v>
      </c>
      <c r="AC886">
        <v>3</v>
      </c>
      <c r="AD886">
        <v>4</v>
      </c>
      <c r="AE886">
        <v>80</v>
      </c>
      <c r="AF886">
        <v>3</v>
      </c>
      <c r="AG886">
        <v>4</v>
      </c>
      <c r="AH886">
        <v>2</v>
      </c>
      <c r="AI886">
        <v>3</v>
      </c>
      <c r="AJ886">
        <v>4</v>
      </c>
      <c r="AK886">
        <v>2</v>
      </c>
      <c r="AL886">
        <v>0</v>
      </c>
    </row>
    <row r="887" spans="1:38" x14ac:dyDescent="0.3">
      <c r="A887" t="s">
        <v>956</v>
      </c>
      <c r="B887">
        <v>38</v>
      </c>
      <c r="C887" t="s">
        <v>800</v>
      </c>
      <c r="D887" t="s">
        <v>48</v>
      </c>
      <c r="E887">
        <f t="shared" si="13"/>
        <v>0</v>
      </c>
      <c r="F887" t="s">
        <v>55</v>
      </c>
      <c r="G887">
        <v>888</v>
      </c>
      <c r="H887" t="s">
        <v>70</v>
      </c>
      <c r="I887">
        <v>10</v>
      </c>
      <c r="J887">
        <v>4</v>
      </c>
      <c r="K887" t="s">
        <v>70</v>
      </c>
      <c r="L887">
        <v>1</v>
      </c>
      <c r="M887">
        <v>1563</v>
      </c>
      <c r="N887">
        <v>3</v>
      </c>
      <c r="O887" t="s">
        <v>43</v>
      </c>
      <c r="P887">
        <v>71</v>
      </c>
      <c r="Q887">
        <v>3</v>
      </c>
      <c r="R887">
        <v>2</v>
      </c>
      <c r="S887" t="s">
        <v>70</v>
      </c>
      <c r="T887">
        <v>3</v>
      </c>
      <c r="U887" t="s">
        <v>104</v>
      </c>
      <c r="V887">
        <v>6077</v>
      </c>
      <c r="W887" t="s">
        <v>162</v>
      </c>
      <c r="X887">
        <v>14814</v>
      </c>
      <c r="Y887">
        <v>3</v>
      </c>
      <c r="Z887" t="s">
        <v>47</v>
      </c>
      <c r="AA887" t="s">
        <v>48</v>
      </c>
      <c r="AB887">
        <v>11</v>
      </c>
      <c r="AC887">
        <v>3</v>
      </c>
      <c r="AD887">
        <v>3</v>
      </c>
      <c r="AE887">
        <v>80</v>
      </c>
      <c r="AF887">
        <v>0</v>
      </c>
      <c r="AG887">
        <v>10</v>
      </c>
      <c r="AH887">
        <v>2</v>
      </c>
      <c r="AI887">
        <v>3</v>
      </c>
      <c r="AJ887">
        <v>6</v>
      </c>
      <c r="AK887">
        <v>3</v>
      </c>
      <c r="AL887">
        <v>1</v>
      </c>
    </row>
    <row r="888" spans="1:38" x14ac:dyDescent="0.3">
      <c r="A888" t="s">
        <v>957</v>
      </c>
      <c r="B888">
        <v>38</v>
      </c>
      <c r="C888" t="s">
        <v>800</v>
      </c>
      <c r="D888" t="s">
        <v>39</v>
      </c>
      <c r="E888">
        <f t="shared" si="13"/>
        <v>1</v>
      </c>
      <c r="F888" t="s">
        <v>40</v>
      </c>
      <c r="G888">
        <v>903</v>
      </c>
      <c r="H888" t="s">
        <v>41</v>
      </c>
      <c r="I888">
        <v>2</v>
      </c>
      <c r="J888">
        <v>3</v>
      </c>
      <c r="K888" t="s">
        <v>51</v>
      </c>
      <c r="L888">
        <v>1</v>
      </c>
      <c r="M888">
        <v>1573</v>
      </c>
      <c r="N888">
        <v>3</v>
      </c>
      <c r="O888" t="s">
        <v>43</v>
      </c>
      <c r="P888">
        <v>81</v>
      </c>
      <c r="Q888">
        <v>3</v>
      </c>
      <c r="R888">
        <v>2</v>
      </c>
      <c r="S888" t="s">
        <v>111</v>
      </c>
      <c r="T888">
        <v>2</v>
      </c>
      <c r="U888" t="s">
        <v>104</v>
      </c>
      <c r="V888">
        <v>4855</v>
      </c>
      <c r="W888" t="s">
        <v>46</v>
      </c>
      <c r="X888">
        <v>7653</v>
      </c>
      <c r="Y888">
        <v>4</v>
      </c>
      <c r="Z888" t="s">
        <v>47</v>
      </c>
      <c r="AA888" t="s">
        <v>48</v>
      </c>
      <c r="AB888">
        <v>11</v>
      </c>
      <c r="AC888">
        <v>3</v>
      </c>
      <c r="AD888">
        <v>1</v>
      </c>
      <c r="AE888">
        <v>80</v>
      </c>
      <c r="AF888">
        <v>2</v>
      </c>
      <c r="AG888">
        <v>7</v>
      </c>
      <c r="AH888">
        <v>2</v>
      </c>
      <c r="AI888">
        <v>3</v>
      </c>
      <c r="AJ888">
        <v>5</v>
      </c>
      <c r="AK888">
        <v>2</v>
      </c>
      <c r="AL888">
        <v>1</v>
      </c>
    </row>
    <row r="889" spans="1:38" x14ac:dyDescent="0.3">
      <c r="A889" t="s">
        <v>958</v>
      </c>
      <c r="B889">
        <v>38</v>
      </c>
      <c r="C889" t="s">
        <v>800</v>
      </c>
      <c r="D889" t="s">
        <v>48</v>
      </c>
      <c r="E889">
        <f t="shared" si="13"/>
        <v>0</v>
      </c>
      <c r="F889" t="s">
        <v>40</v>
      </c>
      <c r="G889">
        <v>1245</v>
      </c>
      <c r="H889" t="s">
        <v>50</v>
      </c>
      <c r="I889">
        <v>14</v>
      </c>
      <c r="J889">
        <v>3</v>
      </c>
      <c r="K889" t="s">
        <v>42</v>
      </c>
      <c r="L889">
        <v>1</v>
      </c>
      <c r="M889">
        <v>1582</v>
      </c>
      <c r="N889">
        <v>3</v>
      </c>
      <c r="O889" t="s">
        <v>43</v>
      </c>
      <c r="P889">
        <v>80</v>
      </c>
      <c r="Q889">
        <v>3</v>
      </c>
      <c r="R889">
        <v>2</v>
      </c>
      <c r="S889" t="s">
        <v>136</v>
      </c>
      <c r="T889">
        <v>2</v>
      </c>
      <c r="U889" t="s">
        <v>104</v>
      </c>
      <c r="V889">
        <v>9924</v>
      </c>
      <c r="W889" t="s">
        <v>162</v>
      </c>
      <c r="X889">
        <v>12355</v>
      </c>
      <c r="Y889">
        <v>0</v>
      </c>
      <c r="Z889" t="s">
        <v>47</v>
      </c>
      <c r="AA889" t="s">
        <v>48</v>
      </c>
      <c r="AB889">
        <v>11</v>
      </c>
      <c r="AC889">
        <v>3</v>
      </c>
      <c r="AD889">
        <v>4</v>
      </c>
      <c r="AE889">
        <v>80</v>
      </c>
      <c r="AF889">
        <v>1</v>
      </c>
      <c r="AG889">
        <v>10</v>
      </c>
      <c r="AH889">
        <v>3</v>
      </c>
      <c r="AI889">
        <v>3</v>
      </c>
      <c r="AJ889">
        <v>9</v>
      </c>
      <c r="AK889">
        <v>8</v>
      </c>
      <c r="AL889">
        <v>7</v>
      </c>
    </row>
    <row r="890" spans="1:38" x14ac:dyDescent="0.3">
      <c r="A890" t="s">
        <v>959</v>
      </c>
      <c r="B890">
        <v>38</v>
      </c>
      <c r="C890" t="s">
        <v>800</v>
      </c>
      <c r="D890" t="s">
        <v>48</v>
      </c>
      <c r="E890">
        <f t="shared" si="13"/>
        <v>0</v>
      </c>
      <c r="F890" t="s">
        <v>40</v>
      </c>
      <c r="G890">
        <v>437</v>
      </c>
      <c r="H890" t="s">
        <v>50</v>
      </c>
      <c r="I890">
        <v>16</v>
      </c>
      <c r="J890">
        <v>3</v>
      </c>
      <c r="K890" t="s">
        <v>42</v>
      </c>
      <c r="L890">
        <v>1</v>
      </c>
      <c r="M890">
        <v>1583</v>
      </c>
      <c r="N890">
        <v>2</v>
      </c>
      <c r="O890" t="s">
        <v>52</v>
      </c>
      <c r="P890">
        <v>90</v>
      </c>
      <c r="Q890">
        <v>3</v>
      </c>
      <c r="R890">
        <v>2</v>
      </c>
      <c r="S890" t="s">
        <v>136</v>
      </c>
      <c r="T890">
        <v>2</v>
      </c>
      <c r="U890" t="s">
        <v>45</v>
      </c>
      <c r="V890">
        <v>4198</v>
      </c>
      <c r="W890" t="s">
        <v>46</v>
      </c>
      <c r="X890">
        <v>16379</v>
      </c>
      <c r="Y890">
        <v>2</v>
      </c>
      <c r="Z890" t="s">
        <v>47</v>
      </c>
      <c r="AA890" t="s">
        <v>48</v>
      </c>
      <c r="AB890">
        <v>12</v>
      </c>
      <c r="AC890">
        <v>3</v>
      </c>
      <c r="AD890">
        <v>2</v>
      </c>
      <c r="AE890">
        <v>80</v>
      </c>
      <c r="AF890">
        <v>0</v>
      </c>
      <c r="AG890">
        <v>8</v>
      </c>
      <c r="AH890">
        <v>5</v>
      </c>
      <c r="AI890">
        <v>4</v>
      </c>
      <c r="AJ890">
        <v>3</v>
      </c>
      <c r="AK890">
        <v>2</v>
      </c>
      <c r="AL890">
        <v>1</v>
      </c>
    </row>
    <row r="891" spans="1:38" x14ac:dyDescent="0.3">
      <c r="A891" t="s">
        <v>960</v>
      </c>
      <c r="B891">
        <v>38</v>
      </c>
      <c r="C891" t="s">
        <v>800</v>
      </c>
      <c r="D891" t="s">
        <v>48</v>
      </c>
      <c r="E891">
        <f t="shared" si="13"/>
        <v>0</v>
      </c>
      <c r="F891" t="s">
        <v>40</v>
      </c>
      <c r="G891">
        <v>397</v>
      </c>
      <c r="H891" t="s">
        <v>41</v>
      </c>
      <c r="I891">
        <v>2</v>
      </c>
      <c r="J891">
        <v>2</v>
      </c>
      <c r="K891" t="s">
        <v>51</v>
      </c>
      <c r="L891">
        <v>1</v>
      </c>
      <c r="M891">
        <v>1638</v>
      </c>
      <c r="N891">
        <v>4</v>
      </c>
      <c r="O891" t="s">
        <v>52</v>
      </c>
      <c r="P891">
        <v>54</v>
      </c>
      <c r="Q891">
        <v>2</v>
      </c>
      <c r="R891">
        <v>3</v>
      </c>
      <c r="S891" t="s">
        <v>111</v>
      </c>
      <c r="T891">
        <v>3</v>
      </c>
      <c r="U891" t="s">
        <v>104</v>
      </c>
      <c r="V891">
        <v>7756</v>
      </c>
      <c r="W891" t="s">
        <v>162</v>
      </c>
      <c r="X891">
        <v>14199</v>
      </c>
      <c r="Y891">
        <v>3</v>
      </c>
      <c r="Z891" t="s">
        <v>47</v>
      </c>
      <c r="AA891" t="s">
        <v>39</v>
      </c>
      <c r="AB891">
        <v>19</v>
      </c>
      <c r="AC891">
        <v>3</v>
      </c>
      <c r="AD891">
        <v>4</v>
      </c>
      <c r="AE891">
        <v>80</v>
      </c>
      <c r="AF891">
        <v>1</v>
      </c>
      <c r="AG891">
        <v>10</v>
      </c>
      <c r="AH891">
        <v>6</v>
      </c>
      <c r="AI891">
        <v>4</v>
      </c>
      <c r="AJ891">
        <v>5</v>
      </c>
      <c r="AK891">
        <v>4</v>
      </c>
      <c r="AL891">
        <v>0</v>
      </c>
    </row>
    <row r="892" spans="1:38" x14ac:dyDescent="0.3">
      <c r="A892" t="s">
        <v>961</v>
      </c>
      <c r="B892">
        <v>38</v>
      </c>
      <c r="C892" t="s">
        <v>800</v>
      </c>
      <c r="D892" t="s">
        <v>48</v>
      </c>
      <c r="E892">
        <f t="shared" si="13"/>
        <v>0</v>
      </c>
      <c r="F892" t="s">
        <v>55</v>
      </c>
      <c r="G892">
        <v>1189</v>
      </c>
      <c r="H892" t="s">
        <v>41</v>
      </c>
      <c r="I892">
        <v>1</v>
      </c>
      <c r="J892">
        <v>3</v>
      </c>
      <c r="K892" t="s">
        <v>42</v>
      </c>
      <c r="L892">
        <v>1</v>
      </c>
      <c r="M892">
        <v>1668</v>
      </c>
      <c r="N892">
        <v>4</v>
      </c>
      <c r="O892" t="s">
        <v>43</v>
      </c>
      <c r="P892">
        <v>90</v>
      </c>
      <c r="Q892">
        <v>3</v>
      </c>
      <c r="R892">
        <v>2</v>
      </c>
      <c r="S892" t="s">
        <v>59</v>
      </c>
      <c r="T892">
        <v>4</v>
      </c>
      <c r="U892" t="s">
        <v>104</v>
      </c>
      <c r="V892">
        <v>4735</v>
      </c>
      <c r="W892" t="s">
        <v>46</v>
      </c>
      <c r="X892">
        <v>9867</v>
      </c>
      <c r="Y892">
        <v>7</v>
      </c>
      <c r="Z892" t="s">
        <v>47</v>
      </c>
      <c r="AA892" t="s">
        <v>48</v>
      </c>
      <c r="AB892">
        <v>15</v>
      </c>
      <c r="AC892">
        <v>3</v>
      </c>
      <c r="AD892">
        <v>4</v>
      </c>
      <c r="AE892">
        <v>80</v>
      </c>
      <c r="AF892">
        <v>2</v>
      </c>
      <c r="AG892">
        <v>19</v>
      </c>
      <c r="AH892">
        <v>4</v>
      </c>
      <c r="AI892">
        <v>4</v>
      </c>
      <c r="AJ892">
        <v>13</v>
      </c>
      <c r="AK892">
        <v>11</v>
      </c>
      <c r="AL892">
        <v>2</v>
      </c>
    </row>
    <row r="893" spans="1:38" x14ac:dyDescent="0.3">
      <c r="A893" t="s">
        <v>962</v>
      </c>
      <c r="B893">
        <v>38</v>
      </c>
      <c r="C893" t="s">
        <v>800</v>
      </c>
      <c r="D893" t="s">
        <v>48</v>
      </c>
      <c r="E893">
        <f t="shared" si="13"/>
        <v>0</v>
      </c>
      <c r="F893" t="s">
        <v>55</v>
      </c>
      <c r="G893">
        <v>148</v>
      </c>
      <c r="H893" t="s">
        <v>41</v>
      </c>
      <c r="I893">
        <v>2</v>
      </c>
      <c r="J893">
        <v>3</v>
      </c>
      <c r="K893" t="s">
        <v>51</v>
      </c>
      <c r="L893">
        <v>1</v>
      </c>
      <c r="M893">
        <v>1675</v>
      </c>
      <c r="N893">
        <v>4</v>
      </c>
      <c r="O893" t="s">
        <v>52</v>
      </c>
      <c r="P893">
        <v>42</v>
      </c>
      <c r="Q893">
        <v>2</v>
      </c>
      <c r="R893">
        <v>1</v>
      </c>
      <c r="S893" t="s">
        <v>44</v>
      </c>
      <c r="T893">
        <v>2</v>
      </c>
      <c r="U893" t="s">
        <v>45</v>
      </c>
      <c r="V893">
        <v>2440</v>
      </c>
      <c r="W893" t="s">
        <v>46</v>
      </c>
      <c r="X893">
        <v>23826</v>
      </c>
      <c r="Y893">
        <v>1</v>
      </c>
      <c r="Z893" t="s">
        <v>47</v>
      </c>
      <c r="AA893" t="s">
        <v>48</v>
      </c>
      <c r="AB893">
        <v>22</v>
      </c>
      <c r="AC893">
        <v>4</v>
      </c>
      <c r="AD893">
        <v>2</v>
      </c>
      <c r="AE893">
        <v>80</v>
      </c>
      <c r="AF893">
        <v>0</v>
      </c>
      <c r="AG893">
        <v>4</v>
      </c>
      <c r="AH893">
        <v>3</v>
      </c>
      <c r="AI893">
        <v>3</v>
      </c>
      <c r="AJ893">
        <v>4</v>
      </c>
      <c r="AK893">
        <v>3</v>
      </c>
      <c r="AL893">
        <v>3</v>
      </c>
    </row>
    <row r="894" spans="1:38" x14ac:dyDescent="0.3">
      <c r="A894" t="s">
        <v>963</v>
      </c>
      <c r="B894">
        <v>38</v>
      </c>
      <c r="C894" t="s">
        <v>800</v>
      </c>
      <c r="D894" t="s">
        <v>48</v>
      </c>
      <c r="E894">
        <f t="shared" si="13"/>
        <v>0</v>
      </c>
      <c r="F894" t="s">
        <v>40</v>
      </c>
      <c r="G894">
        <v>1495</v>
      </c>
      <c r="H894" t="s">
        <v>41</v>
      </c>
      <c r="I894">
        <v>4</v>
      </c>
      <c r="J894">
        <v>2</v>
      </c>
      <c r="K894" t="s">
        <v>51</v>
      </c>
      <c r="L894">
        <v>1</v>
      </c>
      <c r="M894">
        <v>1687</v>
      </c>
      <c r="N894">
        <v>4</v>
      </c>
      <c r="O894" t="s">
        <v>52</v>
      </c>
      <c r="P894">
        <v>87</v>
      </c>
      <c r="Q894">
        <v>3</v>
      </c>
      <c r="R894">
        <v>1</v>
      </c>
      <c r="S894" t="s">
        <v>44</v>
      </c>
      <c r="T894">
        <v>3</v>
      </c>
      <c r="U894" t="s">
        <v>104</v>
      </c>
      <c r="V894">
        <v>3306</v>
      </c>
      <c r="W894" t="s">
        <v>46</v>
      </c>
      <c r="X894">
        <v>26176</v>
      </c>
      <c r="Y894">
        <v>7</v>
      </c>
      <c r="Z894" t="s">
        <v>47</v>
      </c>
      <c r="AA894" t="s">
        <v>48</v>
      </c>
      <c r="AB894">
        <v>19</v>
      </c>
      <c r="AC894">
        <v>3</v>
      </c>
      <c r="AD894">
        <v>4</v>
      </c>
      <c r="AE894">
        <v>80</v>
      </c>
      <c r="AF894">
        <v>1</v>
      </c>
      <c r="AG894">
        <v>7</v>
      </c>
      <c r="AH894">
        <v>5</v>
      </c>
      <c r="AI894">
        <v>2</v>
      </c>
      <c r="AJ894">
        <v>0</v>
      </c>
      <c r="AK894">
        <v>0</v>
      </c>
      <c r="AL894">
        <v>0</v>
      </c>
    </row>
    <row r="895" spans="1:38" x14ac:dyDescent="0.3">
      <c r="A895" t="s">
        <v>964</v>
      </c>
      <c r="B895">
        <v>38</v>
      </c>
      <c r="C895" t="s">
        <v>800</v>
      </c>
      <c r="D895" t="s">
        <v>48</v>
      </c>
      <c r="E895">
        <f t="shared" si="13"/>
        <v>0</v>
      </c>
      <c r="F895" t="s">
        <v>55</v>
      </c>
      <c r="G895">
        <v>594</v>
      </c>
      <c r="H895" t="s">
        <v>41</v>
      </c>
      <c r="I895">
        <v>2</v>
      </c>
      <c r="J895">
        <v>2</v>
      </c>
      <c r="K895" t="s">
        <v>51</v>
      </c>
      <c r="L895">
        <v>1</v>
      </c>
      <c r="M895">
        <v>1760</v>
      </c>
      <c r="N895">
        <v>3</v>
      </c>
      <c r="O895" t="s">
        <v>52</v>
      </c>
      <c r="P895">
        <v>75</v>
      </c>
      <c r="Q895">
        <v>2</v>
      </c>
      <c r="R895">
        <v>1</v>
      </c>
      <c r="S895" t="s">
        <v>44</v>
      </c>
      <c r="T895">
        <v>2</v>
      </c>
      <c r="U895" t="s">
        <v>104</v>
      </c>
      <c r="V895">
        <v>2468</v>
      </c>
      <c r="W895" t="s">
        <v>46</v>
      </c>
      <c r="X895">
        <v>15963</v>
      </c>
      <c r="Y895">
        <v>4</v>
      </c>
      <c r="Z895" t="s">
        <v>47</v>
      </c>
      <c r="AA895" t="s">
        <v>48</v>
      </c>
      <c r="AB895">
        <v>14</v>
      </c>
      <c r="AC895">
        <v>3</v>
      </c>
      <c r="AD895">
        <v>2</v>
      </c>
      <c r="AE895">
        <v>80</v>
      </c>
      <c r="AF895">
        <v>1</v>
      </c>
      <c r="AG895">
        <v>9</v>
      </c>
      <c r="AH895">
        <v>4</v>
      </c>
      <c r="AI895">
        <v>2</v>
      </c>
      <c r="AJ895">
        <v>6</v>
      </c>
      <c r="AK895">
        <v>1</v>
      </c>
      <c r="AL895">
        <v>0</v>
      </c>
    </row>
    <row r="896" spans="1:38" x14ac:dyDescent="0.3">
      <c r="A896" t="s">
        <v>965</v>
      </c>
      <c r="B896">
        <v>38</v>
      </c>
      <c r="C896" t="s">
        <v>800</v>
      </c>
      <c r="D896" t="s">
        <v>48</v>
      </c>
      <c r="E896">
        <f t="shared" si="13"/>
        <v>0</v>
      </c>
      <c r="F896" t="s">
        <v>40</v>
      </c>
      <c r="G896">
        <v>833</v>
      </c>
      <c r="H896" t="s">
        <v>41</v>
      </c>
      <c r="I896">
        <v>18</v>
      </c>
      <c r="J896">
        <v>3</v>
      </c>
      <c r="K896" t="s">
        <v>51</v>
      </c>
      <c r="L896">
        <v>1</v>
      </c>
      <c r="M896">
        <v>1766</v>
      </c>
      <c r="N896">
        <v>2</v>
      </c>
      <c r="O896" t="s">
        <v>43</v>
      </c>
      <c r="P896">
        <v>60</v>
      </c>
      <c r="Q896">
        <v>1</v>
      </c>
      <c r="R896">
        <v>2</v>
      </c>
      <c r="S896" t="s">
        <v>160</v>
      </c>
      <c r="T896">
        <v>4</v>
      </c>
      <c r="U896" t="s">
        <v>104</v>
      </c>
      <c r="V896">
        <v>5811</v>
      </c>
      <c r="W896" t="s">
        <v>162</v>
      </c>
      <c r="X896">
        <v>24539</v>
      </c>
      <c r="Y896">
        <v>3</v>
      </c>
      <c r="Z896" t="s">
        <v>47</v>
      </c>
      <c r="AA896" t="s">
        <v>39</v>
      </c>
      <c r="AB896">
        <v>16</v>
      </c>
      <c r="AC896">
        <v>3</v>
      </c>
      <c r="AD896">
        <v>3</v>
      </c>
      <c r="AE896">
        <v>80</v>
      </c>
      <c r="AF896">
        <v>1</v>
      </c>
      <c r="AG896">
        <v>15</v>
      </c>
      <c r="AH896">
        <v>2</v>
      </c>
      <c r="AI896">
        <v>3</v>
      </c>
      <c r="AJ896">
        <v>1</v>
      </c>
      <c r="AK896">
        <v>0</v>
      </c>
      <c r="AL896">
        <v>1</v>
      </c>
    </row>
    <row r="897" spans="1:38" x14ac:dyDescent="0.3">
      <c r="A897" t="s">
        <v>966</v>
      </c>
      <c r="B897">
        <v>38</v>
      </c>
      <c r="C897" t="s">
        <v>800</v>
      </c>
      <c r="D897" t="s">
        <v>48</v>
      </c>
      <c r="E897">
        <f t="shared" si="13"/>
        <v>0</v>
      </c>
      <c r="F897" t="s">
        <v>40</v>
      </c>
      <c r="G897">
        <v>1153</v>
      </c>
      <c r="H897" t="s">
        <v>41</v>
      </c>
      <c r="I897">
        <v>6</v>
      </c>
      <c r="J897">
        <v>2</v>
      </c>
      <c r="K897" t="s">
        <v>72</v>
      </c>
      <c r="L897">
        <v>1</v>
      </c>
      <c r="M897">
        <v>1782</v>
      </c>
      <c r="N897">
        <v>4</v>
      </c>
      <c r="O897" t="s">
        <v>52</v>
      </c>
      <c r="P897">
        <v>40</v>
      </c>
      <c r="Q897">
        <v>2</v>
      </c>
      <c r="R897">
        <v>1</v>
      </c>
      <c r="S897" t="s">
        <v>44</v>
      </c>
      <c r="T897">
        <v>3</v>
      </c>
      <c r="U897" t="s">
        <v>104</v>
      </c>
      <c r="V897">
        <v>3702</v>
      </c>
      <c r="W897" t="s">
        <v>46</v>
      </c>
      <c r="X897">
        <v>16376</v>
      </c>
      <c r="Y897">
        <v>1</v>
      </c>
      <c r="Z897" t="s">
        <v>47</v>
      </c>
      <c r="AA897" t="s">
        <v>48</v>
      </c>
      <c r="AB897">
        <v>11</v>
      </c>
      <c r="AC897">
        <v>3</v>
      </c>
      <c r="AD897">
        <v>2</v>
      </c>
      <c r="AE897">
        <v>80</v>
      </c>
      <c r="AF897">
        <v>1</v>
      </c>
      <c r="AG897">
        <v>5</v>
      </c>
      <c r="AH897">
        <v>3</v>
      </c>
      <c r="AI897">
        <v>3</v>
      </c>
      <c r="AJ897">
        <v>5</v>
      </c>
      <c r="AK897">
        <v>4</v>
      </c>
      <c r="AL897">
        <v>0</v>
      </c>
    </row>
    <row r="898" spans="1:38" x14ac:dyDescent="0.3">
      <c r="A898" t="s">
        <v>967</v>
      </c>
      <c r="B898">
        <v>38</v>
      </c>
      <c r="C898" t="s">
        <v>800</v>
      </c>
      <c r="D898" t="s">
        <v>48</v>
      </c>
      <c r="E898">
        <f t="shared" si="13"/>
        <v>0</v>
      </c>
      <c r="F898" t="s">
        <v>58</v>
      </c>
      <c r="G898">
        <v>1336</v>
      </c>
      <c r="H898" t="s">
        <v>70</v>
      </c>
      <c r="I898">
        <v>2</v>
      </c>
      <c r="J898">
        <v>3</v>
      </c>
      <c r="K898" t="s">
        <v>70</v>
      </c>
      <c r="L898">
        <v>1</v>
      </c>
      <c r="M898">
        <v>1805</v>
      </c>
      <c r="N898">
        <v>1</v>
      </c>
      <c r="O898" t="s">
        <v>43</v>
      </c>
      <c r="P898">
        <v>100</v>
      </c>
      <c r="Q898">
        <v>3</v>
      </c>
      <c r="R898">
        <v>1</v>
      </c>
      <c r="S898" t="s">
        <v>70</v>
      </c>
      <c r="T898">
        <v>2</v>
      </c>
      <c r="U898" t="s">
        <v>101</v>
      </c>
      <c r="V898">
        <v>2592</v>
      </c>
      <c r="W898" t="s">
        <v>46</v>
      </c>
      <c r="X898">
        <v>7129</v>
      </c>
      <c r="Y898">
        <v>5</v>
      </c>
      <c r="Z898" t="s">
        <v>47</v>
      </c>
      <c r="AA898" t="s">
        <v>48</v>
      </c>
      <c r="AB898">
        <v>13</v>
      </c>
      <c r="AC898">
        <v>3</v>
      </c>
      <c r="AD898">
        <v>4</v>
      </c>
      <c r="AE898">
        <v>80</v>
      </c>
      <c r="AF898">
        <v>3</v>
      </c>
      <c r="AG898">
        <v>13</v>
      </c>
      <c r="AH898">
        <v>3</v>
      </c>
      <c r="AI898">
        <v>3</v>
      </c>
      <c r="AJ898">
        <v>11</v>
      </c>
      <c r="AK898">
        <v>10</v>
      </c>
      <c r="AL898">
        <v>3</v>
      </c>
    </row>
    <row r="899" spans="1:38" x14ac:dyDescent="0.3">
      <c r="A899" t="s">
        <v>968</v>
      </c>
      <c r="B899">
        <v>38</v>
      </c>
      <c r="C899" t="s">
        <v>800</v>
      </c>
      <c r="D899" t="s">
        <v>48</v>
      </c>
      <c r="E899">
        <f t="shared" ref="E899:E962" si="14">IF(D899="Yes",1,0)</f>
        <v>0</v>
      </c>
      <c r="F899" t="s">
        <v>40</v>
      </c>
      <c r="G899">
        <v>723</v>
      </c>
      <c r="H899" t="s">
        <v>50</v>
      </c>
      <c r="I899">
        <v>2</v>
      </c>
      <c r="J899">
        <v>4</v>
      </c>
      <c r="K899" t="s">
        <v>56</v>
      </c>
      <c r="L899">
        <v>1</v>
      </c>
      <c r="M899">
        <v>1835</v>
      </c>
      <c r="N899">
        <v>2</v>
      </c>
      <c r="O899" t="s">
        <v>52</v>
      </c>
      <c r="P899">
        <v>77</v>
      </c>
      <c r="Q899">
        <v>1</v>
      </c>
      <c r="R899">
        <v>2</v>
      </c>
      <c r="S899" t="s">
        <v>53</v>
      </c>
      <c r="T899">
        <v>4</v>
      </c>
      <c r="U899" t="s">
        <v>104</v>
      </c>
      <c r="V899">
        <v>5405</v>
      </c>
      <c r="W899" t="s">
        <v>162</v>
      </c>
      <c r="X899">
        <v>4244</v>
      </c>
      <c r="Y899">
        <v>2</v>
      </c>
      <c r="Z899" t="s">
        <v>47</v>
      </c>
      <c r="AA899" t="s">
        <v>39</v>
      </c>
      <c r="AB899">
        <v>20</v>
      </c>
      <c r="AC899">
        <v>4</v>
      </c>
      <c r="AD899">
        <v>1</v>
      </c>
      <c r="AE899">
        <v>80</v>
      </c>
      <c r="AF899">
        <v>2</v>
      </c>
      <c r="AG899">
        <v>20</v>
      </c>
      <c r="AH899">
        <v>4</v>
      </c>
      <c r="AI899">
        <v>2</v>
      </c>
      <c r="AJ899">
        <v>4</v>
      </c>
      <c r="AK899">
        <v>2</v>
      </c>
      <c r="AL899">
        <v>0</v>
      </c>
    </row>
    <row r="900" spans="1:38" x14ac:dyDescent="0.3">
      <c r="A900" t="s">
        <v>969</v>
      </c>
      <c r="B900">
        <v>38</v>
      </c>
      <c r="C900" t="s">
        <v>800</v>
      </c>
      <c r="D900" t="s">
        <v>48</v>
      </c>
      <c r="E900">
        <f t="shared" si="14"/>
        <v>0</v>
      </c>
      <c r="F900" t="s">
        <v>55</v>
      </c>
      <c r="G900">
        <v>1394</v>
      </c>
      <c r="H900" t="s">
        <v>41</v>
      </c>
      <c r="I900">
        <v>8</v>
      </c>
      <c r="J900">
        <v>3</v>
      </c>
      <c r="K900" t="s">
        <v>51</v>
      </c>
      <c r="L900">
        <v>1</v>
      </c>
      <c r="M900">
        <v>1937</v>
      </c>
      <c r="N900">
        <v>4</v>
      </c>
      <c r="O900" t="s">
        <v>52</v>
      </c>
      <c r="P900">
        <v>58</v>
      </c>
      <c r="Q900">
        <v>2</v>
      </c>
      <c r="R900">
        <v>2</v>
      </c>
      <c r="S900" t="s">
        <v>59</v>
      </c>
      <c r="T900">
        <v>2</v>
      </c>
      <c r="U900" t="s">
        <v>101</v>
      </c>
      <c r="V900">
        <v>2133</v>
      </c>
      <c r="W900" t="s">
        <v>46</v>
      </c>
      <c r="X900">
        <v>18115</v>
      </c>
      <c r="Y900">
        <v>1</v>
      </c>
      <c r="Z900" t="s">
        <v>47</v>
      </c>
      <c r="AA900" t="s">
        <v>39</v>
      </c>
      <c r="AB900">
        <v>16</v>
      </c>
      <c r="AC900">
        <v>3</v>
      </c>
      <c r="AD900">
        <v>3</v>
      </c>
      <c r="AE900">
        <v>80</v>
      </c>
      <c r="AF900">
        <v>1</v>
      </c>
      <c r="AG900">
        <v>20</v>
      </c>
      <c r="AH900">
        <v>3</v>
      </c>
      <c r="AI900">
        <v>3</v>
      </c>
      <c r="AJ900">
        <v>20</v>
      </c>
      <c r="AK900">
        <v>11</v>
      </c>
      <c r="AL900">
        <v>0</v>
      </c>
    </row>
    <row r="901" spans="1:38" x14ac:dyDescent="0.3">
      <c r="A901" t="s">
        <v>970</v>
      </c>
      <c r="B901">
        <v>38</v>
      </c>
      <c r="C901" t="s">
        <v>800</v>
      </c>
      <c r="D901" t="s">
        <v>48</v>
      </c>
      <c r="E901">
        <f t="shared" si="14"/>
        <v>0</v>
      </c>
      <c r="F901" t="s">
        <v>40</v>
      </c>
      <c r="G901">
        <v>1206</v>
      </c>
      <c r="H901" t="s">
        <v>41</v>
      </c>
      <c r="I901">
        <v>9</v>
      </c>
      <c r="J901">
        <v>2</v>
      </c>
      <c r="K901" t="s">
        <v>42</v>
      </c>
      <c r="L901">
        <v>1</v>
      </c>
      <c r="M901">
        <v>1940</v>
      </c>
      <c r="N901">
        <v>2</v>
      </c>
      <c r="O901" t="s">
        <v>43</v>
      </c>
      <c r="P901">
        <v>71</v>
      </c>
      <c r="Q901">
        <v>3</v>
      </c>
      <c r="R901">
        <v>1</v>
      </c>
      <c r="S901" t="s">
        <v>59</v>
      </c>
      <c r="T901">
        <v>4</v>
      </c>
      <c r="U901" t="s">
        <v>101</v>
      </c>
      <c r="V901">
        <v>4771</v>
      </c>
      <c r="W901" t="s">
        <v>46</v>
      </c>
      <c r="X901">
        <v>14293</v>
      </c>
      <c r="Y901">
        <v>2</v>
      </c>
      <c r="Z901" t="s">
        <v>47</v>
      </c>
      <c r="AA901" t="s">
        <v>48</v>
      </c>
      <c r="AB901">
        <v>19</v>
      </c>
      <c r="AC901">
        <v>3</v>
      </c>
      <c r="AD901">
        <v>4</v>
      </c>
      <c r="AE901">
        <v>80</v>
      </c>
      <c r="AF901">
        <v>2</v>
      </c>
      <c r="AG901">
        <v>10</v>
      </c>
      <c r="AH901">
        <v>0</v>
      </c>
      <c r="AI901">
        <v>4</v>
      </c>
      <c r="AJ901">
        <v>5</v>
      </c>
      <c r="AK901">
        <v>2</v>
      </c>
      <c r="AL901">
        <v>0</v>
      </c>
    </row>
    <row r="902" spans="1:38" x14ac:dyDescent="0.3">
      <c r="A902" t="s">
        <v>971</v>
      </c>
      <c r="B902">
        <v>38</v>
      </c>
      <c r="C902" t="s">
        <v>800</v>
      </c>
      <c r="D902" t="s">
        <v>48</v>
      </c>
      <c r="E902">
        <f t="shared" si="14"/>
        <v>0</v>
      </c>
      <c r="F902" t="s">
        <v>40</v>
      </c>
      <c r="G902">
        <v>1404</v>
      </c>
      <c r="H902" t="s">
        <v>50</v>
      </c>
      <c r="I902">
        <v>1</v>
      </c>
      <c r="J902">
        <v>3</v>
      </c>
      <c r="K902" t="s">
        <v>42</v>
      </c>
      <c r="L902">
        <v>1</v>
      </c>
      <c r="M902">
        <v>1961</v>
      </c>
      <c r="N902">
        <v>1</v>
      </c>
      <c r="O902" t="s">
        <v>43</v>
      </c>
      <c r="P902">
        <v>59</v>
      </c>
      <c r="Q902">
        <v>2</v>
      </c>
      <c r="R902">
        <v>1</v>
      </c>
      <c r="S902" t="s">
        <v>53</v>
      </c>
      <c r="T902">
        <v>1</v>
      </c>
      <c r="U902" t="s">
        <v>45</v>
      </c>
      <c r="V902">
        <v>2858</v>
      </c>
      <c r="W902" t="s">
        <v>46</v>
      </c>
      <c r="X902">
        <v>11473</v>
      </c>
      <c r="Y902">
        <v>4</v>
      </c>
      <c r="Z902" t="s">
        <v>47</v>
      </c>
      <c r="AA902" t="s">
        <v>48</v>
      </c>
      <c r="AB902">
        <v>14</v>
      </c>
      <c r="AC902">
        <v>3</v>
      </c>
      <c r="AD902">
        <v>1</v>
      </c>
      <c r="AE902">
        <v>80</v>
      </c>
      <c r="AF902">
        <v>0</v>
      </c>
      <c r="AG902">
        <v>20</v>
      </c>
      <c r="AH902">
        <v>3</v>
      </c>
      <c r="AI902">
        <v>2</v>
      </c>
      <c r="AJ902">
        <v>1</v>
      </c>
      <c r="AK902">
        <v>0</v>
      </c>
      <c r="AL902">
        <v>0</v>
      </c>
    </row>
    <row r="903" spans="1:38" x14ac:dyDescent="0.3">
      <c r="A903" t="s">
        <v>972</v>
      </c>
      <c r="B903">
        <v>38</v>
      </c>
      <c r="C903" t="s">
        <v>800</v>
      </c>
      <c r="D903" t="s">
        <v>48</v>
      </c>
      <c r="E903">
        <f t="shared" si="14"/>
        <v>0</v>
      </c>
      <c r="F903" t="s">
        <v>55</v>
      </c>
      <c r="G903">
        <v>1444</v>
      </c>
      <c r="H903" t="s">
        <v>70</v>
      </c>
      <c r="I903">
        <v>1</v>
      </c>
      <c r="J903">
        <v>4</v>
      </c>
      <c r="K903" t="s">
        <v>72</v>
      </c>
      <c r="L903">
        <v>1</v>
      </c>
      <c r="M903">
        <v>1972</v>
      </c>
      <c r="N903">
        <v>4</v>
      </c>
      <c r="O903" t="s">
        <v>43</v>
      </c>
      <c r="P903">
        <v>88</v>
      </c>
      <c r="Q903">
        <v>3</v>
      </c>
      <c r="R903">
        <v>1</v>
      </c>
      <c r="S903" t="s">
        <v>70</v>
      </c>
      <c r="T903">
        <v>2</v>
      </c>
      <c r="U903" t="s">
        <v>104</v>
      </c>
      <c r="V903">
        <v>2991</v>
      </c>
      <c r="W903" t="s">
        <v>46</v>
      </c>
      <c r="X903">
        <v>5224</v>
      </c>
      <c r="Y903">
        <v>0</v>
      </c>
      <c r="Z903" t="s">
        <v>47</v>
      </c>
      <c r="AA903" t="s">
        <v>39</v>
      </c>
      <c r="AB903">
        <v>11</v>
      </c>
      <c r="AC903">
        <v>3</v>
      </c>
      <c r="AD903">
        <v>2</v>
      </c>
      <c r="AE903">
        <v>80</v>
      </c>
      <c r="AF903">
        <v>1</v>
      </c>
      <c r="AG903">
        <v>7</v>
      </c>
      <c r="AH903">
        <v>2</v>
      </c>
      <c r="AI903">
        <v>3</v>
      </c>
      <c r="AJ903">
        <v>6</v>
      </c>
      <c r="AK903">
        <v>2</v>
      </c>
      <c r="AL903">
        <v>1</v>
      </c>
    </row>
    <row r="904" spans="1:38" x14ac:dyDescent="0.3">
      <c r="A904" t="s">
        <v>973</v>
      </c>
      <c r="B904">
        <v>38</v>
      </c>
      <c r="C904" t="s">
        <v>800</v>
      </c>
      <c r="D904" t="s">
        <v>48</v>
      </c>
      <c r="E904">
        <f t="shared" si="14"/>
        <v>0</v>
      </c>
      <c r="F904" t="s">
        <v>40</v>
      </c>
      <c r="G904">
        <v>1321</v>
      </c>
      <c r="H904" t="s">
        <v>50</v>
      </c>
      <c r="I904">
        <v>1</v>
      </c>
      <c r="J904">
        <v>4</v>
      </c>
      <c r="K904" t="s">
        <v>42</v>
      </c>
      <c r="L904">
        <v>1</v>
      </c>
      <c r="M904">
        <v>1995</v>
      </c>
      <c r="N904">
        <v>4</v>
      </c>
      <c r="O904" t="s">
        <v>43</v>
      </c>
      <c r="P904">
        <v>86</v>
      </c>
      <c r="Q904">
        <v>3</v>
      </c>
      <c r="R904">
        <v>2</v>
      </c>
      <c r="S904" t="s">
        <v>136</v>
      </c>
      <c r="T904">
        <v>2</v>
      </c>
      <c r="U904" t="s">
        <v>104</v>
      </c>
      <c r="V904">
        <v>4440</v>
      </c>
      <c r="W904" t="s">
        <v>46</v>
      </c>
      <c r="X904">
        <v>7636</v>
      </c>
      <c r="Y904">
        <v>0</v>
      </c>
      <c r="Z904" t="s">
        <v>47</v>
      </c>
      <c r="AA904" t="s">
        <v>48</v>
      </c>
      <c r="AB904">
        <v>15</v>
      </c>
      <c r="AC904">
        <v>3</v>
      </c>
      <c r="AD904">
        <v>1</v>
      </c>
      <c r="AE904">
        <v>80</v>
      </c>
      <c r="AF904">
        <v>2</v>
      </c>
      <c r="AG904">
        <v>16</v>
      </c>
      <c r="AH904">
        <v>3</v>
      </c>
      <c r="AI904">
        <v>3</v>
      </c>
      <c r="AJ904">
        <v>15</v>
      </c>
      <c r="AK904">
        <v>13</v>
      </c>
      <c r="AL904">
        <v>5</v>
      </c>
    </row>
    <row r="905" spans="1:38" x14ac:dyDescent="0.3">
      <c r="A905" t="s">
        <v>974</v>
      </c>
      <c r="B905">
        <v>38</v>
      </c>
      <c r="C905" t="s">
        <v>800</v>
      </c>
      <c r="D905" t="s">
        <v>48</v>
      </c>
      <c r="E905">
        <f t="shared" si="14"/>
        <v>0</v>
      </c>
      <c r="F905" t="s">
        <v>55</v>
      </c>
      <c r="G905">
        <v>508</v>
      </c>
      <c r="H905" t="s">
        <v>41</v>
      </c>
      <c r="I905">
        <v>6</v>
      </c>
      <c r="J905">
        <v>4</v>
      </c>
      <c r="K905" t="s">
        <v>42</v>
      </c>
      <c r="L905">
        <v>1</v>
      </c>
      <c r="M905">
        <v>1997</v>
      </c>
      <c r="N905">
        <v>1</v>
      </c>
      <c r="O905" t="s">
        <v>43</v>
      </c>
      <c r="P905">
        <v>72</v>
      </c>
      <c r="Q905">
        <v>2</v>
      </c>
      <c r="R905">
        <v>2</v>
      </c>
      <c r="S905" t="s">
        <v>111</v>
      </c>
      <c r="T905">
        <v>3</v>
      </c>
      <c r="U905" t="s">
        <v>104</v>
      </c>
      <c r="V905">
        <v>5321</v>
      </c>
      <c r="W905" t="s">
        <v>162</v>
      </c>
      <c r="X905">
        <v>14284</v>
      </c>
      <c r="Y905">
        <v>2</v>
      </c>
      <c r="Z905" t="s">
        <v>47</v>
      </c>
      <c r="AA905" t="s">
        <v>48</v>
      </c>
      <c r="AB905">
        <v>11</v>
      </c>
      <c r="AC905">
        <v>3</v>
      </c>
      <c r="AD905">
        <v>4</v>
      </c>
      <c r="AE905">
        <v>80</v>
      </c>
      <c r="AF905">
        <v>1</v>
      </c>
      <c r="AG905">
        <v>10</v>
      </c>
      <c r="AH905">
        <v>1</v>
      </c>
      <c r="AI905">
        <v>3</v>
      </c>
      <c r="AJ905">
        <v>8</v>
      </c>
      <c r="AK905">
        <v>3</v>
      </c>
      <c r="AL905">
        <v>7</v>
      </c>
    </row>
    <row r="906" spans="1:38" x14ac:dyDescent="0.3">
      <c r="A906" t="s">
        <v>975</v>
      </c>
      <c r="B906">
        <v>38</v>
      </c>
      <c r="C906" t="s">
        <v>800</v>
      </c>
      <c r="D906" t="s">
        <v>48</v>
      </c>
      <c r="E906">
        <f t="shared" si="14"/>
        <v>0</v>
      </c>
      <c r="F906" t="s">
        <v>40</v>
      </c>
      <c r="G906">
        <v>201</v>
      </c>
      <c r="H906" t="s">
        <v>41</v>
      </c>
      <c r="I906">
        <v>10</v>
      </c>
      <c r="J906">
        <v>3</v>
      </c>
      <c r="K906" t="s">
        <v>51</v>
      </c>
      <c r="L906">
        <v>1</v>
      </c>
      <c r="M906">
        <v>2015</v>
      </c>
      <c r="N906">
        <v>2</v>
      </c>
      <c r="O906" t="s">
        <v>52</v>
      </c>
      <c r="P906">
        <v>99</v>
      </c>
      <c r="Q906">
        <v>1</v>
      </c>
      <c r="R906">
        <v>3</v>
      </c>
      <c r="S906" t="s">
        <v>251</v>
      </c>
      <c r="T906">
        <v>3</v>
      </c>
      <c r="U906" t="s">
        <v>104</v>
      </c>
      <c r="V906">
        <v>13206</v>
      </c>
      <c r="W906" t="s">
        <v>252</v>
      </c>
      <c r="X906">
        <v>3376</v>
      </c>
      <c r="Y906">
        <v>3</v>
      </c>
      <c r="Z906" t="s">
        <v>47</v>
      </c>
      <c r="AA906" t="s">
        <v>48</v>
      </c>
      <c r="AB906">
        <v>12</v>
      </c>
      <c r="AC906">
        <v>3</v>
      </c>
      <c r="AD906">
        <v>1</v>
      </c>
      <c r="AE906">
        <v>80</v>
      </c>
      <c r="AF906">
        <v>1</v>
      </c>
      <c r="AG906">
        <v>20</v>
      </c>
      <c r="AH906">
        <v>3</v>
      </c>
      <c r="AI906">
        <v>3</v>
      </c>
      <c r="AJ906">
        <v>18</v>
      </c>
      <c r="AK906">
        <v>16</v>
      </c>
      <c r="AL906">
        <v>1</v>
      </c>
    </row>
    <row r="907" spans="1:38" x14ac:dyDescent="0.3">
      <c r="A907" t="s">
        <v>976</v>
      </c>
      <c r="B907">
        <v>38</v>
      </c>
      <c r="C907" t="s">
        <v>800</v>
      </c>
      <c r="D907" t="s">
        <v>48</v>
      </c>
      <c r="E907">
        <f t="shared" si="14"/>
        <v>0</v>
      </c>
      <c r="F907" t="s">
        <v>40</v>
      </c>
      <c r="G907">
        <v>345</v>
      </c>
      <c r="H907" t="s">
        <v>50</v>
      </c>
      <c r="I907">
        <v>10</v>
      </c>
      <c r="J907">
        <v>2</v>
      </c>
      <c r="K907" t="s">
        <v>42</v>
      </c>
      <c r="L907">
        <v>1</v>
      </c>
      <c r="M907">
        <v>2041</v>
      </c>
      <c r="N907">
        <v>1</v>
      </c>
      <c r="O907" t="s">
        <v>52</v>
      </c>
      <c r="P907">
        <v>100</v>
      </c>
      <c r="Q907">
        <v>3</v>
      </c>
      <c r="R907">
        <v>2</v>
      </c>
      <c r="S907" t="s">
        <v>136</v>
      </c>
      <c r="T907">
        <v>4</v>
      </c>
      <c r="U907" t="s">
        <v>104</v>
      </c>
      <c r="V907">
        <v>5343</v>
      </c>
      <c r="W907" t="s">
        <v>162</v>
      </c>
      <c r="X907">
        <v>5982</v>
      </c>
      <c r="Y907">
        <v>1</v>
      </c>
      <c r="Z907" t="s">
        <v>47</v>
      </c>
      <c r="AA907" t="s">
        <v>48</v>
      </c>
      <c r="AB907">
        <v>11</v>
      </c>
      <c r="AC907">
        <v>3</v>
      </c>
      <c r="AD907">
        <v>3</v>
      </c>
      <c r="AE907">
        <v>80</v>
      </c>
      <c r="AF907">
        <v>1</v>
      </c>
      <c r="AG907">
        <v>10</v>
      </c>
      <c r="AH907">
        <v>1</v>
      </c>
      <c r="AI907">
        <v>3</v>
      </c>
      <c r="AJ907">
        <v>10</v>
      </c>
      <c r="AK907">
        <v>7</v>
      </c>
      <c r="AL907">
        <v>1</v>
      </c>
    </row>
    <row r="908" spans="1:38" x14ac:dyDescent="0.3">
      <c r="A908" t="s">
        <v>977</v>
      </c>
      <c r="B908">
        <v>39</v>
      </c>
      <c r="C908" t="s">
        <v>800</v>
      </c>
      <c r="D908" t="s">
        <v>39</v>
      </c>
      <c r="E908">
        <f t="shared" si="14"/>
        <v>1</v>
      </c>
      <c r="F908" t="s">
        <v>40</v>
      </c>
      <c r="G908">
        <v>895</v>
      </c>
      <c r="H908" t="s">
        <v>50</v>
      </c>
      <c r="I908">
        <v>5</v>
      </c>
      <c r="J908">
        <v>3</v>
      </c>
      <c r="K908" t="s">
        <v>67</v>
      </c>
      <c r="L908">
        <v>1</v>
      </c>
      <c r="M908">
        <v>42</v>
      </c>
      <c r="N908">
        <v>4</v>
      </c>
      <c r="O908" t="s">
        <v>43</v>
      </c>
      <c r="P908">
        <v>56</v>
      </c>
      <c r="Q908">
        <v>3</v>
      </c>
      <c r="R908">
        <v>2</v>
      </c>
      <c r="S908" t="s">
        <v>53</v>
      </c>
      <c r="T908">
        <v>4</v>
      </c>
      <c r="U908" t="s">
        <v>104</v>
      </c>
      <c r="V908">
        <v>2086</v>
      </c>
      <c r="W908" t="s">
        <v>46</v>
      </c>
      <c r="X908">
        <v>3335</v>
      </c>
      <c r="Y908">
        <v>3</v>
      </c>
      <c r="Z908" t="s">
        <v>47</v>
      </c>
      <c r="AA908" t="s">
        <v>48</v>
      </c>
      <c r="AB908">
        <v>14</v>
      </c>
      <c r="AC908">
        <v>3</v>
      </c>
      <c r="AD908">
        <v>3</v>
      </c>
      <c r="AE908">
        <v>80</v>
      </c>
      <c r="AF908">
        <v>1</v>
      </c>
      <c r="AG908">
        <v>19</v>
      </c>
      <c r="AH908">
        <v>6</v>
      </c>
      <c r="AI908">
        <v>4</v>
      </c>
      <c r="AJ908">
        <v>1</v>
      </c>
      <c r="AK908">
        <v>0</v>
      </c>
      <c r="AL908">
        <v>0</v>
      </c>
    </row>
    <row r="909" spans="1:38" x14ac:dyDescent="0.3">
      <c r="A909" t="s">
        <v>978</v>
      </c>
      <c r="B909">
        <v>39</v>
      </c>
      <c r="C909" t="s">
        <v>800</v>
      </c>
      <c r="D909" t="s">
        <v>48</v>
      </c>
      <c r="E909">
        <f t="shared" si="14"/>
        <v>0</v>
      </c>
      <c r="F909" t="s">
        <v>40</v>
      </c>
      <c r="G909">
        <v>1329</v>
      </c>
      <c r="H909" t="s">
        <v>50</v>
      </c>
      <c r="I909">
        <v>4</v>
      </c>
      <c r="J909">
        <v>4</v>
      </c>
      <c r="K909" t="s">
        <v>42</v>
      </c>
      <c r="L909">
        <v>1</v>
      </c>
      <c r="M909">
        <v>182</v>
      </c>
      <c r="N909">
        <v>4</v>
      </c>
      <c r="O909" t="s">
        <v>52</v>
      </c>
      <c r="P909">
        <v>47</v>
      </c>
      <c r="Q909">
        <v>2</v>
      </c>
      <c r="R909">
        <v>2</v>
      </c>
      <c r="S909" t="s">
        <v>136</v>
      </c>
      <c r="T909">
        <v>3</v>
      </c>
      <c r="U909" t="s">
        <v>104</v>
      </c>
      <c r="V909">
        <v>5902</v>
      </c>
      <c r="W909" t="s">
        <v>162</v>
      </c>
      <c r="X909">
        <v>14590</v>
      </c>
      <c r="Y909">
        <v>4</v>
      </c>
      <c r="Z909" t="s">
        <v>47</v>
      </c>
      <c r="AA909" t="s">
        <v>48</v>
      </c>
      <c r="AB909">
        <v>14</v>
      </c>
      <c r="AC909">
        <v>3</v>
      </c>
      <c r="AD909">
        <v>3</v>
      </c>
      <c r="AE909">
        <v>80</v>
      </c>
      <c r="AF909">
        <v>1</v>
      </c>
      <c r="AG909">
        <v>17</v>
      </c>
      <c r="AH909">
        <v>1</v>
      </c>
      <c r="AI909">
        <v>4</v>
      </c>
      <c r="AJ909">
        <v>15</v>
      </c>
      <c r="AK909">
        <v>11</v>
      </c>
      <c r="AL909">
        <v>5</v>
      </c>
    </row>
    <row r="910" spans="1:38" x14ac:dyDescent="0.3">
      <c r="A910" t="s">
        <v>979</v>
      </c>
      <c r="B910">
        <v>39</v>
      </c>
      <c r="C910" t="s">
        <v>800</v>
      </c>
      <c r="D910" t="s">
        <v>48</v>
      </c>
      <c r="E910">
        <f t="shared" si="14"/>
        <v>0</v>
      </c>
      <c r="F910" t="s">
        <v>40</v>
      </c>
      <c r="G910">
        <v>1431</v>
      </c>
      <c r="H910" t="s">
        <v>41</v>
      </c>
      <c r="I910">
        <v>1</v>
      </c>
      <c r="J910">
        <v>4</v>
      </c>
      <c r="K910" t="s">
        <v>51</v>
      </c>
      <c r="L910">
        <v>1</v>
      </c>
      <c r="M910">
        <v>332</v>
      </c>
      <c r="N910">
        <v>3</v>
      </c>
      <c r="O910" t="s">
        <v>52</v>
      </c>
      <c r="P910">
        <v>96</v>
      </c>
      <c r="Q910">
        <v>3</v>
      </c>
      <c r="R910">
        <v>1</v>
      </c>
      <c r="S910" t="s">
        <v>44</v>
      </c>
      <c r="T910">
        <v>3</v>
      </c>
      <c r="U910" t="s">
        <v>101</v>
      </c>
      <c r="V910">
        <v>2232</v>
      </c>
      <c r="W910" t="s">
        <v>46</v>
      </c>
      <c r="X910">
        <v>15417</v>
      </c>
      <c r="Y910">
        <v>7</v>
      </c>
      <c r="Z910" t="s">
        <v>47</v>
      </c>
      <c r="AA910" t="s">
        <v>48</v>
      </c>
      <c r="AB910">
        <v>14</v>
      </c>
      <c r="AC910">
        <v>3</v>
      </c>
      <c r="AD910">
        <v>3</v>
      </c>
      <c r="AE910">
        <v>80</v>
      </c>
      <c r="AF910">
        <v>3</v>
      </c>
      <c r="AG910">
        <v>7</v>
      </c>
      <c r="AH910">
        <v>1</v>
      </c>
      <c r="AI910">
        <v>3</v>
      </c>
      <c r="AJ910">
        <v>3</v>
      </c>
      <c r="AK910">
        <v>2</v>
      </c>
      <c r="AL910">
        <v>1</v>
      </c>
    </row>
    <row r="911" spans="1:38" x14ac:dyDescent="0.3">
      <c r="A911" t="s">
        <v>980</v>
      </c>
      <c r="B911">
        <v>39</v>
      </c>
      <c r="C911" t="s">
        <v>800</v>
      </c>
      <c r="D911" t="s">
        <v>48</v>
      </c>
      <c r="E911">
        <f t="shared" si="14"/>
        <v>0</v>
      </c>
      <c r="F911" t="s">
        <v>55</v>
      </c>
      <c r="G911">
        <v>505</v>
      </c>
      <c r="H911" t="s">
        <v>41</v>
      </c>
      <c r="I911">
        <v>2</v>
      </c>
      <c r="J911">
        <v>4</v>
      </c>
      <c r="K911" t="s">
        <v>67</v>
      </c>
      <c r="L911">
        <v>1</v>
      </c>
      <c r="M911">
        <v>343</v>
      </c>
      <c r="N911">
        <v>3</v>
      </c>
      <c r="O911" t="s">
        <v>52</v>
      </c>
      <c r="P911">
        <v>64</v>
      </c>
      <c r="Q911">
        <v>3</v>
      </c>
      <c r="R911">
        <v>3</v>
      </c>
      <c r="S911" t="s">
        <v>160</v>
      </c>
      <c r="T911">
        <v>3</v>
      </c>
      <c r="U911" t="s">
        <v>45</v>
      </c>
      <c r="V911">
        <v>10938</v>
      </c>
      <c r="W911" t="s">
        <v>252</v>
      </c>
      <c r="X911">
        <v>6420</v>
      </c>
      <c r="Y911">
        <v>0</v>
      </c>
      <c r="Z911" t="s">
        <v>47</v>
      </c>
      <c r="AA911" t="s">
        <v>48</v>
      </c>
      <c r="AB911">
        <v>25</v>
      </c>
      <c r="AC911">
        <v>4</v>
      </c>
      <c r="AD911">
        <v>4</v>
      </c>
      <c r="AE911">
        <v>80</v>
      </c>
      <c r="AF911">
        <v>0</v>
      </c>
      <c r="AG911">
        <v>20</v>
      </c>
      <c r="AH911">
        <v>1</v>
      </c>
      <c r="AI911">
        <v>3</v>
      </c>
      <c r="AJ911">
        <v>19</v>
      </c>
      <c r="AK911">
        <v>6</v>
      </c>
      <c r="AL911">
        <v>11</v>
      </c>
    </row>
    <row r="912" spans="1:38" x14ac:dyDescent="0.3">
      <c r="A912" t="s">
        <v>981</v>
      </c>
      <c r="B912">
        <v>39</v>
      </c>
      <c r="C912" t="s">
        <v>800</v>
      </c>
      <c r="D912" t="s">
        <v>48</v>
      </c>
      <c r="E912">
        <f t="shared" si="14"/>
        <v>0</v>
      </c>
      <c r="F912" t="s">
        <v>40</v>
      </c>
      <c r="G912">
        <v>1132</v>
      </c>
      <c r="H912" t="s">
        <v>41</v>
      </c>
      <c r="I912">
        <v>1</v>
      </c>
      <c r="J912">
        <v>3</v>
      </c>
      <c r="K912" t="s">
        <v>51</v>
      </c>
      <c r="L912">
        <v>1</v>
      </c>
      <c r="M912">
        <v>417</v>
      </c>
      <c r="N912">
        <v>3</v>
      </c>
      <c r="O912" t="s">
        <v>43</v>
      </c>
      <c r="P912">
        <v>48</v>
      </c>
      <c r="Q912">
        <v>4</v>
      </c>
      <c r="R912">
        <v>3</v>
      </c>
      <c r="S912" t="s">
        <v>160</v>
      </c>
      <c r="T912">
        <v>4</v>
      </c>
      <c r="U912" t="s">
        <v>101</v>
      </c>
      <c r="V912">
        <v>9613</v>
      </c>
      <c r="W912" t="s">
        <v>162</v>
      </c>
      <c r="X912">
        <v>10942</v>
      </c>
      <c r="Y912">
        <v>0</v>
      </c>
      <c r="Z912" t="s">
        <v>47</v>
      </c>
      <c r="AA912" t="s">
        <v>48</v>
      </c>
      <c r="AB912">
        <v>17</v>
      </c>
      <c r="AC912">
        <v>3</v>
      </c>
      <c r="AD912">
        <v>1</v>
      </c>
      <c r="AE912">
        <v>80</v>
      </c>
      <c r="AF912">
        <v>3</v>
      </c>
      <c r="AG912">
        <v>19</v>
      </c>
      <c r="AH912">
        <v>5</v>
      </c>
      <c r="AI912">
        <v>2</v>
      </c>
      <c r="AJ912">
        <v>18</v>
      </c>
      <c r="AK912">
        <v>10</v>
      </c>
      <c r="AL912">
        <v>3</v>
      </c>
    </row>
    <row r="913" spans="1:38" x14ac:dyDescent="0.3">
      <c r="A913" t="s">
        <v>982</v>
      </c>
      <c r="B913">
        <v>39</v>
      </c>
      <c r="C913" t="s">
        <v>800</v>
      </c>
      <c r="D913" t="s">
        <v>48</v>
      </c>
      <c r="E913">
        <f t="shared" si="14"/>
        <v>0</v>
      </c>
      <c r="F913" t="s">
        <v>40</v>
      </c>
      <c r="G913">
        <v>117</v>
      </c>
      <c r="H913" t="s">
        <v>41</v>
      </c>
      <c r="I913">
        <v>10</v>
      </c>
      <c r="J913">
        <v>1</v>
      </c>
      <c r="K913" t="s">
        <v>51</v>
      </c>
      <c r="L913">
        <v>1</v>
      </c>
      <c r="M913">
        <v>429</v>
      </c>
      <c r="N913">
        <v>3</v>
      </c>
      <c r="O913" t="s">
        <v>43</v>
      </c>
      <c r="P913">
        <v>99</v>
      </c>
      <c r="Q913">
        <v>3</v>
      </c>
      <c r="R913">
        <v>4</v>
      </c>
      <c r="S913" t="s">
        <v>440</v>
      </c>
      <c r="T913">
        <v>1</v>
      </c>
      <c r="U913" t="s">
        <v>104</v>
      </c>
      <c r="V913">
        <v>17068</v>
      </c>
      <c r="W913" t="s">
        <v>366</v>
      </c>
      <c r="X913">
        <v>5355</v>
      </c>
      <c r="Y913">
        <v>1</v>
      </c>
      <c r="Z913" t="s">
        <v>47</v>
      </c>
      <c r="AA913" t="s">
        <v>39</v>
      </c>
      <c r="AB913">
        <v>14</v>
      </c>
      <c r="AC913">
        <v>3</v>
      </c>
      <c r="AD913">
        <v>4</v>
      </c>
      <c r="AE913">
        <v>80</v>
      </c>
      <c r="AF913">
        <v>0</v>
      </c>
      <c r="AG913">
        <v>21</v>
      </c>
      <c r="AH913">
        <v>3</v>
      </c>
      <c r="AI913">
        <v>3</v>
      </c>
      <c r="AJ913">
        <v>21</v>
      </c>
      <c r="AK913">
        <v>9</v>
      </c>
      <c r="AL913">
        <v>11</v>
      </c>
    </row>
    <row r="914" spans="1:38" x14ac:dyDescent="0.3">
      <c r="A914" t="s">
        <v>983</v>
      </c>
      <c r="B914">
        <v>39</v>
      </c>
      <c r="C914" t="s">
        <v>800</v>
      </c>
      <c r="D914" t="s">
        <v>48</v>
      </c>
      <c r="E914">
        <f t="shared" si="14"/>
        <v>0</v>
      </c>
      <c r="F914" t="s">
        <v>55</v>
      </c>
      <c r="G914">
        <v>672</v>
      </c>
      <c r="H914" t="s">
        <v>41</v>
      </c>
      <c r="I914">
        <v>7</v>
      </c>
      <c r="J914">
        <v>2</v>
      </c>
      <c r="K914" t="s">
        <v>51</v>
      </c>
      <c r="L914">
        <v>1</v>
      </c>
      <c r="M914">
        <v>444</v>
      </c>
      <c r="N914">
        <v>3</v>
      </c>
      <c r="O914" t="s">
        <v>43</v>
      </c>
      <c r="P914">
        <v>54</v>
      </c>
      <c r="Q914">
        <v>2</v>
      </c>
      <c r="R914">
        <v>5</v>
      </c>
      <c r="S914" t="s">
        <v>440</v>
      </c>
      <c r="T914">
        <v>4</v>
      </c>
      <c r="U914" t="s">
        <v>104</v>
      </c>
      <c r="V914">
        <v>19272</v>
      </c>
      <c r="W914" t="s">
        <v>366</v>
      </c>
      <c r="X914">
        <v>21141</v>
      </c>
      <c r="Y914">
        <v>1</v>
      </c>
      <c r="Z914" t="s">
        <v>47</v>
      </c>
      <c r="AA914" t="s">
        <v>48</v>
      </c>
      <c r="AB914">
        <v>15</v>
      </c>
      <c r="AC914">
        <v>3</v>
      </c>
      <c r="AD914">
        <v>1</v>
      </c>
      <c r="AE914">
        <v>80</v>
      </c>
      <c r="AF914">
        <v>1</v>
      </c>
      <c r="AG914">
        <v>21</v>
      </c>
      <c r="AH914">
        <v>2</v>
      </c>
      <c r="AI914">
        <v>3</v>
      </c>
      <c r="AJ914">
        <v>21</v>
      </c>
      <c r="AK914">
        <v>9</v>
      </c>
      <c r="AL914">
        <v>13</v>
      </c>
    </row>
    <row r="915" spans="1:38" x14ac:dyDescent="0.3">
      <c r="A915" t="s">
        <v>984</v>
      </c>
      <c r="B915">
        <v>39</v>
      </c>
      <c r="C915" t="s">
        <v>800</v>
      </c>
      <c r="D915" t="s">
        <v>39</v>
      </c>
      <c r="E915">
        <f t="shared" si="14"/>
        <v>1</v>
      </c>
      <c r="F915" t="s">
        <v>40</v>
      </c>
      <c r="G915">
        <v>1162</v>
      </c>
      <c r="H915" t="s">
        <v>50</v>
      </c>
      <c r="I915">
        <v>3</v>
      </c>
      <c r="J915">
        <v>2</v>
      </c>
      <c r="K915" t="s">
        <v>51</v>
      </c>
      <c r="L915">
        <v>1</v>
      </c>
      <c r="M915">
        <v>445</v>
      </c>
      <c r="N915">
        <v>4</v>
      </c>
      <c r="O915" t="s">
        <v>52</v>
      </c>
      <c r="P915">
        <v>41</v>
      </c>
      <c r="Q915">
        <v>3</v>
      </c>
      <c r="R915">
        <v>2</v>
      </c>
      <c r="S915" t="s">
        <v>136</v>
      </c>
      <c r="T915">
        <v>3</v>
      </c>
      <c r="U915" t="s">
        <v>104</v>
      </c>
      <c r="V915">
        <v>5238</v>
      </c>
      <c r="W915" t="s">
        <v>162</v>
      </c>
      <c r="X915">
        <v>17778</v>
      </c>
      <c r="Y915">
        <v>4</v>
      </c>
      <c r="Z915" t="s">
        <v>47</v>
      </c>
      <c r="AA915" t="s">
        <v>39</v>
      </c>
      <c r="AB915">
        <v>18</v>
      </c>
      <c r="AC915">
        <v>3</v>
      </c>
      <c r="AD915">
        <v>1</v>
      </c>
      <c r="AE915">
        <v>80</v>
      </c>
      <c r="AF915">
        <v>0</v>
      </c>
      <c r="AG915">
        <v>12</v>
      </c>
      <c r="AH915">
        <v>3</v>
      </c>
      <c r="AI915">
        <v>2</v>
      </c>
      <c r="AJ915">
        <v>1</v>
      </c>
      <c r="AK915">
        <v>0</v>
      </c>
      <c r="AL915">
        <v>0</v>
      </c>
    </row>
    <row r="916" spans="1:38" x14ac:dyDescent="0.3">
      <c r="A916" t="s">
        <v>985</v>
      </c>
      <c r="B916">
        <v>39</v>
      </c>
      <c r="C916" t="s">
        <v>800</v>
      </c>
      <c r="D916" t="s">
        <v>48</v>
      </c>
      <c r="E916">
        <f t="shared" si="14"/>
        <v>0</v>
      </c>
      <c r="F916" t="s">
        <v>55</v>
      </c>
      <c r="G916">
        <v>1218</v>
      </c>
      <c r="H916" t="s">
        <v>41</v>
      </c>
      <c r="I916">
        <v>1</v>
      </c>
      <c r="J916">
        <v>1</v>
      </c>
      <c r="K916" t="s">
        <v>42</v>
      </c>
      <c r="L916">
        <v>1</v>
      </c>
      <c r="M916">
        <v>531</v>
      </c>
      <c r="N916">
        <v>2</v>
      </c>
      <c r="O916" t="s">
        <v>43</v>
      </c>
      <c r="P916">
        <v>52</v>
      </c>
      <c r="Q916">
        <v>3</v>
      </c>
      <c r="R916">
        <v>5</v>
      </c>
      <c r="S916" t="s">
        <v>440</v>
      </c>
      <c r="T916">
        <v>3</v>
      </c>
      <c r="U916" t="s">
        <v>101</v>
      </c>
      <c r="V916">
        <v>19197</v>
      </c>
      <c r="W916" t="s">
        <v>366</v>
      </c>
      <c r="X916">
        <v>8213</v>
      </c>
      <c r="Y916">
        <v>1</v>
      </c>
      <c r="Z916" t="s">
        <v>47</v>
      </c>
      <c r="AA916" t="s">
        <v>39</v>
      </c>
      <c r="AB916">
        <v>14</v>
      </c>
      <c r="AC916">
        <v>3</v>
      </c>
      <c r="AD916">
        <v>3</v>
      </c>
      <c r="AE916">
        <v>80</v>
      </c>
      <c r="AF916">
        <v>1</v>
      </c>
      <c r="AG916">
        <v>21</v>
      </c>
      <c r="AH916">
        <v>3</v>
      </c>
      <c r="AI916">
        <v>3</v>
      </c>
      <c r="AJ916">
        <v>21</v>
      </c>
      <c r="AK916">
        <v>8</v>
      </c>
      <c r="AL916">
        <v>1</v>
      </c>
    </row>
    <row r="917" spans="1:38" x14ac:dyDescent="0.3">
      <c r="A917" t="s">
        <v>986</v>
      </c>
      <c r="B917">
        <v>39</v>
      </c>
      <c r="C917" t="s">
        <v>800</v>
      </c>
      <c r="D917" t="s">
        <v>48</v>
      </c>
      <c r="E917">
        <f t="shared" si="14"/>
        <v>0</v>
      </c>
      <c r="F917" t="s">
        <v>55</v>
      </c>
      <c r="G917">
        <v>443</v>
      </c>
      <c r="H917" t="s">
        <v>41</v>
      </c>
      <c r="I917">
        <v>8</v>
      </c>
      <c r="J917">
        <v>1</v>
      </c>
      <c r="K917" t="s">
        <v>42</v>
      </c>
      <c r="L917">
        <v>1</v>
      </c>
      <c r="M917">
        <v>602</v>
      </c>
      <c r="N917">
        <v>3</v>
      </c>
      <c r="O917" t="s">
        <v>52</v>
      </c>
      <c r="P917">
        <v>48</v>
      </c>
      <c r="Q917">
        <v>3</v>
      </c>
      <c r="R917">
        <v>1</v>
      </c>
      <c r="S917" t="s">
        <v>44</v>
      </c>
      <c r="T917">
        <v>3</v>
      </c>
      <c r="U917" t="s">
        <v>104</v>
      </c>
      <c r="V917">
        <v>3755</v>
      </c>
      <c r="W917" t="s">
        <v>46</v>
      </c>
      <c r="X917">
        <v>17872</v>
      </c>
      <c r="Y917">
        <v>1</v>
      </c>
      <c r="Z917" t="s">
        <v>47</v>
      </c>
      <c r="AA917" t="s">
        <v>48</v>
      </c>
      <c r="AB917">
        <v>11</v>
      </c>
      <c r="AC917">
        <v>3</v>
      </c>
      <c r="AD917">
        <v>1</v>
      </c>
      <c r="AE917">
        <v>80</v>
      </c>
      <c r="AF917">
        <v>1</v>
      </c>
      <c r="AG917">
        <v>8</v>
      </c>
      <c r="AH917">
        <v>3</v>
      </c>
      <c r="AI917">
        <v>3</v>
      </c>
      <c r="AJ917">
        <v>8</v>
      </c>
      <c r="AK917">
        <v>3</v>
      </c>
      <c r="AL917">
        <v>0</v>
      </c>
    </row>
    <row r="918" spans="1:38" x14ac:dyDescent="0.3">
      <c r="A918" t="s">
        <v>987</v>
      </c>
      <c r="B918">
        <v>39</v>
      </c>
      <c r="C918" t="s">
        <v>800</v>
      </c>
      <c r="D918" t="s">
        <v>48</v>
      </c>
      <c r="E918">
        <f t="shared" si="14"/>
        <v>0</v>
      </c>
      <c r="F918" t="s">
        <v>40</v>
      </c>
      <c r="G918">
        <v>408</v>
      </c>
      <c r="H918" t="s">
        <v>41</v>
      </c>
      <c r="I918">
        <v>2</v>
      </c>
      <c r="J918">
        <v>4</v>
      </c>
      <c r="K918" t="s">
        <v>67</v>
      </c>
      <c r="L918">
        <v>1</v>
      </c>
      <c r="M918">
        <v>721</v>
      </c>
      <c r="N918">
        <v>4</v>
      </c>
      <c r="O918" t="s">
        <v>52</v>
      </c>
      <c r="P918">
        <v>80</v>
      </c>
      <c r="Q918">
        <v>2</v>
      </c>
      <c r="R918">
        <v>2</v>
      </c>
      <c r="S918" t="s">
        <v>160</v>
      </c>
      <c r="T918">
        <v>3</v>
      </c>
      <c r="U918" t="s">
        <v>45</v>
      </c>
      <c r="V918">
        <v>4553</v>
      </c>
      <c r="W918" t="s">
        <v>46</v>
      </c>
      <c r="X918">
        <v>20978</v>
      </c>
      <c r="Y918">
        <v>1</v>
      </c>
      <c r="Z918" t="s">
        <v>47</v>
      </c>
      <c r="AA918" t="s">
        <v>48</v>
      </c>
      <c r="AB918">
        <v>11</v>
      </c>
      <c r="AC918">
        <v>3</v>
      </c>
      <c r="AD918">
        <v>1</v>
      </c>
      <c r="AE918">
        <v>80</v>
      </c>
      <c r="AF918">
        <v>0</v>
      </c>
      <c r="AG918">
        <v>20</v>
      </c>
      <c r="AH918">
        <v>4</v>
      </c>
      <c r="AI918">
        <v>3</v>
      </c>
      <c r="AJ918">
        <v>20</v>
      </c>
      <c r="AK918">
        <v>7</v>
      </c>
      <c r="AL918">
        <v>11</v>
      </c>
    </row>
    <row r="919" spans="1:38" x14ac:dyDescent="0.3">
      <c r="A919" t="s">
        <v>988</v>
      </c>
      <c r="B919">
        <v>39</v>
      </c>
      <c r="C919" t="s">
        <v>800</v>
      </c>
      <c r="D919" t="s">
        <v>48</v>
      </c>
      <c r="E919">
        <f t="shared" si="14"/>
        <v>0</v>
      </c>
      <c r="F919" t="s">
        <v>40</v>
      </c>
      <c r="G919">
        <v>141</v>
      </c>
      <c r="H919" t="s">
        <v>70</v>
      </c>
      <c r="I919">
        <v>3</v>
      </c>
      <c r="J919">
        <v>3</v>
      </c>
      <c r="K919" t="s">
        <v>70</v>
      </c>
      <c r="L919">
        <v>1</v>
      </c>
      <c r="M919">
        <v>760</v>
      </c>
      <c r="N919">
        <v>3</v>
      </c>
      <c r="O919" t="s">
        <v>52</v>
      </c>
      <c r="P919">
        <v>44</v>
      </c>
      <c r="Q919">
        <v>4</v>
      </c>
      <c r="R919">
        <v>2</v>
      </c>
      <c r="S919" t="s">
        <v>70</v>
      </c>
      <c r="T919">
        <v>2</v>
      </c>
      <c r="U919" t="s">
        <v>104</v>
      </c>
      <c r="V919">
        <v>6389</v>
      </c>
      <c r="W919" t="s">
        <v>162</v>
      </c>
      <c r="X919">
        <v>18767</v>
      </c>
      <c r="Y919">
        <v>9</v>
      </c>
      <c r="Z919" t="s">
        <v>47</v>
      </c>
      <c r="AA919" t="s">
        <v>48</v>
      </c>
      <c r="AB919">
        <v>15</v>
      </c>
      <c r="AC919">
        <v>3</v>
      </c>
      <c r="AD919">
        <v>3</v>
      </c>
      <c r="AE919">
        <v>80</v>
      </c>
      <c r="AF919">
        <v>1</v>
      </c>
      <c r="AG919">
        <v>12</v>
      </c>
      <c r="AH919">
        <v>3</v>
      </c>
      <c r="AI919">
        <v>1</v>
      </c>
      <c r="AJ919">
        <v>8</v>
      </c>
      <c r="AK919">
        <v>3</v>
      </c>
      <c r="AL919">
        <v>3</v>
      </c>
    </row>
    <row r="920" spans="1:38" x14ac:dyDescent="0.3">
      <c r="A920" t="s">
        <v>989</v>
      </c>
      <c r="B920">
        <v>39</v>
      </c>
      <c r="C920" t="s">
        <v>800</v>
      </c>
      <c r="D920" t="s">
        <v>48</v>
      </c>
      <c r="E920">
        <f t="shared" si="14"/>
        <v>0</v>
      </c>
      <c r="F920" t="s">
        <v>40</v>
      </c>
      <c r="G920">
        <v>1383</v>
      </c>
      <c r="H920" t="s">
        <v>70</v>
      </c>
      <c r="I920">
        <v>2</v>
      </c>
      <c r="J920">
        <v>3</v>
      </c>
      <c r="K920" t="s">
        <v>42</v>
      </c>
      <c r="L920">
        <v>1</v>
      </c>
      <c r="M920">
        <v>909</v>
      </c>
      <c r="N920">
        <v>4</v>
      </c>
      <c r="O920" t="s">
        <v>52</v>
      </c>
      <c r="P920">
        <v>42</v>
      </c>
      <c r="Q920">
        <v>2</v>
      </c>
      <c r="R920">
        <v>2</v>
      </c>
      <c r="S920" t="s">
        <v>70</v>
      </c>
      <c r="T920">
        <v>4</v>
      </c>
      <c r="U920" t="s">
        <v>104</v>
      </c>
      <c r="V920">
        <v>5204</v>
      </c>
      <c r="W920" t="s">
        <v>162</v>
      </c>
      <c r="X920">
        <v>7790</v>
      </c>
      <c r="Y920">
        <v>8</v>
      </c>
      <c r="Z920" t="s">
        <v>47</v>
      </c>
      <c r="AA920" t="s">
        <v>48</v>
      </c>
      <c r="AB920">
        <v>11</v>
      </c>
      <c r="AC920">
        <v>3</v>
      </c>
      <c r="AD920">
        <v>3</v>
      </c>
      <c r="AE920">
        <v>80</v>
      </c>
      <c r="AF920">
        <v>2</v>
      </c>
      <c r="AG920">
        <v>13</v>
      </c>
      <c r="AH920">
        <v>2</v>
      </c>
      <c r="AI920">
        <v>3</v>
      </c>
      <c r="AJ920">
        <v>5</v>
      </c>
      <c r="AK920">
        <v>4</v>
      </c>
      <c r="AL920">
        <v>0</v>
      </c>
    </row>
    <row r="921" spans="1:38" x14ac:dyDescent="0.3">
      <c r="A921" t="s">
        <v>990</v>
      </c>
      <c r="B921">
        <v>39</v>
      </c>
      <c r="C921" t="s">
        <v>800</v>
      </c>
      <c r="D921" t="s">
        <v>39</v>
      </c>
      <c r="E921">
        <f t="shared" si="14"/>
        <v>1</v>
      </c>
      <c r="F921" t="s">
        <v>40</v>
      </c>
      <c r="G921">
        <v>1122</v>
      </c>
      <c r="H921" t="s">
        <v>41</v>
      </c>
      <c r="I921">
        <v>6</v>
      </c>
      <c r="J921">
        <v>3</v>
      </c>
      <c r="K921" t="s">
        <v>51</v>
      </c>
      <c r="L921">
        <v>1</v>
      </c>
      <c r="M921">
        <v>932</v>
      </c>
      <c r="N921">
        <v>4</v>
      </c>
      <c r="O921" t="s">
        <v>43</v>
      </c>
      <c r="P921">
        <v>70</v>
      </c>
      <c r="Q921">
        <v>3</v>
      </c>
      <c r="R921">
        <v>1</v>
      </c>
      <c r="S921" t="s">
        <v>44</v>
      </c>
      <c r="T921">
        <v>1</v>
      </c>
      <c r="U921" t="s">
        <v>104</v>
      </c>
      <c r="V921">
        <v>2404</v>
      </c>
      <c r="W921" t="s">
        <v>46</v>
      </c>
      <c r="X921">
        <v>4303</v>
      </c>
      <c r="Y921">
        <v>7</v>
      </c>
      <c r="Z921" t="s">
        <v>47</v>
      </c>
      <c r="AA921" t="s">
        <v>39</v>
      </c>
      <c r="AB921">
        <v>21</v>
      </c>
      <c r="AC921">
        <v>4</v>
      </c>
      <c r="AD921">
        <v>4</v>
      </c>
      <c r="AE921">
        <v>80</v>
      </c>
      <c r="AF921">
        <v>0</v>
      </c>
      <c r="AG921">
        <v>8</v>
      </c>
      <c r="AH921">
        <v>2</v>
      </c>
      <c r="AI921">
        <v>1</v>
      </c>
      <c r="AJ921">
        <v>2</v>
      </c>
      <c r="AK921">
        <v>2</v>
      </c>
      <c r="AL921">
        <v>2</v>
      </c>
    </row>
    <row r="922" spans="1:38" x14ac:dyDescent="0.3">
      <c r="A922" t="s">
        <v>991</v>
      </c>
      <c r="B922">
        <v>39</v>
      </c>
      <c r="C922" t="s">
        <v>800</v>
      </c>
      <c r="D922" t="s">
        <v>48</v>
      </c>
      <c r="E922">
        <f t="shared" si="14"/>
        <v>0</v>
      </c>
      <c r="F922" t="s">
        <v>40</v>
      </c>
      <c r="G922">
        <v>903</v>
      </c>
      <c r="H922" t="s">
        <v>50</v>
      </c>
      <c r="I922">
        <v>2</v>
      </c>
      <c r="J922">
        <v>5</v>
      </c>
      <c r="K922" t="s">
        <v>42</v>
      </c>
      <c r="L922">
        <v>1</v>
      </c>
      <c r="M922">
        <v>985</v>
      </c>
      <c r="N922">
        <v>1</v>
      </c>
      <c r="O922" t="s">
        <v>43</v>
      </c>
      <c r="P922">
        <v>41</v>
      </c>
      <c r="Q922">
        <v>4</v>
      </c>
      <c r="R922">
        <v>3</v>
      </c>
      <c r="S922" t="s">
        <v>136</v>
      </c>
      <c r="T922">
        <v>3</v>
      </c>
      <c r="U922" t="s">
        <v>45</v>
      </c>
      <c r="V922">
        <v>7880</v>
      </c>
      <c r="W922" t="s">
        <v>162</v>
      </c>
      <c r="X922">
        <v>2560</v>
      </c>
      <c r="Y922">
        <v>0</v>
      </c>
      <c r="Z922" t="s">
        <v>47</v>
      </c>
      <c r="AA922" t="s">
        <v>48</v>
      </c>
      <c r="AB922">
        <v>18</v>
      </c>
      <c r="AC922">
        <v>3</v>
      </c>
      <c r="AD922">
        <v>4</v>
      </c>
      <c r="AE922">
        <v>80</v>
      </c>
      <c r="AF922">
        <v>0</v>
      </c>
      <c r="AG922">
        <v>9</v>
      </c>
      <c r="AH922">
        <v>3</v>
      </c>
      <c r="AI922">
        <v>3</v>
      </c>
      <c r="AJ922">
        <v>8</v>
      </c>
      <c r="AK922">
        <v>7</v>
      </c>
      <c r="AL922">
        <v>0</v>
      </c>
    </row>
    <row r="923" spans="1:38" x14ac:dyDescent="0.3">
      <c r="A923" t="s">
        <v>992</v>
      </c>
      <c r="B923">
        <v>39</v>
      </c>
      <c r="C923" t="s">
        <v>800</v>
      </c>
      <c r="D923" t="s">
        <v>48</v>
      </c>
      <c r="E923">
        <f t="shared" si="14"/>
        <v>0</v>
      </c>
      <c r="F923" t="s">
        <v>40</v>
      </c>
      <c r="G923">
        <v>466</v>
      </c>
      <c r="H923" t="s">
        <v>41</v>
      </c>
      <c r="I923">
        <v>1</v>
      </c>
      <c r="J923">
        <v>1</v>
      </c>
      <c r="K923" t="s">
        <v>42</v>
      </c>
      <c r="L923">
        <v>1</v>
      </c>
      <c r="M923">
        <v>1026</v>
      </c>
      <c r="N923">
        <v>4</v>
      </c>
      <c r="O923" t="s">
        <v>52</v>
      </c>
      <c r="P923">
        <v>65</v>
      </c>
      <c r="Q923">
        <v>2</v>
      </c>
      <c r="R923">
        <v>4</v>
      </c>
      <c r="S923" t="s">
        <v>111</v>
      </c>
      <c r="T923">
        <v>4</v>
      </c>
      <c r="U923" t="s">
        <v>104</v>
      </c>
      <c r="V923">
        <v>12742</v>
      </c>
      <c r="W923" t="s">
        <v>252</v>
      </c>
      <c r="X923">
        <v>7060</v>
      </c>
      <c r="Y923">
        <v>1</v>
      </c>
      <c r="Z923" t="s">
        <v>47</v>
      </c>
      <c r="AA923" t="s">
        <v>48</v>
      </c>
      <c r="AB923">
        <v>16</v>
      </c>
      <c r="AC923">
        <v>3</v>
      </c>
      <c r="AD923">
        <v>3</v>
      </c>
      <c r="AE923">
        <v>80</v>
      </c>
      <c r="AF923">
        <v>1</v>
      </c>
      <c r="AG923">
        <v>21</v>
      </c>
      <c r="AH923">
        <v>3</v>
      </c>
      <c r="AI923">
        <v>3</v>
      </c>
      <c r="AJ923">
        <v>21</v>
      </c>
      <c r="AK923">
        <v>6</v>
      </c>
      <c r="AL923">
        <v>11</v>
      </c>
    </row>
    <row r="924" spans="1:38" x14ac:dyDescent="0.3">
      <c r="A924" t="s">
        <v>993</v>
      </c>
      <c r="B924">
        <v>39</v>
      </c>
      <c r="C924" t="s">
        <v>800</v>
      </c>
      <c r="D924" t="s">
        <v>48</v>
      </c>
      <c r="E924">
        <f t="shared" si="14"/>
        <v>0</v>
      </c>
      <c r="F924" t="s">
        <v>55</v>
      </c>
      <c r="G924">
        <v>945</v>
      </c>
      <c r="H924" t="s">
        <v>41</v>
      </c>
      <c r="I924">
        <v>22</v>
      </c>
      <c r="J924">
        <v>3</v>
      </c>
      <c r="K924" t="s">
        <v>51</v>
      </c>
      <c r="L924">
        <v>1</v>
      </c>
      <c r="M924">
        <v>1043</v>
      </c>
      <c r="N924">
        <v>4</v>
      </c>
      <c r="O924" t="s">
        <v>52</v>
      </c>
      <c r="P924">
        <v>82</v>
      </c>
      <c r="Q924">
        <v>3</v>
      </c>
      <c r="R924">
        <v>3</v>
      </c>
      <c r="S924" t="s">
        <v>111</v>
      </c>
      <c r="T924">
        <v>1</v>
      </c>
      <c r="U924" t="s">
        <v>45</v>
      </c>
      <c r="V924">
        <v>10880</v>
      </c>
      <c r="W924" t="s">
        <v>252</v>
      </c>
      <c r="X924">
        <v>5083</v>
      </c>
      <c r="Y924">
        <v>1</v>
      </c>
      <c r="Z924" t="s">
        <v>47</v>
      </c>
      <c r="AA924" t="s">
        <v>39</v>
      </c>
      <c r="AB924">
        <v>13</v>
      </c>
      <c r="AC924">
        <v>3</v>
      </c>
      <c r="AD924">
        <v>3</v>
      </c>
      <c r="AE924">
        <v>80</v>
      </c>
      <c r="AF924">
        <v>0</v>
      </c>
      <c r="AG924">
        <v>21</v>
      </c>
      <c r="AH924">
        <v>2</v>
      </c>
      <c r="AI924">
        <v>3</v>
      </c>
      <c r="AJ924">
        <v>21</v>
      </c>
      <c r="AK924">
        <v>6</v>
      </c>
      <c r="AL924">
        <v>2</v>
      </c>
    </row>
    <row r="925" spans="1:38" x14ac:dyDescent="0.3">
      <c r="A925" t="s">
        <v>994</v>
      </c>
      <c r="B925">
        <v>39</v>
      </c>
      <c r="C925" t="s">
        <v>800</v>
      </c>
      <c r="D925" t="s">
        <v>39</v>
      </c>
      <c r="E925">
        <f t="shared" si="14"/>
        <v>1</v>
      </c>
      <c r="F925" t="s">
        <v>55</v>
      </c>
      <c r="G925">
        <v>203</v>
      </c>
      <c r="H925" t="s">
        <v>41</v>
      </c>
      <c r="I925">
        <v>2</v>
      </c>
      <c r="J925">
        <v>3</v>
      </c>
      <c r="K925" t="s">
        <v>42</v>
      </c>
      <c r="L925">
        <v>1</v>
      </c>
      <c r="M925">
        <v>1127</v>
      </c>
      <c r="N925">
        <v>1</v>
      </c>
      <c r="O925" t="s">
        <v>43</v>
      </c>
      <c r="P925">
        <v>84</v>
      </c>
      <c r="Q925">
        <v>3</v>
      </c>
      <c r="R925">
        <v>4</v>
      </c>
      <c r="S925" t="s">
        <v>160</v>
      </c>
      <c r="T925">
        <v>4</v>
      </c>
      <c r="U925" t="s">
        <v>101</v>
      </c>
      <c r="V925">
        <v>12169</v>
      </c>
      <c r="W925" t="s">
        <v>252</v>
      </c>
      <c r="X925">
        <v>13547</v>
      </c>
      <c r="Y925">
        <v>7</v>
      </c>
      <c r="Z925" t="s">
        <v>47</v>
      </c>
      <c r="AA925" t="s">
        <v>48</v>
      </c>
      <c r="AB925">
        <v>11</v>
      </c>
      <c r="AC925">
        <v>3</v>
      </c>
      <c r="AD925">
        <v>4</v>
      </c>
      <c r="AE925">
        <v>80</v>
      </c>
      <c r="AF925">
        <v>3</v>
      </c>
      <c r="AG925">
        <v>21</v>
      </c>
      <c r="AH925">
        <v>4</v>
      </c>
      <c r="AI925">
        <v>3</v>
      </c>
      <c r="AJ925">
        <v>18</v>
      </c>
      <c r="AK925">
        <v>7</v>
      </c>
      <c r="AL925">
        <v>11</v>
      </c>
    </row>
    <row r="926" spans="1:38" x14ac:dyDescent="0.3">
      <c r="A926" t="s">
        <v>995</v>
      </c>
      <c r="B926">
        <v>39</v>
      </c>
      <c r="C926" t="s">
        <v>800</v>
      </c>
      <c r="D926" t="s">
        <v>48</v>
      </c>
      <c r="E926">
        <f t="shared" si="14"/>
        <v>0</v>
      </c>
      <c r="F926" t="s">
        <v>58</v>
      </c>
      <c r="G926">
        <v>439</v>
      </c>
      <c r="H926" t="s">
        <v>41</v>
      </c>
      <c r="I926">
        <v>9</v>
      </c>
      <c r="J926">
        <v>3</v>
      </c>
      <c r="K926" t="s">
        <v>42</v>
      </c>
      <c r="L926">
        <v>1</v>
      </c>
      <c r="M926">
        <v>1132</v>
      </c>
      <c r="N926">
        <v>3</v>
      </c>
      <c r="O926" t="s">
        <v>43</v>
      </c>
      <c r="P926">
        <v>70</v>
      </c>
      <c r="Q926">
        <v>3</v>
      </c>
      <c r="R926">
        <v>2</v>
      </c>
      <c r="S926" t="s">
        <v>44</v>
      </c>
      <c r="T926">
        <v>2</v>
      </c>
      <c r="U926" t="s">
        <v>45</v>
      </c>
      <c r="V926">
        <v>6782</v>
      </c>
      <c r="W926" t="s">
        <v>162</v>
      </c>
      <c r="X926">
        <v>8770</v>
      </c>
      <c r="Y926">
        <v>9</v>
      </c>
      <c r="Z926" t="s">
        <v>47</v>
      </c>
      <c r="AA926" t="s">
        <v>48</v>
      </c>
      <c r="AB926">
        <v>15</v>
      </c>
      <c r="AC926">
        <v>3</v>
      </c>
      <c r="AD926">
        <v>3</v>
      </c>
      <c r="AE926">
        <v>80</v>
      </c>
      <c r="AF926">
        <v>0</v>
      </c>
      <c r="AG926">
        <v>9</v>
      </c>
      <c r="AH926">
        <v>2</v>
      </c>
      <c r="AI926">
        <v>2</v>
      </c>
      <c r="AJ926">
        <v>5</v>
      </c>
      <c r="AK926">
        <v>4</v>
      </c>
      <c r="AL926">
        <v>0</v>
      </c>
    </row>
    <row r="927" spans="1:38" x14ac:dyDescent="0.3">
      <c r="A927" t="s">
        <v>996</v>
      </c>
      <c r="B927">
        <v>39</v>
      </c>
      <c r="C927" t="s">
        <v>800</v>
      </c>
      <c r="D927" t="s">
        <v>48</v>
      </c>
      <c r="E927">
        <f t="shared" si="14"/>
        <v>0</v>
      </c>
      <c r="F927" t="s">
        <v>40</v>
      </c>
      <c r="G927">
        <v>412</v>
      </c>
      <c r="H927" t="s">
        <v>41</v>
      </c>
      <c r="I927">
        <v>13</v>
      </c>
      <c r="J927">
        <v>4</v>
      </c>
      <c r="K927" t="s">
        <v>51</v>
      </c>
      <c r="L927">
        <v>1</v>
      </c>
      <c r="M927">
        <v>1307</v>
      </c>
      <c r="N927">
        <v>3</v>
      </c>
      <c r="O927" t="s">
        <v>52</v>
      </c>
      <c r="P927">
        <v>94</v>
      </c>
      <c r="Q927">
        <v>2</v>
      </c>
      <c r="R927">
        <v>4</v>
      </c>
      <c r="S927" t="s">
        <v>440</v>
      </c>
      <c r="T927">
        <v>2</v>
      </c>
      <c r="U927" t="s">
        <v>101</v>
      </c>
      <c r="V927">
        <v>17123</v>
      </c>
      <c r="W927" t="s">
        <v>366</v>
      </c>
      <c r="X927">
        <v>17334</v>
      </c>
      <c r="Y927">
        <v>6</v>
      </c>
      <c r="Z927" t="s">
        <v>47</v>
      </c>
      <c r="AA927" t="s">
        <v>39</v>
      </c>
      <c r="AB927">
        <v>13</v>
      </c>
      <c r="AC927">
        <v>3</v>
      </c>
      <c r="AD927">
        <v>4</v>
      </c>
      <c r="AE927">
        <v>80</v>
      </c>
      <c r="AF927">
        <v>2</v>
      </c>
      <c r="AG927">
        <v>21</v>
      </c>
      <c r="AH927">
        <v>4</v>
      </c>
      <c r="AI927">
        <v>3</v>
      </c>
      <c r="AJ927">
        <v>19</v>
      </c>
      <c r="AK927">
        <v>9</v>
      </c>
      <c r="AL927">
        <v>15</v>
      </c>
    </row>
    <row r="928" spans="1:38" x14ac:dyDescent="0.3">
      <c r="A928" t="s">
        <v>997</v>
      </c>
      <c r="B928">
        <v>39</v>
      </c>
      <c r="C928" t="s">
        <v>800</v>
      </c>
      <c r="D928" t="s">
        <v>39</v>
      </c>
      <c r="E928">
        <f t="shared" si="14"/>
        <v>1</v>
      </c>
      <c r="F928" t="s">
        <v>40</v>
      </c>
      <c r="G928">
        <v>360</v>
      </c>
      <c r="H928" t="s">
        <v>41</v>
      </c>
      <c r="I928">
        <v>23</v>
      </c>
      <c r="J928">
        <v>3</v>
      </c>
      <c r="K928" t="s">
        <v>51</v>
      </c>
      <c r="L928">
        <v>1</v>
      </c>
      <c r="M928">
        <v>1310</v>
      </c>
      <c r="N928">
        <v>3</v>
      </c>
      <c r="O928" t="s">
        <v>43</v>
      </c>
      <c r="P928">
        <v>93</v>
      </c>
      <c r="Q928">
        <v>3</v>
      </c>
      <c r="R928">
        <v>1</v>
      </c>
      <c r="S928" t="s">
        <v>59</v>
      </c>
      <c r="T928">
        <v>1</v>
      </c>
      <c r="U928" t="s">
        <v>45</v>
      </c>
      <c r="V928">
        <v>3904</v>
      </c>
      <c r="W928" t="s">
        <v>46</v>
      </c>
      <c r="X928">
        <v>22154</v>
      </c>
      <c r="Y928">
        <v>0</v>
      </c>
      <c r="Z928" t="s">
        <v>47</v>
      </c>
      <c r="AA928" t="s">
        <v>48</v>
      </c>
      <c r="AB928">
        <v>13</v>
      </c>
      <c r="AC928">
        <v>3</v>
      </c>
      <c r="AD928">
        <v>1</v>
      </c>
      <c r="AE928">
        <v>80</v>
      </c>
      <c r="AF928">
        <v>0</v>
      </c>
      <c r="AG928">
        <v>6</v>
      </c>
      <c r="AH928">
        <v>2</v>
      </c>
      <c r="AI928">
        <v>3</v>
      </c>
      <c r="AJ928">
        <v>5</v>
      </c>
      <c r="AK928">
        <v>2</v>
      </c>
      <c r="AL928">
        <v>0</v>
      </c>
    </row>
    <row r="929" spans="1:38" x14ac:dyDescent="0.3">
      <c r="A929" t="s">
        <v>998</v>
      </c>
      <c r="B929">
        <v>39</v>
      </c>
      <c r="C929" t="s">
        <v>800</v>
      </c>
      <c r="D929" t="s">
        <v>48</v>
      </c>
      <c r="E929">
        <f t="shared" si="14"/>
        <v>0</v>
      </c>
      <c r="F929" t="s">
        <v>40</v>
      </c>
      <c r="G929">
        <v>524</v>
      </c>
      <c r="H929" t="s">
        <v>41</v>
      </c>
      <c r="I929">
        <v>18</v>
      </c>
      <c r="J929">
        <v>2</v>
      </c>
      <c r="K929" t="s">
        <v>42</v>
      </c>
      <c r="L929">
        <v>1</v>
      </c>
      <c r="M929">
        <v>1322</v>
      </c>
      <c r="N929">
        <v>1</v>
      </c>
      <c r="O929" t="s">
        <v>43</v>
      </c>
      <c r="P929">
        <v>32</v>
      </c>
      <c r="Q929">
        <v>3</v>
      </c>
      <c r="R929">
        <v>2</v>
      </c>
      <c r="S929" t="s">
        <v>111</v>
      </c>
      <c r="T929">
        <v>3</v>
      </c>
      <c r="U929" t="s">
        <v>45</v>
      </c>
      <c r="V929">
        <v>4534</v>
      </c>
      <c r="W929" t="s">
        <v>46</v>
      </c>
      <c r="X929">
        <v>13352</v>
      </c>
      <c r="Y929">
        <v>0</v>
      </c>
      <c r="Z929" t="s">
        <v>47</v>
      </c>
      <c r="AA929" t="s">
        <v>48</v>
      </c>
      <c r="AB929">
        <v>11</v>
      </c>
      <c r="AC929">
        <v>3</v>
      </c>
      <c r="AD929">
        <v>1</v>
      </c>
      <c r="AE929">
        <v>80</v>
      </c>
      <c r="AF929">
        <v>0</v>
      </c>
      <c r="AG929">
        <v>9</v>
      </c>
      <c r="AH929">
        <v>6</v>
      </c>
      <c r="AI929">
        <v>3</v>
      </c>
      <c r="AJ929">
        <v>8</v>
      </c>
      <c r="AK929">
        <v>7</v>
      </c>
      <c r="AL929">
        <v>1</v>
      </c>
    </row>
    <row r="930" spans="1:38" x14ac:dyDescent="0.3">
      <c r="A930" t="s">
        <v>999</v>
      </c>
      <c r="B930">
        <v>39</v>
      </c>
      <c r="C930" t="s">
        <v>800</v>
      </c>
      <c r="D930" t="s">
        <v>48</v>
      </c>
      <c r="E930">
        <f t="shared" si="14"/>
        <v>0</v>
      </c>
      <c r="F930" t="s">
        <v>40</v>
      </c>
      <c r="G930">
        <v>1498</v>
      </c>
      <c r="H930" t="s">
        <v>50</v>
      </c>
      <c r="I930">
        <v>21</v>
      </c>
      <c r="J930">
        <v>4</v>
      </c>
      <c r="K930" t="s">
        <v>42</v>
      </c>
      <c r="L930">
        <v>1</v>
      </c>
      <c r="M930">
        <v>1390</v>
      </c>
      <c r="N930">
        <v>1</v>
      </c>
      <c r="O930" t="s">
        <v>43</v>
      </c>
      <c r="P930">
        <v>44</v>
      </c>
      <c r="Q930">
        <v>2</v>
      </c>
      <c r="R930">
        <v>2</v>
      </c>
      <c r="S930" t="s">
        <v>136</v>
      </c>
      <c r="T930">
        <v>4</v>
      </c>
      <c r="U930" t="s">
        <v>104</v>
      </c>
      <c r="V930">
        <v>6120</v>
      </c>
      <c r="W930" t="s">
        <v>162</v>
      </c>
      <c r="X930">
        <v>3567</v>
      </c>
      <c r="Y930">
        <v>3</v>
      </c>
      <c r="Z930" t="s">
        <v>47</v>
      </c>
      <c r="AA930" t="s">
        <v>39</v>
      </c>
      <c r="AB930">
        <v>12</v>
      </c>
      <c r="AC930">
        <v>3</v>
      </c>
      <c r="AD930">
        <v>4</v>
      </c>
      <c r="AE930">
        <v>80</v>
      </c>
      <c r="AF930">
        <v>2</v>
      </c>
      <c r="AG930">
        <v>8</v>
      </c>
      <c r="AH930">
        <v>2</v>
      </c>
      <c r="AI930">
        <v>4</v>
      </c>
      <c r="AJ930">
        <v>5</v>
      </c>
      <c r="AK930">
        <v>4</v>
      </c>
      <c r="AL930">
        <v>1</v>
      </c>
    </row>
    <row r="931" spans="1:38" x14ac:dyDescent="0.3">
      <c r="A931" t="s">
        <v>1000</v>
      </c>
      <c r="B931">
        <v>39</v>
      </c>
      <c r="C931" t="s">
        <v>800</v>
      </c>
      <c r="D931" t="s">
        <v>48</v>
      </c>
      <c r="E931">
        <f t="shared" si="14"/>
        <v>0</v>
      </c>
      <c r="F931" t="s">
        <v>58</v>
      </c>
      <c r="G931">
        <v>1485</v>
      </c>
      <c r="H931" t="s">
        <v>41</v>
      </c>
      <c r="I931">
        <v>25</v>
      </c>
      <c r="J931">
        <v>2</v>
      </c>
      <c r="K931" t="s">
        <v>42</v>
      </c>
      <c r="L931">
        <v>1</v>
      </c>
      <c r="M931">
        <v>1397</v>
      </c>
      <c r="N931">
        <v>3</v>
      </c>
      <c r="O931" t="s">
        <v>43</v>
      </c>
      <c r="P931">
        <v>71</v>
      </c>
      <c r="Q931">
        <v>3</v>
      </c>
      <c r="R931">
        <v>3</v>
      </c>
      <c r="S931" t="s">
        <v>160</v>
      </c>
      <c r="T931">
        <v>3</v>
      </c>
      <c r="U931" t="s">
        <v>104</v>
      </c>
      <c r="V931">
        <v>10920</v>
      </c>
      <c r="W931" t="s">
        <v>252</v>
      </c>
      <c r="X931">
        <v>3449</v>
      </c>
      <c r="Y931">
        <v>3</v>
      </c>
      <c r="Z931" t="s">
        <v>47</v>
      </c>
      <c r="AA931" t="s">
        <v>48</v>
      </c>
      <c r="AB931">
        <v>21</v>
      </c>
      <c r="AC931">
        <v>4</v>
      </c>
      <c r="AD931">
        <v>2</v>
      </c>
      <c r="AE931">
        <v>80</v>
      </c>
      <c r="AF931">
        <v>1</v>
      </c>
      <c r="AG931">
        <v>13</v>
      </c>
      <c r="AH931">
        <v>2</v>
      </c>
      <c r="AI931">
        <v>3</v>
      </c>
      <c r="AJ931">
        <v>6</v>
      </c>
      <c r="AK931">
        <v>4</v>
      </c>
      <c r="AL931">
        <v>0</v>
      </c>
    </row>
    <row r="932" spans="1:38" x14ac:dyDescent="0.3">
      <c r="A932" t="s">
        <v>1001</v>
      </c>
      <c r="B932">
        <v>39</v>
      </c>
      <c r="C932" t="s">
        <v>800</v>
      </c>
      <c r="D932" t="s">
        <v>39</v>
      </c>
      <c r="E932">
        <f t="shared" si="14"/>
        <v>1</v>
      </c>
      <c r="F932" t="s">
        <v>58</v>
      </c>
      <c r="G932">
        <v>592</v>
      </c>
      <c r="H932" t="s">
        <v>41</v>
      </c>
      <c r="I932">
        <v>2</v>
      </c>
      <c r="J932">
        <v>3</v>
      </c>
      <c r="K932" t="s">
        <v>42</v>
      </c>
      <c r="L932">
        <v>1</v>
      </c>
      <c r="M932">
        <v>1458</v>
      </c>
      <c r="N932">
        <v>1</v>
      </c>
      <c r="O932" t="s">
        <v>52</v>
      </c>
      <c r="P932">
        <v>54</v>
      </c>
      <c r="Q932">
        <v>2</v>
      </c>
      <c r="R932">
        <v>1</v>
      </c>
      <c r="S932" t="s">
        <v>44</v>
      </c>
      <c r="T932">
        <v>1</v>
      </c>
      <c r="U932" t="s">
        <v>45</v>
      </c>
      <c r="V932">
        <v>3646</v>
      </c>
      <c r="W932" t="s">
        <v>46</v>
      </c>
      <c r="X932">
        <v>17181</v>
      </c>
      <c r="Y932">
        <v>2</v>
      </c>
      <c r="Z932" t="s">
        <v>47</v>
      </c>
      <c r="AA932" t="s">
        <v>39</v>
      </c>
      <c r="AB932">
        <v>23</v>
      </c>
      <c r="AC932">
        <v>4</v>
      </c>
      <c r="AD932">
        <v>2</v>
      </c>
      <c r="AE932">
        <v>80</v>
      </c>
      <c r="AF932">
        <v>0</v>
      </c>
      <c r="AG932">
        <v>11</v>
      </c>
      <c r="AH932">
        <v>2</v>
      </c>
      <c r="AI932">
        <v>4</v>
      </c>
      <c r="AJ932">
        <v>1</v>
      </c>
      <c r="AK932">
        <v>0</v>
      </c>
      <c r="AL932">
        <v>0</v>
      </c>
    </row>
    <row r="933" spans="1:38" x14ac:dyDescent="0.3">
      <c r="A933" t="s">
        <v>1002</v>
      </c>
      <c r="B933">
        <v>39</v>
      </c>
      <c r="C933" t="s">
        <v>800</v>
      </c>
      <c r="D933" t="s">
        <v>48</v>
      </c>
      <c r="E933">
        <f t="shared" si="14"/>
        <v>0</v>
      </c>
      <c r="F933" t="s">
        <v>40</v>
      </c>
      <c r="G933">
        <v>1089</v>
      </c>
      <c r="H933" t="s">
        <v>41</v>
      </c>
      <c r="I933">
        <v>6</v>
      </c>
      <c r="J933">
        <v>3</v>
      </c>
      <c r="K933" t="s">
        <v>42</v>
      </c>
      <c r="L933">
        <v>1</v>
      </c>
      <c r="M933">
        <v>1525</v>
      </c>
      <c r="N933">
        <v>2</v>
      </c>
      <c r="O933" t="s">
        <v>52</v>
      </c>
      <c r="P933">
        <v>32</v>
      </c>
      <c r="Q933">
        <v>3</v>
      </c>
      <c r="R933">
        <v>3</v>
      </c>
      <c r="S933" t="s">
        <v>111</v>
      </c>
      <c r="T933">
        <v>2</v>
      </c>
      <c r="U933" t="s">
        <v>45</v>
      </c>
      <c r="V933">
        <v>8376</v>
      </c>
      <c r="W933" t="s">
        <v>162</v>
      </c>
      <c r="X933">
        <v>9150</v>
      </c>
      <c r="Y933">
        <v>4</v>
      </c>
      <c r="Z933" t="s">
        <v>47</v>
      </c>
      <c r="AA933" t="s">
        <v>48</v>
      </c>
      <c r="AB933">
        <v>18</v>
      </c>
      <c r="AC933">
        <v>3</v>
      </c>
      <c r="AD933">
        <v>4</v>
      </c>
      <c r="AE933">
        <v>80</v>
      </c>
      <c r="AF933">
        <v>0</v>
      </c>
      <c r="AG933">
        <v>9</v>
      </c>
      <c r="AH933">
        <v>3</v>
      </c>
      <c r="AI933">
        <v>3</v>
      </c>
      <c r="AJ933">
        <v>2</v>
      </c>
      <c r="AK933">
        <v>0</v>
      </c>
      <c r="AL933">
        <v>2</v>
      </c>
    </row>
    <row r="934" spans="1:38" x14ac:dyDescent="0.3">
      <c r="A934" t="s">
        <v>1003</v>
      </c>
      <c r="B934">
        <v>39</v>
      </c>
      <c r="C934" t="s">
        <v>800</v>
      </c>
      <c r="D934" t="s">
        <v>48</v>
      </c>
      <c r="E934">
        <f t="shared" si="14"/>
        <v>0</v>
      </c>
      <c r="F934" t="s">
        <v>40</v>
      </c>
      <c r="G934">
        <v>1462</v>
      </c>
      <c r="H934" t="s">
        <v>50</v>
      </c>
      <c r="I934">
        <v>6</v>
      </c>
      <c r="J934">
        <v>3</v>
      </c>
      <c r="K934" t="s">
        <v>51</v>
      </c>
      <c r="L934">
        <v>1</v>
      </c>
      <c r="M934">
        <v>1588</v>
      </c>
      <c r="N934">
        <v>4</v>
      </c>
      <c r="O934" t="s">
        <v>43</v>
      </c>
      <c r="P934">
        <v>38</v>
      </c>
      <c r="Q934">
        <v>4</v>
      </c>
      <c r="R934">
        <v>3</v>
      </c>
      <c r="S934" t="s">
        <v>136</v>
      </c>
      <c r="T934">
        <v>3</v>
      </c>
      <c r="U934" t="s">
        <v>104</v>
      </c>
      <c r="V934">
        <v>8237</v>
      </c>
      <c r="W934" t="s">
        <v>162</v>
      </c>
      <c r="X934">
        <v>4658</v>
      </c>
      <c r="Y934">
        <v>2</v>
      </c>
      <c r="Z934" t="s">
        <v>47</v>
      </c>
      <c r="AA934" t="s">
        <v>48</v>
      </c>
      <c r="AB934">
        <v>11</v>
      </c>
      <c r="AC934">
        <v>3</v>
      </c>
      <c r="AD934">
        <v>1</v>
      </c>
      <c r="AE934">
        <v>80</v>
      </c>
      <c r="AF934">
        <v>1</v>
      </c>
      <c r="AG934">
        <v>11</v>
      </c>
      <c r="AH934">
        <v>3</v>
      </c>
      <c r="AI934">
        <v>3</v>
      </c>
      <c r="AJ934">
        <v>7</v>
      </c>
      <c r="AK934">
        <v>6</v>
      </c>
      <c r="AL934">
        <v>7</v>
      </c>
    </row>
    <row r="935" spans="1:38" x14ac:dyDescent="0.3">
      <c r="A935" t="s">
        <v>1004</v>
      </c>
      <c r="B935">
        <v>39</v>
      </c>
      <c r="C935" t="s">
        <v>800</v>
      </c>
      <c r="D935" t="s">
        <v>48</v>
      </c>
      <c r="E935">
        <f t="shared" si="14"/>
        <v>0</v>
      </c>
      <c r="F935" t="s">
        <v>40</v>
      </c>
      <c r="G935">
        <v>1387</v>
      </c>
      <c r="H935" t="s">
        <v>41</v>
      </c>
      <c r="I935">
        <v>10</v>
      </c>
      <c r="J935">
        <v>5</v>
      </c>
      <c r="K935" t="s">
        <v>51</v>
      </c>
      <c r="L935">
        <v>1</v>
      </c>
      <c r="M935">
        <v>1618</v>
      </c>
      <c r="N935">
        <v>2</v>
      </c>
      <c r="O935" t="s">
        <v>43</v>
      </c>
      <c r="P935">
        <v>76</v>
      </c>
      <c r="Q935">
        <v>3</v>
      </c>
      <c r="R935">
        <v>2</v>
      </c>
      <c r="S935" t="s">
        <v>111</v>
      </c>
      <c r="T935">
        <v>1</v>
      </c>
      <c r="U935" t="s">
        <v>104</v>
      </c>
      <c r="V935">
        <v>5377</v>
      </c>
      <c r="W935" t="s">
        <v>162</v>
      </c>
      <c r="X935">
        <v>3835</v>
      </c>
      <c r="Y935">
        <v>2</v>
      </c>
      <c r="Z935" t="s">
        <v>47</v>
      </c>
      <c r="AA935" t="s">
        <v>48</v>
      </c>
      <c r="AB935">
        <v>13</v>
      </c>
      <c r="AC935">
        <v>3</v>
      </c>
      <c r="AD935">
        <v>4</v>
      </c>
      <c r="AE935">
        <v>80</v>
      </c>
      <c r="AF935">
        <v>3</v>
      </c>
      <c r="AG935">
        <v>10</v>
      </c>
      <c r="AH935">
        <v>3</v>
      </c>
      <c r="AI935">
        <v>3</v>
      </c>
      <c r="AJ935">
        <v>7</v>
      </c>
      <c r="AK935">
        <v>7</v>
      </c>
      <c r="AL935">
        <v>7</v>
      </c>
    </row>
    <row r="936" spans="1:38" x14ac:dyDescent="0.3">
      <c r="A936" t="s">
        <v>1005</v>
      </c>
      <c r="B936">
        <v>39</v>
      </c>
      <c r="C936" t="s">
        <v>800</v>
      </c>
      <c r="D936" t="s">
        <v>48</v>
      </c>
      <c r="E936">
        <f t="shared" si="14"/>
        <v>0</v>
      </c>
      <c r="F936" t="s">
        <v>40</v>
      </c>
      <c r="G936">
        <v>170</v>
      </c>
      <c r="H936" t="s">
        <v>41</v>
      </c>
      <c r="I936">
        <v>3</v>
      </c>
      <c r="J936">
        <v>2</v>
      </c>
      <c r="K936" t="s">
        <v>51</v>
      </c>
      <c r="L936">
        <v>1</v>
      </c>
      <c r="M936">
        <v>1627</v>
      </c>
      <c r="N936">
        <v>3</v>
      </c>
      <c r="O936" t="s">
        <v>43</v>
      </c>
      <c r="P936">
        <v>76</v>
      </c>
      <c r="Q936">
        <v>2</v>
      </c>
      <c r="R936">
        <v>2</v>
      </c>
      <c r="S936" t="s">
        <v>44</v>
      </c>
      <c r="T936">
        <v>3</v>
      </c>
      <c r="U936" t="s">
        <v>101</v>
      </c>
      <c r="V936">
        <v>3069</v>
      </c>
      <c r="W936" t="s">
        <v>46</v>
      </c>
      <c r="X936">
        <v>10302</v>
      </c>
      <c r="Y936">
        <v>0</v>
      </c>
      <c r="Z936" t="s">
        <v>47</v>
      </c>
      <c r="AA936" t="s">
        <v>48</v>
      </c>
      <c r="AB936">
        <v>15</v>
      </c>
      <c r="AC936">
        <v>3</v>
      </c>
      <c r="AD936">
        <v>4</v>
      </c>
      <c r="AE936">
        <v>80</v>
      </c>
      <c r="AF936">
        <v>1</v>
      </c>
      <c r="AG936">
        <v>11</v>
      </c>
      <c r="AH936">
        <v>3</v>
      </c>
      <c r="AI936">
        <v>3</v>
      </c>
      <c r="AJ936">
        <v>10</v>
      </c>
      <c r="AK936">
        <v>8</v>
      </c>
      <c r="AL936">
        <v>0</v>
      </c>
    </row>
    <row r="937" spans="1:38" x14ac:dyDescent="0.3">
      <c r="A937" t="s">
        <v>1006</v>
      </c>
      <c r="B937">
        <v>39</v>
      </c>
      <c r="C937" t="s">
        <v>800</v>
      </c>
      <c r="D937" t="s">
        <v>48</v>
      </c>
      <c r="E937">
        <f t="shared" si="14"/>
        <v>0</v>
      </c>
      <c r="F937" t="s">
        <v>55</v>
      </c>
      <c r="G937">
        <v>711</v>
      </c>
      <c r="H937" t="s">
        <v>41</v>
      </c>
      <c r="I937">
        <v>4</v>
      </c>
      <c r="J937">
        <v>3</v>
      </c>
      <c r="K937" t="s">
        <v>51</v>
      </c>
      <c r="L937">
        <v>1</v>
      </c>
      <c r="M937">
        <v>1633</v>
      </c>
      <c r="N937">
        <v>1</v>
      </c>
      <c r="O937" t="s">
        <v>52</v>
      </c>
      <c r="P937">
        <v>81</v>
      </c>
      <c r="Q937">
        <v>3</v>
      </c>
      <c r="R937">
        <v>2</v>
      </c>
      <c r="S937" t="s">
        <v>111</v>
      </c>
      <c r="T937">
        <v>3</v>
      </c>
      <c r="U937" t="s">
        <v>45</v>
      </c>
      <c r="V937">
        <v>5042</v>
      </c>
      <c r="W937" t="s">
        <v>162</v>
      </c>
      <c r="X937">
        <v>3140</v>
      </c>
      <c r="Y937">
        <v>0</v>
      </c>
      <c r="Z937" t="s">
        <v>47</v>
      </c>
      <c r="AA937" t="s">
        <v>48</v>
      </c>
      <c r="AB937">
        <v>13</v>
      </c>
      <c r="AC937">
        <v>3</v>
      </c>
      <c r="AD937">
        <v>4</v>
      </c>
      <c r="AE937">
        <v>80</v>
      </c>
      <c r="AF937">
        <v>0</v>
      </c>
      <c r="AG937">
        <v>10</v>
      </c>
      <c r="AH937">
        <v>2</v>
      </c>
      <c r="AI937">
        <v>1</v>
      </c>
      <c r="AJ937">
        <v>9</v>
      </c>
      <c r="AK937">
        <v>2</v>
      </c>
      <c r="AL937">
        <v>3</v>
      </c>
    </row>
    <row r="938" spans="1:38" x14ac:dyDescent="0.3">
      <c r="A938" t="s">
        <v>1007</v>
      </c>
      <c r="B938">
        <v>39</v>
      </c>
      <c r="C938" t="s">
        <v>800</v>
      </c>
      <c r="D938" t="s">
        <v>48</v>
      </c>
      <c r="E938">
        <f t="shared" si="14"/>
        <v>0</v>
      </c>
      <c r="F938" t="s">
        <v>40</v>
      </c>
      <c r="G938">
        <v>492</v>
      </c>
      <c r="H938" t="s">
        <v>41</v>
      </c>
      <c r="I938">
        <v>12</v>
      </c>
      <c r="J938">
        <v>3</v>
      </c>
      <c r="K938" t="s">
        <v>51</v>
      </c>
      <c r="L938">
        <v>1</v>
      </c>
      <c r="M938">
        <v>1654</v>
      </c>
      <c r="N938">
        <v>4</v>
      </c>
      <c r="O938" t="s">
        <v>43</v>
      </c>
      <c r="P938">
        <v>66</v>
      </c>
      <c r="Q938">
        <v>3</v>
      </c>
      <c r="R938">
        <v>2</v>
      </c>
      <c r="S938" t="s">
        <v>111</v>
      </c>
      <c r="T938">
        <v>2</v>
      </c>
      <c r="U938" t="s">
        <v>104</v>
      </c>
      <c r="V938">
        <v>5295</v>
      </c>
      <c r="W938" t="s">
        <v>162</v>
      </c>
      <c r="X938">
        <v>7693</v>
      </c>
      <c r="Y938">
        <v>4</v>
      </c>
      <c r="Z938" t="s">
        <v>47</v>
      </c>
      <c r="AA938" t="s">
        <v>48</v>
      </c>
      <c r="AB938">
        <v>21</v>
      </c>
      <c r="AC938">
        <v>4</v>
      </c>
      <c r="AD938">
        <v>3</v>
      </c>
      <c r="AE938">
        <v>80</v>
      </c>
      <c r="AF938">
        <v>0</v>
      </c>
      <c r="AG938">
        <v>7</v>
      </c>
      <c r="AH938">
        <v>3</v>
      </c>
      <c r="AI938">
        <v>3</v>
      </c>
      <c r="AJ938">
        <v>5</v>
      </c>
      <c r="AK938">
        <v>4</v>
      </c>
      <c r="AL938">
        <v>1</v>
      </c>
    </row>
    <row r="939" spans="1:38" x14ac:dyDescent="0.3">
      <c r="A939" t="s">
        <v>1008</v>
      </c>
      <c r="B939">
        <v>39</v>
      </c>
      <c r="C939" t="s">
        <v>800</v>
      </c>
      <c r="D939" t="s">
        <v>48</v>
      </c>
      <c r="E939">
        <f t="shared" si="14"/>
        <v>0</v>
      </c>
      <c r="F939" t="s">
        <v>58</v>
      </c>
      <c r="G939">
        <v>792</v>
      </c>
      <c r="H939" t="s">
        <v>41</v>
      </c>
      <c r="I939">
        <v>1</v>
      </c>
      <c r="J939">
        <v>3</v>
      </c>
      <c r="K939" t="s">
        <v>42</v>
      </c>
      <c r="L939">
        <v>1</v>
      </c>
      <c r="M939">
        <v>1737</v>
      </c>
      <c r="N939">
        <v>4</v>
      </c>
      <c r="O939" t="s">
        <v>43</v>
      </c>
      <c r="P939">
        <v>77</v>
      </c>
      <c r="Q939">
        <v>3</v>
      </c>
      <c r="R939">
        <v>2</v>
      </c>
      <c r="S939" t="s">
        <v>44</v>
      </c>
      <c r="T939">
        <v>4</v>
      </c>
      <c r="U939" t="s">
        <v>104</v>
      </c>
      <c r="V939">
        <v>6472</v>
      </c>
      <c r="W939" t="s">
        <v>162</v>
      </c>
      <c r="X939">
        <v>8989</v>
      </c>
      <c r="Y939">
        <v>1</v>
      </c>
      <c r="Z939" t="s">
        <v>47</v>
      </c>
      <c r="AA939" t="s">
        <v>39</v>
      </c>
      <c r="AB939">
        <v>15</v>
      </c>
      <c r="AC939">
        <v>3</v>
      </c>
      <c r="AD939">
        <v>4</v>
      </c>
      <c r="AE939">
        <v>80</v>
      </c>
      <c r="AF939">
        <v>1</v>
      </c>
      <c r="AG939">
        <v>9</v>
      </c>
      <c r="AH939">
        <v>2</v>
      </c>
      <c r="AI939">
        <v>3</v>
      </c>
      <c r="AJ939">
        <v>9</v>
      </c>
      <c r="AK939">
        <v>8</v>
      </c>
      <c r="AL939">
        <v>5</v>
      </c>
    </row>
    <row r="940" spans="1:38" x14ac:dyDescent="0.3">
      <c r="A940" t="s">
        <v>1009</v>
      </c>
      <c r="B940">
        <v>39</v>
      </c>
      <c r="C940" t="s">
        <v>800</v>
      </c>
      <c r="D940" t="s">
        <v>48</v>
      </c>
      <c r="E940">
        <f t="shared" si="14"/>
        <v>0</v>
      </c>
      <c r="F940" t="s">
        <v>40</v>
      </c>
      <c r="G940">
        <v>1253</v>
      </c>
      <c r="H940" t="s">
        <v>41</v>
      </c>
      <c r="I940">
        <v>10</v>
      </c>
      <c r="J940">
        <v>1</v>
      </c>
      <c r="K940" t="s">
        <v>51</v>
      </c>
      <c r="L940">
        <v>1</v>
      </c>
      <c r="M940">
        <v>1800</v>
      </c>
      <c r="N940">
        <v>3</v>
      </c>
      <c r="O940" t="s">
        <v>43</v>
      </c>
      <c r="P940">
        <v>65</v>
      </c>
      <c r="Q940">
        <v>3</v>
      </c>
      <c r="R940">
        <v>3</v>
      </c>
      <c r="S940" t="s">
        <v>251</v>
      </c>
      <c r="T940">
        <v>3</v>
      </c>
      <c r="U940" t="s">
        <v>45</v>
      </c>
      <c r="V940">
        <v>13464</v>
      </c>
      <c r="W940" t="s">
        <v>252</v>
      </c>
      <c r="X940">
        <v>7914</v>
      </c>
      <c r="Y940">
        <v>7</v>
      </c>
      <c r="Z940" t="s">
        <v>47</v>
      </c>
      <c r="AA940" t="s">
        <v>48</v>
      </c>
      <c r="AB940">
        <v>21</v>
      </c>
      <c r="AC940">
        <v>4</v>
      </c>
      <c r="AD940">
        <v>3</v>
      </c>
      <c r="AE940">
        <v>80</v>
      </c>
      <c r="AF940">
        <v>0</v>
      </c>
      <c r="AG940">
        <v>9</v>
      </c>
      <c r="AH940">
        <v>3</v>
      </c>
      <c r="AI940">
        <v>3</v>
      </c>
      <c r="AJ940">
        <v>4</v>
      </c>
      <c r="AK940">
        <v>3</v>
      </c>
      <c r="AL940">
        <v>2</v>
      </c>
    </row>
    <row r="941" spans="1:38" x14ac:dyDescent="0.3">
      <c r="A941" t="s">
        <v>1010</v>
      </c>
      <c r="B941">
        <v>39</v>
      </c>
      <c r="C941" t="s">
        <v>800</v>
      </c>
      <c r="D941" t="s">
        <v>48</v>
      </c>
      <c r="E941">
        <f t="shared" si="14"/>
        <v>0</v>
      </c>
      <c r="F941" t="s">
        <v>55</v>
      </c>
      <c r="G941">
        <v>766</v>
      </c>
      <c r="H941" t="s">
        <v>50</v>
      </c>
      <c r="I941">
        <v>20</v>
      </c>
      <c r="J941">
        <v>3</v>
      </c>
      <c r="K941" t="s">
        <v>42</v>
      </c>
      <c r="L941">
        <v>1</v>
      </c>
      <c r="M941">
        <v>1812</v>
      </c>
      <c r="N941">
        <v>3</v>
      </c>
      <c r="O941" t="s">
        <v>43</v>
      </c>
      <c r="P941">
        <v>83</v>
      </c>
      <c r="Q941">
        <v>3</v>
      </c>
      <c r="R941">
        <v>2</v>
      </c>
      <c r="S941" t="s">
        <v>136</v>
      </c>
      <c r="T941">
        <v>4</v>
      </c>
      <c r="U941" t="s">
        <v>101</v>
      </c>
      <c r="V941">
        <v>4127</v>
      </c>
      <c r="W941" t="s">
        <v>46</v>
      </c>
      <c r="X941">
        <v>19188</v>
      </c>
      <c r="Y941">
        <v>2</v>
      </c>
      <c r="Z941" t="s">
        <v>47</v>
      </c>
      <c r="AA941" t="s">
        <v>48</v>
      </c>
      <c r="AB941">
        <v>18</v>
      </c>
      <c r="AC941">
        <v>3</v>
      </c>
      <c r="AD941">
        <v>4</v>
      </c>
      <c r="AE941">
        <v>80</v>
      </c>
      <c r="AF941">
        <v>1</v>
      </c>
      <c r="AG941">
        <v>7</v>
      </c>
      <c r="AH941">
        <v>6</v>
      </c>
      <c r="AI941">
        <v>3</v>
      </c>
      <c r="AJ941">
        <v>2</v>
      </c>
      <c r="AK941">
        <v>1</v>
      </c>
      <c r="AL941">
        <v>2</v>
      </c>
    </row>
    <row r="942" spans="1:38" x14ac:dyDescent="0.3">
      <c r="A942" t="s">
        <v>1011</v>
      </c>
      <c r="B942">
        <v>39</v>
      </c>
      <c r="C942" t="s">
        <v>800</v>
      </c>
      <c r="D942" t="s">
        <v>48</v>
      </c>
      <c r="E942">
        <f t="shared" si="14"/>
        <v>0</v>
      </c>
      <c r="F942" t="s">
        <v>40</v>
      </c>
      <c r="G942">
        <v>835</v>
      </c>
      <c r="H942" t="s">
        <v>41</v>
      </c>
      <c r="I942">
        <v>19</v>
      </c>
      <c r="J942">
        <v>4</v>
      </c>
      <c r="K942" t="s">
        <v>72</v>
      </c>
      <c r="L942">
        <v>1</v>
      </c>
      <c r="M942">
        <v>1871</v>
      </c>
      <c r="N942">
        <v>4</v>
      </c>
      <c r="O942" t="s">
        <v>43</v>
      </c>
      <c r="P942">
        <v>41</v>
      </c>
      <c r="Q942">
        <v>3</v>
      </c>
      <c r="R942">
        <v>2</v>
      </c>
      <c r="S942" t="s">
        <v>59</v>
      </c>
      <c r="T942">
        <v>4</v>
      </c>
      <c r="U942" t="s">
        <v>101</v>
      </c>
      <c r="V942">
        <v>3902</v>
      </c>
      <c r="W942" t="s">
        <v>46</v>
      </c>
      <c r="X942">
        <v>5141</v>
      </c>
      <c r="Y942">
        <v>8</v>
      </c>
      <c r="Z942" t="s">
        <v>47</v>
      </c>
      <c r="AA942" t="s">
        <v>48</v>
      </c>
      <c r="AB942">
        <v>14</v>
      </c>
      <c r="AC942">
        <v>3</v>
      </c>
      <c r="AD942">
        <v>2</v>
      </c>
      <c r="AE942">
        <v>80</v>
      </c>
      <c r="AF942">
        <v>3</v>
      </c>
      <c r="AG942">
        <v>7</v>
      </c>
      <c r="AH942">
        <v>2</v>
      </c>
      <c r="AI942">
        <v>3</v>
      </c>
      <c r="AJ942">
        <v>2</v>
      </c>
      <c r="AK942">
        <v>2</v>
      </c>
      <c r="AL942">
        <v>2</v>
      </c>
    </row>
    <row r="943" spans="1:38" x14ac:dyDescent="0.3">
      <c r="A943" t="s">
        <v>1012</v>
      </c>
      <c r="B943">
        <v>39</v>
      </c>
      <c r="C943" t="s">
        <v>800</v>
      </c>
      <c r="D943" t="s">
        <v>48</v>
      </c>
      <c r="E943">
        <f t="shared" si="14"/>
        <v>0</v>
      </c>
      <c r="F943" t="s">
        <v>58</v>
      </c>
      <c r="G943">
        <v>1251</v>
      </c>
      <c r="H943" t="s">
        <v>50</v>
      </c>
      <c r="I943">
        <v>21</v>
      </c>
      <c r="J943">
        <v>4</v>
      </c>
      <c r="K943" t="s">
        <v>42</v>
      </c>
      <c r="L943">
        <v>1</v>
      </c>
      <c r="M943">
        <v>1929</v>
      </c>
      <c r="N943">
        <v>1</v>
      </c>
      <c r="O943" t="s">
        <v>52</v>
      </c>
      <c r="P943">
        <v>32</v>
      </c>
      <c r="Q943">
        <v>1</v>
      </c>
      <c r="R943">
        <v>2</v>
      </c>
      <c r="S943" t="s">
        <v>136</v>
      </c>
      <c r="T943">
        <v>3</v>
      </c>
      <c r="U943" t="s">
        <v>104</v>
      </c>
      <c r="V943">
        <v>5736</v>
      </c>
      <c r="W943" t="s">
        <v>162</v>
      </c>
      <c r="X943">
        <v>3987</v>
      </c>
      <c r="Y943">
        <v>6</v>
      </c>
      <c r="Z943" t="s">
        <v>47</v>
      </c>
      <c r="AA943" t="s">
        <v>48</v>
      </c>
      <c r="AB943">
        <v>19</v>
      </c>
      <c r="AC943">
        <v>3</v>
      </c>
      <c r="AD943">
        <v>3</v>
      </c>
      <c r="AE943">
        <v>80</v>
      </c>
      <c r="AF943">
        <v>1</v>
      </c>
      <c r="AG943">
        <v>10</v>
      </c>
      <c r="AH943">
        <v>1</v>
      </c>
      <c r="AI943">
        <v>3</v>
      </c>
      <c r="AJ943">
        <v>3</v>
      </c>
      <c r="AK943">
        <v>2</v>
      </c>
      <c r="AL943">
        <v>1</v>
      </c>
    </row>
    <row r="944" spans="1:38" x14ac:dyDescent="0.3">
      <c r="A944" t="s">
        <v>1013</v>
      </c>
      <c r="B944">
        <v>39</v>
      </c>
      <c r="C944" t="s">
        <v>800</v>
      </c>
      <c r="D944" t="s">
        <v>48</v>
      </c>
      <c r="E944">
        <f t="shared" si="14"/>
        <v>0</v>
      </c>
      <c r="F944" t="s">
        <v>40</v>
      </c>
      <c r="G944">
        <v>867</v>
      </c>
      <c r="H944" t="s">
        <v>41</v>
      </c>
      <c r="I944">
        <v>9</v>
      </c>
      <c r="J944">
        <v>2</v>
      </c>
      <c r="K944" t="s">
        <v>51</v>
      </c>
      <c r="L944">
        <v>1</v>
      </c>
      <c r="M944">
        <v>1936</v>
      </c>
      <c r="N944">
        <v>1</v>
      </c>
      <c r="O944" t="s">
        <v>43</v>
      </c>
      <c r="P944">
        <v>87</v>
      </c>
      <c r="Q944">
        <v>3</v>
      </c>
      <c r="R944">
        <v>2</v>
      </c>
      <c r="S944" t="s">
        <v>111</v>
      </c>
      <c r="T944">
        <v>1</v>
      </c>
      <c r="U944" t="s">
        <v>104</v>
      </c>
      <c r="V944">
        <v>5151</v>
      </c>
      <c r="W944" t="s">
        <v>162</v>
      </c>
      <c r="X944">
        <v>12315</v>
      </c>
      <c r="Y944">
        <v>1</v>
      </c>
      <c r="Z944" t="s">
        <v>47</v>
      </c>
      <c r="AA944" t="s">
        <v>48</v>
      </c>
      <c r="AB944">
        <v>25</v>
      </c>
      <c r="AC944">
        <v>4</v>
      </c>
      <c r="AD944">
        <v>4</v>
      </c>
      <c r="AE944">
        <v>80</v>
      </c>
      <c r="AF944">
        <v>1</v>
      </c>
      <c r="AG944">
        <v>10</v>
      </c>
      <c r="AH944">
        <v>3</v>
      </c>
      <c r="AI944">
        <v>3</v>
      </c>
      <c r="AJ944">
        <v>10</v>
      </c>
      <c r="AK944">
        <v>0</v>
      </c>
      <c r="AL944">
        <v>7</v>
      </c>
    </row>
    <row r="945" spans="1:38" x14ac:dyDescent="0.3">
      <c r="A945" t="s">
        <v>1014</v>
      </c>
      <c r="B945">
        <v>39</v>
      </c>
      <c r="C945" t="s">
        <v>800</v>
      </c>
      <c r="D945" t="s">
        <v>48</v>
      </c>
      <c r="E945">
        <f t="shared" si="14"/>
        <v>0</v>
      </c>
      <c r="F945" t="s">
        <v>40</v>
      </c>
      <c r="G945">
        <v>119</v>
      </c>
      <c r="H945" t="s">
        <v>50</v>
      </c>
      <c r="I945">
        <v>15</v>
      </c>
      <c r="J945">
        <v>4</v>
      </c>
      <c r="K945" t="s">
        <v>56</v>
      </c>
      <c r="L945">
        <v>1</v>
      </c>
      <c r="M945">
        <v>1975</v>
      </c>
      <c r="N945">
        <v>2</v>
      </c>
      <c r="O945" t="s">
        <v>43</v>
      </c>
      <c r="P945">
        <v>77</v>
      </c>
      <c r="Q945">
        <v>3</v>
      </c>
      <c r="R945">
        <v>4</v>
      </c>
      <c r="S945" t="s">
        <v>136</v>
      </c>
      <c r="T945">
        <v>1</v>
      </c>
      <c r="U945" t="s">
        <v>45</v>
      </c>
      <c r="V945">
        <v>13341</v>
      </c>
      <c r="W945" t="s">
        <v>252</v>
      </c>
      <c r="X945">
        <v>25098</v>
      </c>
      <c r="Y945">
        <v>0</v>
      </c>
      <c r="Z945" t="s">
        <v>47</v>
      </c>
      <c r="AA945" t="s">
        <v>48</v>
      </c>
      <c r="AB945">
        <v>12</v>
      </c>
      <c r="AC945">
        <v>3</v>
      </c>
      <c r="AD945">
        <v>1</v>
      </c>
      <c r="AE945">
        <v>80</v>
      </c>
      <c r="AF945">
        <v>0</v>
      </c>
      <c r="AG945">
        <v>21</v>
      </c>
      <c r="AH945">
        <v>3</v>
      </c>
      <c r="AI945">
        <v>3</v>
      </c>
      <c r="AJ945">
        <v>20</v>
      </c>
      <c r="AK945">
        <v>8</v>
      </c>
      <c r="AL945">
        <v>11</v>
      </c>
    </row>
    <row r="946" spans="1:38" x14ac:dyDescent="0.3">
      <c r="A946" t="s">
        <v>1015</v>
      </c>
      <c r="B946">
        <v>39</v>
      </c>
      <c r="C946" t="s">
        <v>800</v>
      </c>
      <c r="D946" t="s">
        <v>48</v>
      </c>
      <c r="E946">
        <f t="shared" si="14"/>
        <v>0</v>
      </c>
      <c r="F946" t="s">
        <v>40</v>
      </c>
      <c r="G946">
        <v>116</v>
      </c>
      <c r="H946" t="s">
        <v>41</v>
      </c>
      <c r="I946">
        <v>24</v>
      </c>
      <c r="J946">
        <v>1</v>
      </c>
      <c r="K946" t="s">
        <v>42</v>
      </c>
      <c r="L946">
        <v>1</v>
      </c>
      <c r="M946">
        <v>2014</v>
      </c>
      <c r="N946">
        <v>1</v>
      </c>
      <c r="O946" t="s">
        <v>43</v>
      </c>
      <c r="P946">
        <v>52</v>
      </c>
      <c r="Q946">
        <v>3</v>
      </c>
      <c r="R946">
        <v>2</v>
      </c>
      <c r="S946" t="s">
        <v>59</v>
      </c>
      <c r="T946">
        <v>4</v>
      </c>
      <c r="U946" t="s">
        <v>45</v>
      </c>
      <c r="V946">
        <v>4108</v>
      </c>
      <c r="W946" t="s">
        <v>46</v>
      </c>
      <c r="X946">
        <v>5340</v>
      </c>
      <c r="Y946">
        <v>7</v>
      </c>
      <c r="Z946" t="s">
        <v>47</v>
      </c>
      <c r="AA946" t="s">
        <v>48</v>
      </c>
      <c r="AB946">
        <v>13</v>
      </c>
      <c r="AC946">
        <v>3</v>
      </c>
      <c r="AD946">
        <v>1</v>
      </c>
      <c r="AE946">
        <v>80</v>
      </c>
      <c r="AF946">
        <v>0</v>
      </c>
      <c r="AG946">
        <v>18</v>
      </c>
      <c r="AH946">
        <v>2</v>
      </c>
      <c r="AI946">
        <v>3</v>
      </c>
      <c r="AJ946">
        <v>7</v>
      </c>
      <c r="AK946">
        <v>7</v>
      </c>
      <c r="AL946">
        <v>1</v>
      </c>
    </row>
    <row r="947" spans="1:38" x14ac:dyDescent="0.3">
      <c r="A947" t="s">
        <v>1016</v>
      </c>
      <c r="B947">
        <v>39</v>
      </c>
      <c r="C947" t="s">
        <v>800</v>
      </c>
      <c r="D947" t="s">
        <v>48</v>
      </c>
      <c r="E947">
        <f t="shared" si="14"/>
        <v>0</v>
      </c>
      <c r="F947" t="s">
        <v>58</v>
      </c>
      <c r="G947">
        <v>105</v>
      </c>
      <c r="H947" t="s">
        <v>41</v>
      </c>
      <c r="I947">
        <v>9</v>
      </c>
      <c r="J947">
        <v>3</v>
      </c>
      <c r="K947" t="s">
        <v>42</v>
      </c>
      <c r="L947">
        <v>1</v>
      </c>
      <c r="M947">
        <v>2022</v>
      </c>
      <c r="N947">
        <v>4</v>
      </c>
      <c r="O947" t="s">
        <v>43</v>
      </c>
      <c r="P947">
        <v>87</v>
      </c>
      <c r="Q947">
        <v>3</v>
      </c>
      <c r="R947">
        <v>5</v>
      </c>
      <c r="S947" t="s">
        <v>440</v>
      </c>
      <c r="T947">
        <v>4</v>
      </c>
      <c r="U947" t="s">
        <v>45</v>
      </c>
      <c r="V947">
        <v>19431</v>
      </c>
      <c r="W947" t="s">
        <v>366</v>
      </c>
      <c r="X947">
        <v>15302</v>
      </c>
      <c r="Y947">
        <v>2</v>
      </c>
      <c r="Z947" t="s">
        <v>47</v>
      </c>
      <c r="AA947" t="s">
        <v>48</v>
      </c>
      <c r="AB947">
        <v>13</v>
      </c>
      <c r="AC947">
        <v>3</v>
      </c>
      <c r="AD947">
        <v>3</v>
      </c>
      <c r="AE947">
        <v>80</v>
      </c>
      <c r="AF947">
        <v>0</v>
      </c>
      <c r="AG947">
        <v>21</v>
      </c>
      <c r="AH947">
        <v>3</v>
      </c>
      <c r="AI947">
        <v>2</v>
      </c>
      <c r="AJ947">
        <v>6</v>
      </c>
      <c r="AK947">
        <v>0</v>
      </c>
      <c r="AL947">
        <v>1</v>
      </c>
    </row>
    <row r="948" spans="1:38" x14ac:dyDescent="0.3">
      <c r="A948" t="s">
        <v>1017</v>
      </c>
      <c r="B948">
        <v>39</v>
      </c>
      <c r="C948" t="s">
        <v>800</v>
      </c>
      <c r="D948" t="s">
        <v>48</v>
      </c>
      <c r="E948">
        <f t="shared" si="14"/>
        <v>0</v>
      </c>
      <c r="F948" t="s">
        <v>40</v>
      </c>
      <c r="G948">
        <v>722</v>
      </c>
      <c r="H948" t="s">
        <v>50</v>
      </c>
      <c r="I948">
        <v>24</v>
      </c>
      <c r="J948">
        <v>1</v>
      </c>
      <c r="K948" t="s">
        <v>56</v>
      </c>
      <c r="L948">
        <v>1</v>
      </c>
      <c r="M948">
        <v>2056</v>
      </c>
      <c r="N948">
        <v>2</v>
      </c>
      <c r="O948" t="s">
        <v>52</v>
      </c>
      <c r="P948">
        <v>60</v>
      </c>
      <c r="Q948">
        <v>2</v>
      </c>
      <c r="R948">
        <v>4</v>
      </c>
      <c r="S948" t="s">
        <v>136</v>
      </c>
      <c r="T948">
        <v>4</v>
      </c>
      <c r="U948" t="s">
        <v>104</v>
      </c>
      <c r="V948">
        <v>12031</v>
      </c>
      <c r="W948" t="s">
        <v>252</v>
      </c>
      <c r="X948">
        <v>8828</v>
      </c>
      <c r="Y948">
        <v>0</v>
      </c>
      <c r="Z948" t="s">
        <v>47</v>
      </c>
      <c r="AA948" t="s">
        <v>48</v>
      </c>
      <c r="AB948">
        <v>11</v>
      </c>
      <c r="AC948">
        <v>3</v>
      </c>
      <c r="AD948">
        <v>1</v>
      </c>
      <c r="AE948">
        <v>80</v>
      </c>
      <c r="AF948">
        <v>1</v>
      </c>
      <c r="AG948">
        <v>21</v>
      </c>
      <c r="AH948">
        <v>2</v>
      </c>
      <c r="AI948">
        <v>2</v>
      </c>
      <c r="AJ948">
        <v>20</v>
      </c>
      <c r="AK948">
        <v>9</v>
      </c>
      <c r="AL948">
        <v>9</v>
      </c>
    </row>
    <row r="949" spans="1:38" x14ac:dyDescent="0.3">
      <c r="A949" t="s">
        <v>1018</v>
      </c>
      <c r="B949">
        <v>39</v>
      </c>
      <c r="C949" t="s">
        <v>800</v>
      </c>
      <c r="D949" t="s">
        <v>48</v>
      </c>
      <c r="E949">
        <f t="shared" si="14"/>
        <v>0</v>
      </c>
      <c r="F949" t="s">
        <v>40</v>
      </c>
      <c r="G949">
        <v>613</v>
      </c>
      <c r="H949" t="s">
        <v>41</v>
      </c>
      <c r="I949">
        <v>6</v>
      </c>
      <c r="J949">
        <v>1</v>
      </c>
      <c r="K949" t="s">
        <v>51</v>
      </c>
      <c r="L949">
        <v>1</v>
      </c>
      <c r="M949">
        <v>2062</v>
      </c>
      <c r="N949">
        <v>4</v>
      </c>
      <c r="O949" t="s">
        <v>43</v>
      </c>
      <c r="P949">
        <v>42</v>
      </c>
      <c r="Q949">
        <v>2</v>
      </c>
      <c r="R949">
        <v>3</v>
      </c>
      <c r="S949" t="s">
        <v>160</v>
      </c>
      <c r="T949">
        <v>1</v>
      </c>
      <c r="U949" t="s">
        <v>104</v>
      </c>
      <c r="V949">
        <v>9991</v>
      </c>
      <c r="W949" t="s">
        <v>162</v>
      </c>
      <c r="X949">
        <v>21457</v>
      </c>
      <c r="Y949">
        <v>4</v>
      </c>
      <c r="Z949" t="s">
        <v>47</v>
      </c>
      <c r="AA949" t="s">
        <v>48</v>
      </c>
      <c r="AB949">
        <v>15</v>
      </c>
      <c r="AC949">
        <v>3</v>
      </c>
      <c r="AD949">
        <v>1</v>
      </c>
      <c r="AE949">
        <v>80</v>
      </c>
      <c r="AF949">
        <v>1</v>
      </c>
      <c r="AG949">
        <v>9</v>
      </c>
      <c r="AH949">
        <v>5</v>
      </c>
      <c r="AI949">
        <v>3</v>
      </c>
      <c r="AJ949">
        <v>7</v>
      </c>
      <c r="AK949">
        <v>7</v>
      </c>
      <c r="AL949">
        <v>1</v>
      </c>
    </row>
    <row r="950" spans="1:38" x14ac:dyDescent="0.3">
      <c r="A950" t="s">
        <v>1019</v>
      </c>
      <c r="B950">
        <v>40</v>
      </c>
      <c r="C950" t="s">
        <v>800</v>
      </c>
      <c r="D950" t="s">
        <v>48</v>
      </c>
      <c r="E950">
        <f t="shared" si="14"/>
        <v>0</v>
      </c>
      <c r="F950" t="s">
        <v>55</v>
      </c>
      <c r="G950">
        <v>530</v>
      </c>
      <c r="H950" t="s">
        <v>41</v>
      </c>
      <c r="I950">
        <v>1</v>
      </c>
      <c r="J950">
        <v>4</v>
      </c>
      <c r="K950" t="s">
        <v>42</v>
      </c>
      <c r="L950">
        <v>1</v>
      </c>
      <c r="M950">
        <v>119</v>
      </c>
      <c r="N950">
        <v>3</v>
      </c>
      <c r="O950" t="s">
        <v>43</v>
      </c>
      <c r="P950">
        <v>78</v>
      </c>
      <c r="Q950">
        <v>2</v>
      </c>
      <c r="R950">
        <v>4</v>
      </c>
      <c r="S950" t="s">
        <v>160</v>
      </c>
      <c r="T950">
        <v>2</v>
      </c>
      <c r="U950" t="s">
        <v>104</v>
      </c>
      <c r="V950">
        <v>13503</v>
      </c>
      <c r="W950" t="s">
        <v>252</v>
      </c>
      <c r="X950">
        <v>14115</v>
      </c>
      <c r="Y950">
        <v>1</v>
      </c>
      <c r="Z950" t="s">
        <v>47</v>
      </c>
      <c r="AA950" t="s">
        <v>48</v>
      </c>
      <c r="AB950">
        <v>22</v>
      </c>
      <c r="AC950">
        <v>4</v>
      </c>
      <c r="AD950">
        <v>4</v>
      </c>
      <c r="AE950">
        <v>80</v>
      </c>
      <c r="AF950">
        <v>1</v>
      </c>
      <c r="AG950">
        <v>22</v>
      </c>
      <c r="AH950">
        <v>3</v>
      </c>
      <c r="AI950">
        <v>2</v>
      </c>
      <c r="AJ950">
        <v>22</v>
      </c>
      <c r="AK950">
        <v>3</v>
      </c>
      <c r="AL950">
        <v>11</v>
      </c>
    </row>
    <row r="951" spans="1:38" x14ac:dyDescent="0.3">
      <c r="A951" t="s">
        <v>1020</v>
      </c>
      <c r="B951">
        <v>40</v>
      </c>
      <c r="C951" t="s">
        <v>800</v>
      </c>
      <c r="D951" t="s">
        <v>48</v>
      </c>
      <c r="E951">
        <f t="shared" si="14"/>
        <v>0</v>
      </c>
      <c r="F951" t="s">
        <v>55</v>
      </c>
      <c r="G951">
        <v>1395</v>
      </c>
      <c r="H951" t="s">
        <v>41</v>
      </c>
      <c r="I951">
        <v>26</v>
      </c>
      <c r="J951">
        <v>3</v>
      </c>
      <c r="K951" t="s">
        <v>51</v>
      </c>
      <c r="L951">
        <v>1</v>
      </c>
      <c r="M951">
        <v>202</v>
      </c>
      <c r="N951">
        <v>2</v>
      </c>
      <c r="O951" t="s">
        <v>52</v>
      </c>
      <c r="P951">
        <v>54</v>
      </c>
      <c r="Q951">
        <v>3</v>
      </c>
      <c r="R951">
        <v>2</v>
      </c>
      <c r="S951" t="s">
        <v>59</v>
      </c>
      <c r="T951">
        <v>2</v>
      </c>
      <c r="U951" t="s">
        <v>101</v>
      </c>
      <c r="V951">
        <v>5605</v>
      </c>
      <c r="W951" t="s">
        <v>162</v>
      </c>
      <c r="X951">
        <v>8504</v>
      </c>
      <c r="Y951">
        <v>1</v>
      </c>
      <c r="Z951" t="s">
        <v>47</v>
      </c>
      <c r="AA951" t="s">
        <v>48</v>
      </c>
      <c r="AB951">
        <v>11</v>
      </c>
      <c r="AC951">
        <v>3</v>
      </c>
      <c r="AD951">
        <v>1</v>
      </c>
      <c r="AE951">
        <v>80</v>
      </c>
      <c r="AF951">
        <v>1</v>
      </c>
      <c r="AG951">
        <v>20</v>
      </c>
      <c r="AH951">
        <v>2</v>
      </c>
      <c r="AI951">
        <v>3</v>
      </c>
      <c r="AJ951">
        <v>20</v>
      </c>
      <c r="AK951">
        <v>7</v>
      </c>
      <c r="AL951">
        <v>2</v>
      </c>
    </row>
    <row r="952" spans="1:38" x14ac:dyDescent="0.3">
      <c r="A952" t="s">
        <v>1021</v>
      </c>
      <c r="B952">
        <v>40</v>
      </c>
      <c r="C952" t="s">
        <v>800</v>
      </c>
      <c r="D952" t="s">
        <v>48</v>
      </c>
      <c r="E952">
        <f t="shared" si="14"/>
        <v>0</v>
      </c>
      <c r="F952" t="s">
        <v>40</v>
      </c>
      <c r="G952">
        <v>630</v>
      </c>
      <c r="H952" t="s">
        <v>50</v>
      </c>
      <c r="I952">
        <v>4</v>
      </c>
      <c r="J952">
        <v>4</v>
      </c>
      <c r="K952" t="s">
        <v>56</v>
      </c>
      <c r="L952">
        <v>1</v>
      </c>
      <c r="M952">
        <v>215</v>
      </c>
      <c r="N952">
        <v>3</v>
      </c>
      <c r="O952" t="s">
        <v>43</v>
      </c>
      <c r="P952">
        <v>67</v>
      </c>
      <c r="Q952">
        <v>2</v>
      </c>
      <c r="R952">
        <v>3</v>
      </c>
      <c r="S952" t="s">
        <v>136</v>
      </c>
      <c r="T952">
        <v>4</v>
      </c>
      <c r="U952" t="s">
        <v>104</v>
      </c>
      <c r="V952">
        <v>10855</v>
      </c>
      <c r="W952" t="s">
        <v>252</v>
      </c>
      <c r="X952">
        <v>8552</v>
      </c>
      <c r="Y952">
        <v>7</v>
      </c>
      <c r="Z952" t="s">
        <v>47</v>
      </c>
      <c r="AA952" t="s">
        <v>48</v>
      </c>
      <c r="AB952">
        <v>11</v>
      </c>
      <c r="AC952">
        <v>3</v>
      </c>
      <c r="AD952">
        <v>1</v>
      </c>
      <c r="AE952">
        <v>80</v>
      </c>
      <c r="AF952">
        <v>1</v>
      </c>
      <c r="AG952">
        <v>15</v>
      </c>
      <c r="AH952">
        <v>2</v>
      </c>
      <c r="AI952">
        <v>2</v>
      </c>
      <c r="AJ952">
        <v>12</v>
      </c>
      <c r="AK952">
        <v>11</v>
      </c>
      <c r="AL952">
        <v>2</v>
      </c>
    </row>
    <row r="953" spans="1:38" x14ac:dyDescent="0.3">
      <c r="A953" t="s">
        <v>1022</v>
      </c>
      <c r="B953">
        <v>40</v>
      </c>
      <c r="C953" t="s">
        <v>800</v>
      </c>
      <c r="D953" t="s">
        <v>48</v>
      </c>
      <c r="E953">
        <f t="shared" si="14"/>
        <v>0</v>
      </c>
      <c r="F953" t="s">
        <v>40</v>
      </c>
      <c r="G953">
        <v>989</v>
      </c>
      <c r="H953" t="s">
        <v>41</v>
      </c>
      <c r="I953">
        <v>4</v>
      </c>
      <c r="J953">
        <v>1</v>
      </c>
      <c r="K953" t="s">
        <v>51</v>
      </c>
      <c r="L953">
        <v>1</v>
      </c>
      <c r="M953">
        <v>253</v>
      </c>
      <c r="N953">
        <v>4</v>
      </c>
      <c r="O953" t="s">
        <v>52</v>
      </c>
      <c r="P953">
        <v>46</v>
      </c>
      <c r="Q953">
        <v>3</v>
      </c>
      <c r="R953">
        <v>5</v>
      </c>
      <c r="S953" t="s">
        <v>440</v>
      </c>
      <c r="T953">
        <v>3</v>
      </c>
      <c r="U953" t="s">
        <v>104</v>
      </c>
      <c r="V953">
        <v>19033</v>
      </c>
      <c r="W953" t="s">
        <v>366</v>
      </c>
      <c r="X953">
        <v>6499</v>
      </c>
      <c r="Y953">
        <v>1</v>
      </c>
      <c r="Z953" t="s">
        <v>47</v>
      </c>
      <c r="AA953" t="s">
        <v>48</v>
      </c>
      <c r="AB953">
        <v>14</v>
      </c>
      <c r="AC953">
        <v>3</v>
      </c>
      <c r="AD953">
        <v>2</v>
      </c>
      <c r="AE953">
        <v>80</v>
      </c>
      <c r="AF953">
        <v>1</v>
      </c>
      <c r="AG953">
        <v>21</v>
      </c>
      <c r="AH953">
        <v>2</v>
      </c>
      <c r="AI953">
        <v>3</v>
      </c>
      <c r="AJ953">
        <v>20</v>
      </c>
      <c r="AK953">
        <v>8</v>
      </c>
      <c r="AL953">
        <v>9</v>
      </c>
    </row>
    <row r="954" spans="1:38" x14ac:dyDescent="0.3">
      <c r="A954" t="s">
        <v>1023</v>
      </c>
      <c r="B954">
        <v>40</v>
      </c>
      <c r="C954" t="s">
        <v>800</v>
      </c>
      <c r="D954" t="s">
        <v>48</v>
      </c>
      <c r="E954">
        <f t="shared" si="14"/>
        <v>0</v>
      </c>
      <c r="F954" t="s">
        <v>40</v>
      </c>
      <c r="G954">
        <v>905</v>
      </c>
      <c r="H954" t="s">
        <v>41</v>
      </c>
      <c r="I954">
        <v>19</v>
      </c>
      <c r="J954">
        <v>2</v>
      </c>
      <c r="K954" t="s">
        <v>51</v>
      </c>
      <c r="L954">
        <v>1</v>
      </c>
      <c r="M954">
        <v>281</v>
      </c>
      <c r="N954">
        <v>3</v>
      </c>
      <c r="O954" t="s">
        <v>43</v>
      </c>
      <c r="P954">
        <v>99</v>
      </c>
      <c r="Q954">
        <v>3</v>
      </c>
      <c r="R954">
        <v>2</v>
      </c>
      <c r="S954" t="s">
        <v>44</v>
      </c>
      <c r="T954">
        <v>4</v>
      </c>
      <c r="U954" t="s">
        <v>104</v>
      </c>
      <c r="V954">
        <v>2741</v>
      </c>
      <c r="W954" t="s">
        <v>46</v>
      </c>
      <c r="X954">
        <v>16523</v>
      </c>
      <c r="Y954">
        <v>8</v>
      </c>
      <c r="Z954" t="s">
        <v>47</v>
      </c>
      <c r="AA954" t="s">
        <v>39</v>
      </c>
      <c r="AB954">
        <v>15</v>
      </c>
      <c r="AC954">
        <v>3</v>
      </c>
      <c r="AD954">
        <v>3</v>
      </c>
      <c r="AE954">
        <v>80</v>
      </c>
      <c r="AF954">
        <v>1</v>
      </c>
      <c r="AG954">
        <v>15</v>
      </c>
      <c r="AH954">
        <v>2</v>
      </c>
      <c r="AI954">
        <v>4</v>
      </c>
      <c r="AJ954">
        <v>7</v>
      </c>
      <c r="AK954">
        <v>2</v>
      </c>
      <c r="AL954">
        <v>3</v>
      </c>
    </row>
    <row r="955" spans="1:38" x14ac:dyDescent="0.3">
      <c r="A955" t="s">
        <v>1024</v>
      </c>
      <c r="B955">
        <v>40</v>
      </c>
      <c r="C955" t="s">
        <v>800</v>
      </c>
      <c r="D955" t="s">
        <v>48</v>
      </c>
      <c r="E955">
        <f t="shared" si="14"/>
        <v>0</v>
      </c>
      <c r="F955" t="s">
        <v>58</v>
      </c>
      <c r="G955">
        <v>1151</v>
      </c>
      <c r="H955" t="s">
        <v>41</v>
      </c>
      <c r="I955">
        <v>9</v>
      </c>
      <c r="J955">
        <v>5</v>
      </c>
      <c r="K955" t="s">
        <v>42</v>
      </c>
      <c r="L955">
        <v>1</v>
      </c>
      <c r="M955">
        <v>287</v>
      </c>
      <c r="N955">
        <v>4</v>
      </c>
      <c r="O955" t="s">
        <v>43</v>
      </c>
      <c r="P955">
        <v>63</v>
      </c>
      <c r="Q955">
        <v>2</v>
      </c>
      <c r="R955">
        <v>2</v>
      </c>
      <c r="S955" t="s">
        <v>160</v>
      </c>
      <c r="T955">
        <v>4</v>
      </c>
      <c r="U955" t="s">
        <v>104</v>
      </c>
      <c r="V955">
        <v>4876</v>
      </c>
      <c r="W955" t="s">
        <v>46</v>
      </c>
      <c r="X955">
        <v>14242</v>
      </c>
      <c r="Y955">
        <v>9</v>
      </c>
      <c r="Z955" t="s">
        <v>47</v>
      </c>
      <c r="AA955" t="s">
        <v>48</v>
      </c>
      <c r="AB955">
        <v>14</v>
      </c>
      <c r="AC955">
        <v>3</v>
      </c>
      <c r="AD955">
        <v>4</v>
      </c>
      <c r="AE955">
        <v>80</v>
      </c>
      <c r="AF955">
        <v>1</v>
      </c>
      <c r="AG955">
        <v>5</v>
      </c>
      <c r="AH955">
        <v>5</v>
      </c>
      <c r="AI955">
        <v>1</v>
      </c>
      <c r="AJ955">
        <v>3</v>
      </c>
      <c r="AK955">
        <v>2</v>
      </c>
      <c r="AL955">
        <v>0</v>
      </c>
    </row>
    <row r="956" spans="1:38" x14ac:dyDescent="0.3">
      <c r="A956" t="s">
        <v>1025</v>
      </c>
      <c r="B956">
        <v>40</v>
      </c>
      <c r="C956" t="s">
        <v>800</v>
      </c>
      <c r="D956" t="s">
        <v>48</v>
      </c>
      <c r="E956">
        <f t="shared" si="14"/>
        <v>0</v>
      </c>
      <c r="F956" t="s">
        <v>40</v>
      </c>
      <c r="G956">
        <v>1300</v>
      </c>
      <c r="H956" t="s">
        <v>41</v>
      </c>
      <c r="I956">
        <v>24</v>
      </c>
      <c r="J956">
        <v>2</v>
      </c>
      <c r="K956" t="s">
        <v>67</v>
      </c>
      <c r="L956">
        <v>1</v>
      </c>
      <c r="M956">
        <v>335</v>
      </c>
      <c r="N956">
        <v>1</v>
      </c>
      <c r="O956" t="s">
        <v>43</v>
      </c>
      <c r="P956">
        <v>62</v>
      </c>
      <c r="Q956">
        <v>3</v>
      </c>
      <c r="R956">
        <v>2</v>
      </c>
      <c r="S956" t="s">
        <v>59</v>
      </c>
      <c r="T956">
        <v>4</v>
      </c>
      <c r="U956" t="s">
        <v>101</v>
      </c>
      <c r="V956">
        <v>3319</v>
      </c>
      <c r="W956" t="s">
        <v>46</v>
      </c>
      <c r="X956">
        <v>24447</v>
      </c>
      <c r="Y956">
        <v>1</v>
      </c>
      <c r="Z956" t="s">
        <v>47</v>
      </c>
      <c r="AA956" t="s">
        <v>48</v>
      </c>
      <c r="AB956">
        <v>17</v>
      </c>
      <c r="AC956">
        <v>3</v>
      </c>
      <c r="AD956">
        <v>1</v>
      </c>
      <c r="AE956">
        <v>80</v>
      </c>
      <c r="AF956">
        <v>2</v>
      </c>
      <c r="AG956">
        <v>9</v>
      </c>
      <c r="AH956">
        <v>3</v>
      </c>
      <c r="AI956">
        <v>3</v>
      </c>
      <c r="AJ956">
        <v>9</v>
      </c>
      <c r="AK956">
        <v>8</v>
      </c>
      <c r="AL956">
        <v>4</v>
      </c>
    </row>
    <row r="957" spans="1:38" x14ac:dyDescent="0.3">
      <c r="A957" t="s">
        <v>1026</v>
      </c>
      <c r="B957">
        <v>40</v>
      </c>
      <c r="C957" t="s">
        <v>800</v>
      </c>
      <c r="D957" t="s">
        <v>48</v>
      </c>
      <c r="E957">
        <f t="shared" si="14"/>
        <v>0</v>
      </c>
      <c r="F957" t="s">
        <v>40</v>
      </c>
      <c r="G957">
        <v>1416</v>
      </c>
      <c r="H957" t="s">
        <v>41</v>
      </c>
      <c r="I957">
        <v>2</v>
      </c>
      <c r="J957">
        <v>2</v>
      </c>
      <c r="K957" t="s">
        <v>51</v>
      </c>
      <c r="L957">
        <v>1</v>
      </c>
      <c r="M957">
        <v>352</v>
      </c>
      <c r="N957">
        <v>1</v>
      </c>
      <c r="O957" t="s">
        <v>43</v>
      </c>
      <c r="P957">
        <v>49</v>
      </c>
      <c r="Q957">
        <v>3</v>
      </c>
      <c r="R957">
        <v>5</v>
      </c>
      <c r="S957" t="s">
        <v>251</v>
      </c>
      <c r="T957">
        <v>3</v>
      </c>
      <c r="U957" t="s">
        <v>101</v>
      </c>
      <c r="V957">
        <v>19436</v>
      </c>
      <c r="W957" t="s">
        <v>366</v>
      </c>
      <c r="X957">
        <v>5949</v>
      </c>
      <c r="Y957">
        <v>0</v>
      </c>
      <c r="Z957" t="s">
        <v>47</v>
      </c>
      <c r="AA957" t="s">
        <v>48</v>
      </c>
      <c r="AB957">
        <v>19</v>
      </c>
      <c r="AC957">
        <v>3</v>
      </c>
      <c r="AD957">
        <v>4</v>
      </c>
      <c r="AE957">
        <v>80</v>
      </c>
      <c r="AF957">
        <v>1</v>
      </c>
      <c r="AG957">
        <v>22</v>
      </c>
      <c r="AH957">
        <v>5</v>
      </c>
      <c r="AI957">
        <v>3</v>
      </c>
      <c r="AJ957">
        <v>21</v>
      </c>
      <c r="AK957">
        <v>7</v>
      </c>
      <c r="AL957">
        <v>3</v>
      </c>
    </row>
    <row r="958" spans="1:38" x14ac:dyDescent="0.3">
      <c r="A958" t="s">
        <v>1027</v>
      </c>
      <c r="B958">
        <v>40</v>
      </c>
      <c r="C958" t="s">
        <v>800</v>
      </c>
      <c r="D958" t="s">
        <v>48</v>
      </c>
      <c r="E958">
        <f t="shared" si="14"/>
        <v>0</v>
      </c>
      <c r="F958" t="s">
        <v>40</v>
      </c>
      <c r="G958">
        <v>1124</v>
      </c>
      <c r="H958" t="s">
        <v>50</v>
      </c>
      <c r="I958">
        <v>1</v>
      </c>
      <c r="J958">
        <v>2</v>
      </c>
      <c r="K958" t="s">
        <v>51</v>
      </c>
      <c r="L958">
        <v>1</v>
      </c>
      <c r="M958">
        <v>453</v>
      </c>
      <c r="N958">
        <v>2</v>
      </c>
      <c r="O958" t="s">
        <v>43</v>
      </c>
      <c r="P958">
        <v>57</v>
      </c>
      <c r="Q958">
        <v>1</v>
      </c>
      <c r="R958">
        <v>2</v>
      </c>
      <c r="S958" t="s">
        <v>136</v>
      </c>
      <c r="T958">
        <v>4</v>
      </c>
      <c r="U958" t="s">
        <v>104</v>
      </c>
      <c r="V958">
        <v>7457</v>
      </c>
      <c r="W958" t="s">
        <v>162</v>
      </c>
      <c r="X958">
        <v>13273</v>
      </c>
      <c r="Y958">
        <v>2</v>
      </c>
      <c r="Z958" t="s">
        <v>47</v>
      </c>
      <c r="AA958" t="s">
        <v>39</v>
      </c>
      <c r="AB958">
        <v>22</v>
      </c>
      <c r="AC958">
        <v>4</v>
      </c>
      <c r="AD958">
        <v>3</v>
      </c>
      <c r="AE958">
        <v>80</v>
      </c>
      <c r="AF958">
        <v>3</v>
      </c>
      <c r="AG958">
        <v>6</v>
      </c>
      <c r="AH958">
        <v>2</v>
      </c>
      <c r="AI958">
        <v>2</v>
      </c>
      <c r="AJ958">
        <v>4</v>
      </c>
      <c r="AK958">
        <v>3</v>
      </c>
      <c r="AL958">
        <v>0</v>
      </c>
    </row>
    <row r="959" spans="1:38" x14ac:dyDescent="0.3">
      <c r="A959" t="s">
        <v>1028</v>
      </c>
      <c r="B959">
        <v>40</v>
      </c>
      <c r="C959" t="s">
        <v>800</v>
      </c>
      <c r="D959" t="s">
        <v>48</v>
      </c>
      <c r="E959">
        <f t="shared" si="14"/>
        <v>0</v>
      </c>
      <c r="F959" t="s">
        <v>40</v>
      </c>
      <c r="G959">
        <v>1171</v>
      </c>
      <c r="H959" t="s">
        <v>41</v>
      </c>
      <c r="I959">
        <v>10</v>
      </c>
      <c r="J959">
        <v>4</v>
      </c>
      <c r="K959" t="s">
        <v>42</v>
      </c>
      <c r="L959">
        <v>1</v>
      </c>
      <c r="M959">
        <v>483</v>
      </c>
      <c r="N959">
        <v>4</v>
      </c>
      <c r="O959" t="s">
        <v>52</v>
      </c>
      <c r="P959">
        <v>46</v>
      </c>
      <c r="Q959">
        <v>4</v>
      </c>
      <c r="R959">
        <v>1</v>
      </c>
      <c r="S959" t="s">
        <v>44</v>
      </c>
      <c r="T959">
        <v>3</v>
      </c>
      <c r="U959" t="s">
        <v>104</v>
      </c>
      <c r="V959">
        <v>2213</v>
      </c>
      <c r="W959" t="s">
        <v>46</v>
      </c>
      <c r="X959">
        <v>22495</v>
      </c>
      <c r="Y959">
        <v>3</v>
      </c>
      <c r="Z959" t="s">
        <v>47</v>
      </c>
      <c r="AA959" t="s">
        <v>39</v>
      </c>
      <c r="AB959">
        <v>13</v>
      </c>
      <c r="AC959">
        <v>3</v>
      </c>
      <c r="AD959">
        <v>3</v>
      </c>
      <c r="AE959">
        <v>80</v>
      </c>
      <c r="AF959">
        <v>1</v>
      </c>
      <c r="AG959">
        <v>10</v>
      </c>
      <c r="AH959">
        <v>3</v>
      </c>
      <c r="AI959">
        <v>3</v>
      </c>
      <c r="AJ959">
        <v>7</v>
      </c>
      <c r="AK959">
        <v>7</v>
      </c>
      <c r="AL959">
        <v>1</v>
      </c>
    </row>
    <row r="960" spans="1:38" x14ac:dyDescent="0.3">
      <c r="A960" t="s">
        <v>1029</v>
      </c>
      <c r="B960">
        <v>40</v>
      </c>
      <c r="C960" t="s">
        <v>800</v>
      </c>
      <c r="D960" t="s">
        <v>39</v>
      </c>
      <c r="E960">
        <f t="shared" si="14"/>
        <v>1</v>
      </c>
      <c r="F960" t="s">
        <v>40</v>
      </c>
      <c r="G960">
        <v>575</v>
      </c>
      <c r="H960" t="s">
        <v>50</v>
      </c>
      <c r="I960">
        <v>22</v>
      </c>
      <c r="J960">
        <v>2</v>
      </c>
      <c r="K960" t="s">
        <v>56</v>
      </c>
      <c r="L960">
        <v>1</v>
      </c>
      <c r="M960">
        <v>492</v>
      </c>
      <c r="N960">
        <v>3</v>
      </c>
      <c r="O960" t="s">
        <v>43</v>
      </c>
      <c r="P960">
        <v>68</v>
      </c>
      <c r="Q960">
        <v>2</v>
      </c>
      <c r="R960">
        <v>2</v>
      </c>
      <c r="S960" t="s">
        <v>136</v>
      </c>
      <c r="T960">
        <v>3</v>
      </c>
      <c r="U960" t="s">
        <v>104</v>
      </c>
      <c r="V960">
        <v>6380</v>
      </c>
      <c r="W960" t="s">
        <v>162</v>
      </c>
      <c r="X960">
        <v>6110</v>
      </c>
      <c r="Y960">
        <v>2</v>
      </c>
      <c r="Z960" t="s">
        <v>47</v>
      </c>
      <c r="AA960" t="s">
        <v>39</v>
      </c>
      <c r="AB960">
        <v>12</v>
      </c>
      <c r="AC960">
        <v>3</v>
      </c>
      <c r="AD960">
        <v>1</v>
      </c>
      <c r="AE960">
        <v>80</v>
      </c>
      <c r="AF960">
        <v>2</v>
      </c>
      <c r="AG960">
        <v>8</v>
      </c>
      <c r="AH960">
        <v>6</v>
      </c>
      <c r="AI960">
        <v>3</v>
      </c>
      <c r="AJ960">
        <v>6</v>
      </c>
      <c r="AK960">
        <v>4</v>
      </c>
      <c r="AL960">
        <v>1</v>
      </c>
    </row>
    <row r="961" spans="1:38" x14ac:dyDescent="0.3">
      <c r="A961" t="s">
        <v>1030</v>
      </c>
      <c r="B961">
        <v>40</v>
      </c>
      <c r="C961" t="s">
        <v>800</v>
      </c>
      <c r="D961" t="s">
        <v>48</v>
      </c>
      <c r="E961">
        <f t="shared" si="14"/>
        <v>0</v>
      </c>
      <c r="F961" t="s">
        <v>40</v>
      </c>
      <c r="G961">
        <v>759</v>
      </c>
      <c r="H961" t="s">
        <v>50</v>
      </c>
      <c r="I961">
        <v>2</v>
      </c>
      <c r="J961">
        <v>2</v>
      </c>
      <c r="K961" t="s">
        <v>56</v>
      </c>
      <c r="L961">
        <v>1</v>
      </c>
      <c r="M961">
        <v>516</v>
      </c>
      <c r="N961">
        <v>4</v>
      </c>
      <c r="O961" t="s">
        <v>52</v>
      </c>
      <c r="P961">
        <v>46</v>
      </c>
      <c r="Q961">
        <v>3</v>
      </c>
      <c r="R961">
        <v>2</v>
      </c>
      <c r="S961" t="s">
        <v>136</v>
      </c>
      <c r="T961">
        <v>2</v>
      </c>
      <c r="U961" t="s">
        <v>101</v>
      </c>
      <c r="V961">
        <v>5715</v>
      </c>
      <c r="W961" t="s">
        <v>162</v>
      </c>
      <c r="X961">
        <v>22553</v>
      </c>
      <c r="Y961">
        <v>7</v>
      </c>
      <c r="Z961" t="s">
        <v>47</v>
      </c>
      <c r="AA961" t="s">
        <v>48</v>
      </c>
      <c r="AB961">
        <v>12</v>
      </c>
      <c r="AC961">
        <v>3</v>
      </c>
      <c r="AD961">
        <v>3</v>
      </c>
      <c r="AE961">
        <v>80</v>
      </c>
      <c r="AF961">
        <v>2</v>
      </c>
      <c r="AG961">
        <v>8</v>
      </c>
      <c r="AH961">
        <v>5</v>
      </c>
      <c r="AI961">
        <v>3</v>
      </c>
      <c r="AJ961">
        <v>5</v>
      </c>
      <c r="AK961">
        <v>4</v>
      </c>
      <c r="AL961">
        <v>1</v>
      </c>
    </row>
    <row r="962" spans="1:38" x14ac:dyDescent="0.3">
      <c r="A962" t="s">
        <v>1031</v>
      </c>
      <c r="B962">
        <v>40</v>
      </c>
      <c r="C962" t="s">
        <v>800</v>
      </c>
      <c r="D962" t="s">
        <v>48</v>
      </c>
      <c r="E962">
        <f t="shared" si="14"/>
        <v>0</v>
      </c>
      <c r="F962" t="s">
        <v>40</v>
      </c>
      <c r="G962">
        <v>555</v>
      </c>
      <c r="H962" t="s">
        <v>41</v>
      </c>
      <c r="I962">
        <v>2</v>
      </c>
      <c r="J962">
        <v>3</v>
      </c>
      <c r="K962" t="s">
        <v>51</v>
      </c>
      <c r="L962">
        <v>1</v>
      </c>
      <c r="M962">
        <v>521</v>
      </c>
      <c r="N962">
        <v>2</v>
      </c>
      <c r="O962" t="s">
        <v>52</v>
      </c>
      <c r="P962">
        <v>78</v>
      </c>
      <c r="Q962">
        <v>2</v>
      </c>
      <c r="R962">
        <v>2</v>
      </c>
      <c r="S962" t="s">
        <v>44</v>
      </c>
      <c r="T962">
        <v>3</v>
      </c>
      <c r="U962" t="s">
        <v>104</v>
      </c>
      <c r="V962">
        <v>3448</v>
      </c>
      <c r="W962" t="s">
        <v>46</v>
      </c>
      <c r="X962">
        <v>13436</v>
      </c>
      <c r="Y962">
        <v>6</v>
      </c>
      <c r="Z962" t="s">
        <v>47</v>
      </c>
      <c r="AA962" t="s">
        <v>48</v>
      </c>
      <c r="AB962">
        <v>22</v>
      </c>
      <c r="AC962">
        <v>4</v>
      </c>
      <c r="AD962">
        <v>2</v>
      </c>
      <c r="AE962">
        <v>80</v>
      </c>
      <c r="AF962">
        <v>1</v>
      </c>
      <c r="AG962">
        <v>20</v>
      </c>
      <c r="AH962">
        <v>3</v>
      </c>
      <c r="AI962">
        <v>3</v>
      </c>
      <c r="AJ962">
        <v>1</v>
      </c>
      <c r="AK962">
        <v>0</v>
      </c>
      <c r="AL962">
        <v>0</v>
      </c>
    </row>
    <row r="963" spans="1:38" x14ac:dyDescent="0.3">
      <c r="A963" t="s">
        <v>1032</v>
      </c>
      <c r="B963">
        <v>40</v>
      </c>
      <c r="C963" t="s">
        <v>800</v>
      </c>
      <c r="D963" t="s">
        <v>48</v>
      </c>
      <c r="E963">
        <f t="shared" ref="E963:E1026" si="15">IF(D963="Yes",1,0)</f>
        <v>0</v>
      </c>
      <c r="F963" t="s">
        <v>40</v>
      </c>
      <c r="G963">
        <v>1398</v>
      </c>
      <c r="H963" t="s">
        <v>50</v>
      </c>
      <c r="I963">
        <v>2</v>
      </c>
      <c r="J963">
        <v>4</v>
      </c>
      <c r="K963" t="s">
        <v>42</v>
      </c>
      <c r="L963">
        <v>1</v>
      </c>
      <c r="M963">
        <v>558</v>
      </c>
      <c r="N963">
        <v>3</v>
      </c>
      <c r="O963" t="s">
        <v>52</v>
      </c>
      <c r="P963">
        <v>79</v>
      </c>
      <c r="Q963">
        <v>3</v>
      </c>
      <c r="R963">
        <v>5</v>
      </c>
      <c r="S963" t="s">
        <v>440</v>
      </c>
      <c r="T963">
        <v>3</v>
      </c>
      <c r="U963" t="s">
        <v>104</v>
      </c>
      <c r="V963">
        <v>18041</v>
      </c>
      <c r="W963" t="s">
        <v>366</v>
      </c>
      <c r="X963">
        <v>13022</v>
      </c>
      <c r="Y963">
        <v>0</v>
      </c>
      <c r="Z963" t="s">
        <v>47</v>
      </c>
      <c r="AA963" t="s">
        <v>48</v>
      </c>
      <c r="AB963">
        <v>14</v>
      </c>
      <c r="AC963">
        <v>3</v>
      </c>
      <c r="AD963">
        <v>4</v>
      </c>
      <c r="AE963">
        <v>80</v>
      </c>
      <c r="AF963">
        <v>0</v>
      </c>
      <c r="AG963">
        <v>21</v>
      </c>
      <c r="AH963">
        <v>2</v>
      </c>
      <c r="AI963">
        <v>3</v>
      </c>
      <c r="AJ963">
        <v>20</v>
      </c>
      <c r="AK963">
        <v>15</v>
      </c>
      <c r="AL963">
        <v>1</v>
      </c>
    </row>
    <row r="964" spans="1:38" x14ac:dyDescent="0.3">
      <c r="A964" t="s">
        <v>1033</v>
      </c>
      <c r="B964">
        <v>40</v>
      </c>
      <c r="C964" t="s">
        <v>800</v>
      </c>
      <c r="D964" t="s">
        <v>48</v>
      </c>
      <c r="E964">
        <f t="shared" si="15"/>
        <v>0</v>
      </c>
      <c r="F964" t="s">
        <v>40</v>
      </c>
      <c r="G964">
        <v>302</v>
      </c>
      <c r="H964" t="s">
        <v>41</v>
      </c>
      <c r="I964">
        <v>6</v>
      </c>
      <c r="J964">
        <v>3</v>
      </c>
      <c r="K964" t="s">
        <v>42</v>
      </c>
      <c r="L964">
        <v>1</v>
      </c>
      <c r="M964">
        <v>601</v>
      </c>
      <c r="N964">
        <v>2</v>
      </c>
      <c r="O964" t="s">
        <v>52</v>
      </c>
      <c r="P964">
        <v>75</v>
      </c>
      <c r="Q964">
        <v>3</v>
      </c>
      <c r="R964">
        <v>4</v>
      </c>
      <c r="S964" t="s">
        <v>111</v>
      </c>
      <c r="T964">
        <v>3</v>
      </c>
      <c r="U964" t="s">
        <v>45</v>
      </c>
      <c r="V964">
        <v>13237</v>
      </c>
      <c r="W964" t="s">
        <v>252</v>
      </c>
      <c r="X964">
        <v>20364</v>
      </c>
      <c r="Y964">
        <v>7</v>
      </c>
      <c r="Z964" t="s">
        <v>47</v>
      </c>
      <c r="AA964" t="s">
        <v>48</v>
      </c>
      <c r="AB964">
        <v>15</v>
      </c>
      <c r="AC964">
        <v>3</v>
      </c>
      <c r="AD964">
        <v>3</v>
      </c>
      <c r="AE964">
        <v>80</v>
      </c>
      <c r="AF964">
        <v>0</v>
      </c>
      <c r="AG964">
        <v>22</v>
      </c>
      <c r="AH964">
        <v>3</v>
      </c>
      <c r="AI964">
        <v>3</v>
      </c>
      <c r="AJ964">
        <v>20</v>
      </c>
      <c r="AK964">
        <v>6</v>
      </c>
      <c r="AL964">
        <v>5</v>
      </c>
    </row>
    <row r="965" spans="1:38" x14ac:dyDescent="0.3">
      <c r="A965" t="s">
        <v>1034</v>
      </c>
      <c r="B965">
        <v>40</v>
      </c>
      <c r="C965" t="s">
        <v>800</v>
      </c>
      <c r="D965" t="s">
        <v>48</v>
      </c>
      <c r="E965">
        <f t="shared" si="15"/>
        <v>0</v>
      </c>
      <c r="F965" t="s">
        <v>58</v>
      </c>
      <c r="G965">
        <v>1094</v>
      </c>
      <c r="H965" t="s">
        <v>50</v>
      </c>
      <c r="I965">
        <v>28</v>
      </c>
      <c r="J965">
        <v>3</v>
      </c>
      <c r="K965" t="s">
        <v>72</v>
      </c>
      <c r="L965">
        <v>1</v>
      </c>
      <c r="M965">
        <v>615</v>
      </c>
      <c r="N965">
        <v>3</v>
      </c>
      <c r="O965" t="s">
        <v>43</v>
      </c>
      <c r="P965">
        <v>58</v>
      </c>
      <c r="Q965">
        <v>1</v>
      </c>
      <c r="R965">
        <v>3</v>
      </c>
      <c r="S965" t="s">
        <v>136</v>
      </c>
      <c r="T965">
        <v>1</v>
      </c>
      <c r="U965" t="s">
        <v>101</v>
      </c>
      <c r="V965">
        <v>10932</v>
      </c>
      <c r="W965" t="s">
        <v>252</v>
      </c>
      <c r="X965">
        <v>11373</v>
      </c>
      <c r="Y965">
        <v>3</v>
      </c>
      <c r="Z965" t="s">
        <v>47</v>
      </c>
      <c r="AA965" t="s">
        <v>48</v>
      </c>
      <c r="AB965">
        <v>15</v>
      </c>
      <c r="AC965">
        <v>3</v>
      </c>
      <c r="AD965">
        <v>3</v>
      </c>
      <c r="AE965">
        <v>80</v>
      </c>
      <c r="AF965">
        <v>1</v>
      </c>
      <c r="AG965">
        <v>20</v>
      </c>
      <c r="AH965">
        <v>2</v>
      </c>
      <c r="AI965">
        <v>3</v>
      </c>
      <c r="AJ965">
        <v>1</v>
      </c>
      <c r="AK965">
        <v>0</v>
      </c>
      <c r="AL965">
        <v>0</v>
      </c>
    </row>
    <row r="966" spans="1:38" x14ac:dyDescent="0.3">
      <c r="A966" t="s">
        <v>1035</v>
      </c>
      <c r="B966">
        <v>40</v>
      </c>
      <c r="C966" t="s">
        <v>800</v>
      </c>
      <c r="D966" t="s">
        <v>48</v>
      </c>
      <c r="E966">
        <f t="shared" si="15"/>
        <v>0</v>
      </c>
      <c r="F966" t="s">
        <v>55</v>
      </c>
      <c r="G966">
        <v>580</v>
      </c>
      <c r="H966" t="s">
        <v>50</v>
      </c>
      <c r="I966">
        <v>5</v>
      </c>
      <c r="J966">
        <v>4</v>
      </c>
      <c r="K966" t="s">
        <v>42</v>
      </c>
      <c r="L966">
        <v>1</v>
      </c>
      <c r="M966">
        <v>729</v>
      </c>
      <c r="N966">
        <v>4</v>
      </c>
      <c r="O966" t="s">
        <v>43</v>
      </c>
      <c r="P966">
        <v>48</v>
      </c>
      <c r="Q966">
        <v>2</v>
      </c>
      <c r="R966">
        <v>3</v>
      </c>
      <c r="S966" t="s">
        <v>136</v>
      </c>
      <c r="T966">
        <v>1</v>
      </c>
      <c r="U966" t="s">
        <v>104</v>
      </c>
      <c r="V966">
        <v>10475</v>
      </c>
      <c r="W966" t="s">
        <v>252</v>
      </c>
      <c r="X966">
        <v>23772</v>
      </c>
      <c r="Y966">
        <v>5</v>
      </c>
      <c r="Z966" t="s">
        <v>47</v>
      </c>
      <c r="AA966" t="s">
        <v>39</v>
      </c>
      <c r="AB966">
        <v>21</v>
      </c>
      <c r="AC966">
        <v>4</v>
      </c>
      <c r="AD966">
        <v>3</v>
      </c>
      <c r="AE966">
        <v>80</v>
      </c>
      <c r="AF966">
        <v>1</v>
      </c>
      <c r="AG966">
        <v>20</v>
      </c>
      <c r="AH966">
        <v>2</v>
      </c>
      <c r="AI966">
        <v>3</v>
      </c>
      <c r="AJ966">
        <v>18</v>
      </c>
      <c r="AK966">
        <v>13</v>
      </c>
      <c r="AL966">
        <v>1</v>
      </c>
    </row>
    <row r="967" spans="1:38" x14ac:dyDescent="0.3">
      <c r="A967" t="s">
        <v>1036</v>
      </c>
      <c r="B967">
        <v>40</v>
      </c>
      <c r="C967" t="s">
        <v>800</v>
      </c>
      <c r="D967" t="s">
        <v>48</v>
      </c>
      <c r="E967">
        <f t="shared" si="15"/>
        <v>0</v>
      </c>
      <c r="F967" t="s">
        <v>40</v>
      </c>
      <c r="G967">
        <v>804</v>
      </c>
      <c r="H967" t="s">
        <v>41</v>
      </c>
      <c r="I967">
        <v>2</v>
      </c>
      <c r="J967">
        <v>1</v>
      </c>
      <c r="K967" t="s">
        <v>51</v>
      </c>
      <c r="L967">
        <v>1</v>
      </c>
      <c r="M967">
        <v>763</v>
      </c>
      <c r="N967">
        <v>4</v>
      </c>
      <c r="O967" t="s">
        <v>52</v>
      </c>
      <c r="P967">
        <v>86</v>
      </c>
      <c r="Q967">
        <v>2</v>
      </c>
      <c r="R967">
        <v>1</v>
      </c>
      <c r="S967" t="s">
        <v>59</v>
      </c>
      <c r="T967">
        <v>4</v>
      </c>
      <c r="U967" t="s">
        <v>45</v>
      </c>
      <c r="V967">
        <v>2342</v>
      </c>
      <c r="W967" t="s">
        <v>46</v>
      </c>
      <c r="X967">
        <v>22929</v>
      </c>
      <c r="Y967">
        <v>0</v>
      </c>
      <c r="Z967" t="s">
        <v>47</v>
      </c>
      <c r="AA967" t="s">
        <v>39</v>
      </c>
      <c r="AB967">
        <v>20</v>
      </c>
      <c r="AC967">
        <v>4</v>
      </c>
      <c r="AD967">
        <v>4</v>
      </c>
      <c r="AE967">
        <v>80</v>
      </c>
      <c r="AF967">
        <v>0</v>
      </c>
      <c r="AG967">
        <v>5</v>
      </c>
      <c r="AH967">
        <v>2</v>
      </c>
      <c r="AI967">
        <v>2</v>
      </c>
      <c r="AJ967">
        <v>4</v>
      </c>
      <c r="AK967">
        <v>2</v>
      </c>
      <c r="AL967">
        <v>2</v>
      </c>
    </row>
    <row r="968" spans="1:38" x14ac:dyDescent="0.3">
      <c r="A968" t="s">
        <v>1037</v>
      </c>
      <c r="B968">
        <v>40</v>
      </c>
      <c r="C968" t="s">
        <v>800</v>
      </c>
      <c r="D968" t="s">
        <v>48</v>
      </c>
      <c r="E968">
        <f t="shared" si="15"/>
        <v>0</v>
      </c>
      <c r="F968" t="s">
        <v>55</v>
      </c>
      <c r="G968">
        <v>791</v>
      </c>
      <c r="H968" t="s">
        <v>41</v>
      </c>
      <c r="I968">
        <v>2</v>
      </c>
      <c r="J968">
        <v>2</v>
      </c>
      <c r="K968" t="s">
        <v>51</v>
      </c>
      <c r="L968">
        <v>1</v>
      </c>
      <c r="M968">
        <v>807</v>
      </c>
      <c r="N968">
        <v>3</v>
      </c>
      <c r="O968" t="s">
        <v>52</v>
      </c>
      <c r="P968">
        <v>38</v>
      </c>
      <c r="Q968">
        <v>4</v>
      </c>
      <c r="R968">
        <v>2</v>
      </c>
      <c r="S968" t="s">
        <v>160</v>
      </c>
      <c r="T968">
        <v>2</v>
      </c>
      <c r="U968" t="s">
        <v>104</v>
      </c>
      <c r="V968">
        <v>4244</v>
      </c>
      <c r="W968" t="s">
        <v>46</v>
      </c>
      <c r="X968">
        <v>9931</v>
      </c>
      <c r="Y968">
        <v>1</v>
      </c>
      <c r="Z968" t="s">
        <v>47</v>
      </c>
      <c r="AA968" t="s">
        <v>48</v>
      </c>
      <c r="AB968">
        <v>24</v>
      </c>
      <c r="AC968">
        <v>4</v>
      </c>
      <c r="AD968">
        <v>4</v>
      </c>
      <c r="AE968">
        <v>80</v>
      </c>
      <c r="AF968">
        <v>1</v>
      </c>
      <c r="AG968">
        <v>8</v>
      </c>
      <c r="AH968">
        <v>2</v>
      </c>
      <c r="AI968">
        <v>3</v>
      </c>
      <c r="AJ968">
        <v>8</v>
      </c>
      <c r="AK968">
        <v>7</v>
      </c>
      <c r="AL968">
        <v>3</v>
      </c>
    </row>
    <row r="969" spans="1:38" x14ac:dyDescent="0.3">
      <c r="A969" t="s">
        <v>1038</v>
      </c>
      <c r="B969">
        <v>40</v>
      </c>
      <c r="C969" t="s">
        <v>800</v>
      </c>
      <c r="D969" t="s">
        <v>48</v>
      </c>
      <c r="E969">
        <f t="shared" si="15"/>
        <v>0</v>
      </c>
      <c r="F969" t="s">
        <v>55</v>
      </c>
      <c r="G969">
        <v>720</v>
      </c>
      <c r="H969" t="s">
        <v>41</v>
      </c>
      <c r="I969">
        <v>16</v>
      </c>
      <c r="J969">
        <v>4</v>
      </c>
      <c r="K969" t="s">
        <v>51</v>
      </c>
      <c r="L969">
        <v>1</v>
      </c>
      <c r="M969">
        <v>832</v>
      </c>
      <c r="N969">
        <v>1</v>
      </c>
      <c r="O969" t="s">
        <v>43</v>
      </c>
      <c r="P969">
        <v>51</v>
      </c>
      <c r="Q969">
        <v>2</v>
      </c>
      <c r="R969">
        <v>2</v>
      </c>
      <c r="S969" t="s">
        <v>44</v>
      </c>
      <c r="T969">
        <v>3</v>
      </c>
      <c r="U969" t="s">
        <v>45</v>
      </c>
      <c r="V969">
        <v>5094</v>
      </c>
      <c r="W969" t="s">
        <v>162</v>
      </c>
      <c r="X969">
        <v>11983</v>
      </c>
      <c r="Y969">
        <v>6</v>
      </c>
      <c r="Z969" t="s">
        <v>47</v>
      </c>
      <c r="AA969" t="s">
        <v>48</v>
      </c>
      <c r="AB969">
        <v>14</v>
      </c>
      <c r="AC969">
        <v>3</v>
      </c>
      <c r="AD969">
        <v>4</v>
      </c>
      <c r="AE969">
        <v>80</v>
      </c>
      <c r="AF969">
        <v>0</v>
      </c>
      <c r="AG969">
        <v>10</v>
      </c>
      <c r="AH969">
        <v>6</v>
      </c>
      <c r="AI969">
        <v>3</v>
      </c>
      <c r="AJ969">
        <v>1</v>
      </c>
      <c r="AK969">
        <v>0</v>
      </c>
      <c r="AL969">
        <v>0</v>
      </c>
    </row>
    <row r="970" spans="1:38" x14ac:dyDescent="0.3">
      <c r="A970" t="s">
        <v>1039</v>
      </c>
      <c r="B970">
        <v>40</v>
      </c>
      <c r="C970" t="s">
        <v>800</v>
      </c>
      <c r="D970" t="s">
        <v>48</v>
      </c>
      <c r="E970">
        <f t="shared" si="15"/>
        <v>0</v>
      </c>
      <c r="F970" t="s">
        <v>40</v>
      </c>
      <c r="G970">
        <v>658</v>
      </c>
      <c r="H970" t="s">
        <v>50</v>
      </c>
      <c r="I970">
        <v>10</v>
      </c>
      <c r="J970">
        <v>4</v>
      </c>
      <c r="K970" t="s">
        <v>56</v>
      </c>
      <c r="L970">
        <v>1</v>
      </c>
      <c r="M970">
        <v>954</v>
      </c>
      <c r="N970">
        <v>1</v>
      </c>
      <c r="O970" t="s">
        <v>43</v>
      </c>
      <c r="P970">
        <v>67</v>
      </c>
      <c r="Q970">
        <v>2</v>
      </c>
      <c r="R970">
        <v>3</v>
      </c>
      <c r="S970" t="s">
        <v>136</v>
      </c>
      <c r="T970">
        <v>2</v>
      </c>
      <c r="U970" t="s">
        <v>101</v>
      </c>
      <c r="V970">
        <v>9705</v>
      </c>
      <c r="W970" t="s">
        <v>162</v>
      </c>
      <c r="X970">
        <v>20652</v>
      </c>
      <c r="Y970">
        <v>2</v>
      </c>
      <c r="Z970" t="s">
        <v>47</v>
      </c>
      <c r="AA970" t="s">
        <v>48</v>
      </c>
      <c r="AB970">
        <v>12</v>
      </c>
      <c r="AC970">
        <v>3</v>
      </c>
      <c r="AD970">
        <v>2</v>
      </c>
      <c r="AE970">
        <v>80</v>
      </c>
      <c r="AF970">
        <v>1</v>
      </c>
      <c r="AG970">
        <v>11</v>
      </c>
      <c r="AH970">
        <v>2</v>
      </c>
      <c r="AI970">
        <v>2</v>
      </c>
      <c r="AJ970">
        <v>1</v>
      </c>
      <c r="AK970">
        <v>0</v>
      </c>
      <c r="AL970">
        <v>0</v>
      </c>
    </row>
    <row r="971" spans="1:38" x14ac:dyDescent="0.3">
      <c r="A971" t="s">
        <v>1040</v>
      </c>
      <c r="B971">
        <v>40</v>
      </c>
      <c r="C971" t="s">
        <v>800</v>
      </c>
      <c r="D971" t="s">
        <v>48</v>
      </c>
      <c r="E971">
        <f t="shared" si="15"/>
        <v>0</v>
      </c>
      <c r="F971" t="s">
        <v>55</v>
      </c>
      <c r="G971">
        <v>1469</v>
      </c>
      <c r="H971" t="s">
        <v>41</v>
      </c>
      <c r="I971">
        <v>9</v>
      </c>
      <c r="J971">
        <v>4</v>
      </c>
      <c r="K971" t="s">
        <v>51</v>
      </c>
      <c r="L971">
        <v>1</v>
      </c>
      <c r="M971">
        <v>964</v>
      </c>
      <c r="N971">
        <v>4</v>
      </c>
      <c r="O971" t="s">
        <v>43</v>
      </c>
      <c r="P971">
        <v>35</v>
      </c>
      <c r="Q971">
        <v>3</v>
      </c>
      <c r="R971">
        <v>1</v>
      </c>
      <c r="S971" t="s">
        <v>59</v>
      </c>
      <c r="T971">
        <v>2</v>
      </c>
      <c r="U971" t="s">
        <v>101</v>
      </c>
      <c r="V971">
        <v>3617</v>
      </c>
      <c r="W971" t="s">
        <v>46</v>
      </c>
      <c r="X971">
        <v>25063</v>
      </c>
      <c r="Y971">
        <v>8</v>
      </c>
      <c r="Z971" t="s">
        <v>47</v>
      </c>
      <c r="AA971" t="s">
        <v>39</v>
      </c>
      <c r="AB971">
        <v>14</v>
      </c>
      <c r="AC971">
        <v>3</v>
      </c>
      <c r="AD971">
        <v>4</v>
      </c>
      <c r="AE971">
        <v>80</v>
      </c>
      <c r="AF971">
        <v>1</v>
      </c>
      <c r="AG971">
        <v>3</v>
      </c>
      <c r="AH971">
        <v>2</v>
      </c>
      <c r="AI971">
        <v>3</v>
      </c>
      <c r="AJ971">
        <v>1</v>
      </c>
      <c r="AK971">
        <v>1</v>
      </c>
      <c r="AL971">
        <v>0</v>
      </c>
    </row>
    <row r="972" spans="1:38" x14ac:dyDescent="0.3">
      <c r="A972" t="s">
        <v>1041</v>
      </c>
      <c r="B972">
        <v>40</v>
      </c>
      <c r="C972" t="s">
        <v>800</v>
      </c>
      <c r="D972" t="s">
        <v>39</v>
      </c>
      <c r="E972">
        <f t="shared" si="15"/>
        <v>1</v>
      </c>
      <c r="F972" t="s">
        <v>58</v>
      </c>
      <c r="G972">
        <v>1479</v>
      </c>
      <c r="H972" t="s">
        <v>50</v>
      </c>
      <c r="I972">
        <v>24</v>
      </c>
      <c r="J972">
        <v>3</v>
      </c>
      <c r="K972" t="s">
        <v>42</v>
      </c>
      <c r="L972">
        <v>1</v>
      </c>
      <c r="M972">
        <v>986</v>
      </c>
      <c r="N972">
        <v>2</v>
      </c>
      <c r="O972" t="s">
        <v>52</v>
      </c>
      <c r="P972">
        <v>100</v>
      </c>
      <c r="Q972">
        <v>4</v>
      </c>
      <c r="R972">
        <v>4</v>
      </c>
      <c r="S972" t="s">
        <v>136</v>
      </c>
      <c r="T972">
        <v>2</v>
      </c>
      <c r="U972" t="s">
        <v>45</v>
      </c>
      <c r="V972">
        <v>13194</v>
      </c>
      <c r="W972" t="s">
        <v>252</v>
      </c>
      <c r="X972">
        <v>17071</v>
      </c>
      <c r="Y972">
        <v>4</v>
      </c>
      <c r="Z972" t="s">
        <v>47</v>
      </c>
      <c r="AA972" t="s">
        <v>39</v>
      </c>
      <c r="AB972">
        <v>16</v>
      </c>
      <c r="AC972">
        <v>3</v>
      </c>
      <c r="AD972">
        <v>4</v>
      </c>
      <c r="AE972">
        <v>80</v>
      </c>
      <c r="AF972">
        <v>0</v>
      </c>
      <c r="AG972">
        <v>22</v>
      </c>
      <c r="AH972">
        <v>2</v>
      </c>
      <c r="AI972">
        <v>2</v>
      </c>
      <c r="AJ972">
        <v>1</v>
      </c>
      <c r="AK972">
        <v>0</v>
      </c>
      <c r="AL972">
        <v>0</v>
      </c>
    </row>
    <row r="973" spans="1:38" x14ac:dyDescent="0.3">
      <c r="A973" t="s">
        <v>1042</v>
      </c>
      <c r="B973">
        <v>40</v>
      </c>
      <c r="C973" t="s">
        <v>800</v>
      </c>
      <c r="D973" t="s">
        <v>48</v>
      </c>
      <c r="E973">
        <f t="shared" si="15"/>
        <v>0</v>
      </c>
      <c r="F973" t="s">
        <v>40</v>
      </c>
      <c r="G973">
        <v>300</v>
      </c>
      <c r="H973" t="s">
        <v>50</v>
      </c>
      <c r="I973">
        <v>26</v>
      </c>
      <c r="J973">
        <v>3</v>
      </c>
      <c r="K973" t="s">
        <v>56</v>
      </c>
      <c r="L973">
        <v>1</v>
      </c>
      <c r="M973">
        <v>1066</v>
      </c>
      <c r="N973">
        <v>3</v>
      </c>
      <c r="O973" t="s">
        <v>43</v>
      </c>
      <c r="P973">
        <v>74</v>
      </c>
      <c r="Q973">
        <v>3</v>
      </c>
      <c r="R973">
        <v>2</v>
      </c>
      <c r="S973" t="s">
        <v>136</v>
      </c>
      <c r="T973">
        <v>1</v>
      </c>
      <c r="U973" t="s">
        <v>104</v>
      </c>
      <c r="V973">
        <v>8396</v>
      </c>
      <c r="W973" t="s">
        <v>162</v>
      </c>
      <c r="X973">
        <v>22217</v>
      </c>
      <c r="Y973">
        <v>1</v>
      </c>
      <c r="Z973" t="s">
        <v>47</v>
      </c>
      <c r="AA973" t="s">
        <v>48</v>
      </c>
      <c r="AB973">
        <v>14</v>
      </c>
      <c r="AC973">
        <v>3</v>
      </c>
      <c r="AD973">
        <v>2</v>
      </c>
      <c r="AE973">
        <v>80</v>
      </c>
      <c r="AF973">
        <v>1</v>
      </c>
      <c r="AG973">
        <v>8</v>
      </c>
      <c r="AH973">
        <v>3</v>
      </c>
      <c r="AI973">
        <v>2</v>
      </c>
      <c r="AJ973">
        <v>7</v>
      </c>
      <c r="AK973">
        <v>7</v>
      </c>
      <c r="AL973">
        <v>7</v>
      </c>
    </row>
    <row r="974" spans="1:38" x14ac:dyDescent="0.3">
      <c r="A974" t="s">
        <v>1043</v>
      </c>
      <c r="B974">
        <v>40</v>
      </c>
      <c r="C974" t="s">
        <v>800</v>
      </c>
      <c r="D974" t="s">
        <v>48</v>
      </c>
      <c r="E974">
        <f t="shared" si="15"/>
        <v>0</v>
      </c>
      <c r="F974" t="s">
        <v>40</v>
      </c>
      <c r="G974">
        <v>1492</v>
      </c>
      <c r="H974" t="s">
        <v>41</v>
      </c>
      <c r="I974">
        <v>20</v>
      </c>
      <c r="J974">
        <v>4</v>
      </c>
      <c r="K974" t="s">
        <v>67</v>
      </c>
      <c r="L974">
        <v>1</v>
      </c>
      <c r="M974">
        <v>1092</v>
      </c>
      <c r="N974">
        <v>1</v>
      </c>
      <c r="O974" t="s">
        <v>43</v>
      </c>
      <c r="P974">
        <v>61</v>
      </c>
      <c r="Q974">
        <v>3</v>
      </c>
      <c r="R974">
        <v>3</v>
      </c>
      <c r="S974" t="s">
        <v>160</v>
      </c>
      <c r="T974">
        <v>4</v>
      </c>
      <c r="U974" t="s">
        <v>104</v>
      </c>
      <c r="V974">
        <v>10322</v>
      </c>
      <c r="W974" t="s">
        <v>252</v>
      </c>
      <c r="X974">
        <v>26542</v>
      </c>
      <c r="Y974">
        <v>4</v>
      </c>
      <c r="Z974" t="s">
        <v>47</v>
      </c>
      <c r="AA974" t="s">
        <v>48</v>
      </c>
      <c r="AB974">
        <v>20</v>
      </c>
      <c r="AC974">
        <v>4</v>
      </c>
      <c r="AD974">
        <v>4</v>
      </c>
      <c r="AE974">
        <v>80</v>
      </c>
      <c r="AF974">
        <v>1</v>
      </c>
      <c r="AG974">
        <v>14</v>
      </c>
      <c r="AH974">
        <v>6</v>
      </c>
      <c r="AI974">
        <v>3</v>
      </c>
      <c r="AJ974">
        <v>11</v>
      </c>
      <c r="AK974">
        <v>10</v>
      </c>
      <c r="AL974">
        <v>11</v>
      </c>
    </row>
    <row r="975" spans="1:38" x14ac:dyDescent="0.3">
      <c r="A975" t="s">
        <v>1044</v>
      </c>
      <c r="B975">
        <v>40</v>
      </c>
      <c r="C975" t="s">
        <v>800</v>
      </c>
      <c r="D975" t="s">
        <v>48</v>
      </c>
      <c r="E975">
        <f t="shared" si="15"/>
        <v>0</v>
      </c>
      <c r="F975" t="s">
        <v>40</v>
      </c>
      <c r="G975">
        <v>1308</v>
      </c>
      <c r="H975" t="s">
        <v>41</v>
      </c>
      <c r="I975">
        <v>14</v>
      </c>
      <c r="J975">
        <v>3</v>
      </c>
      <c r="K975" t="s">
        <v>51</v>
      </c>
      <c r="L975">
        <v>1</v>
      </c>
      <c r="M975">
        <v>1128</v>
      </c>
      <c r="N975">
        <v>3</v>
      </c>
      <c r="O975" t="s">
        <v>43</v>
      </c>
      <c r="P975">
        <v>44</v>
      </c>
      <c r="Q975">
        <v>2</v>
      </c>
      <c r="R975">
        <v>5</v>
      </c>
      <c r="S975" t="s">
        <v>251</v>
      </c>
      <c r="T975">
        <v>3</v>
      </c>
      <c r="U975" t="s">
        <v>45</v>
      </c>
      <c r="V975">
        <v>19626</v>
      </c>
      <c r="W975" t="s">
        <v>366</v>
      </c>
      <c r="X975">
        <v>17544</v>
      </c>
      <c r="Y975">
        <v>1</v>
      </c>
      <c r="Z975" t="s">
        <v>47</v>
      </c>
      <c r="AA975" t="s">
        <v>48</v>
      </c>
      <c r="AB975">
        <v>14</v>
      </c>
      <c r="AC975">
        <v>3</v>
      </c>
      <c r="AD975">
        <v>1</v>
      </c>
      <c r="AE975">
        <v>80</v>
      </c>
      <c r="AF975">
        <v>0</v>
      </c>
      <c r="AG975">
        <v>21</v>
      </c>
      <c r="AH975">
        <v>2</v>
      </c>
      <c r="AI975">
        <v>4</v>
      </c>
      <c r="AJ975">
        <v>20</v>
      </c>
      <c r="AK975">
        <v>7</v>
      </c>
      <c r="AL975">
        <v>4</v>
      </c>
    </row>
    <row r="976" spans="1:38" x14ac:dyDescent="0.3">
      <c r="A976" t="s">
        <v>1045</v>
      </c>
      <c r="B976">
        <v>40</v>
      </c>
      <c r="C976" t="s">
        <v>800</v>
      </c>
      <c r="D976" t="s">
        <v>48</v>
      </c>
      <c r="E976">
        <f t="shared" si="15"/>
        <v>0</v>
      </c>
      <c r="F976" t="s">
        <v>55</v>
      </c>
      <c r="G976">
        <v>593</v>
      </c>
      <c r="H976" t="s">
        <v>41</v>
      </c>
      <c r="I976">
        <v>9</v>
      </c>
      <c r="J976">
        <v>4</v>
      </c>
      <c r="K976" t="s">
        <v>51</v>
      </c>
      <c r="L976">
        <v>1</v>
      </c>
      <c r="M976">
        <v>1166</v>
      </c>
      <c r="N976">
        <v>2</v>
      </c>
      <c r="O976" t="s">
        <v>52</v>
      </c>
      <c r="P976">
        <v>88</v>
      </c>
      <c r="Q976">
        <v>3</v>
      </c>
      <c r="R976">
        <v>3</v>
      </c>
      <c r="S976" t="s">
        <v>251</v>
      </c>
      <c r="T976">
        <v>3</v>
      </c>
      <c r="U976" t="s">
        <v>45</v>
      </c>
      <c r="V976">
        <v>13499</v>
      </c>
      <c r="W976" t="s">
        <v>252</v>
      </c>
      <c r="X976">
        <v>13782</v>
      </c>
      <c r="Y976">
        <v>9</v>
      </c>
      <c r="Z976" t="s">
        <v>47</v>
      </c>
      <c r="AA976" t="s">
        <v>48</v>
      </c>
      <c r="AB976">
        <v>17</v>
      </c>
      <c r="AC976">
        <v>3</v>
      </c>
      <c r="AD976">
        <v>3</v>
      </c>
      <c r="AE976">
        <v>80</v>
      </c>
      <c r="AF976">
        <v>0</v>
      </c>
      <c r="AG976">
        <v>20</v>
      </c>
      <c r="AH976">
        <v>3</v>
      </c>
      <c r="AI976">
        <v>2</v>
      </c>
      <c r="AJ976">
        <v>18</v>
      </c>
      <c r="AK976">
        <v>7</v>
      </c>
      <c r="AL976">
        <v>2</v>
      </c>
    </row>
    <row r="977" spans="1:38" x14ac:dyDescent="0.3">
      <c r="A977" t="s">
        <v>1046</v>
      </c>
      <c r="B977">
        <v>40</v>
      </c>
      <c r="C977" t="s">
        <v>800</v>
      </c>
      <c r="D977" t="s">
        <v>48</v>
      </c>
      <c r="E977">
        <f t="shared" si="15"/>
        <v>0</v>
      </c>
      <c r="F977" t="s">
        <v>55</v>
      </c>
      <c r="G977">
        <v>902</v>
      </c>
      <c r="H977" t="s">
        <v>41</v>
      </c>
      <c r="I977">
        <v>26</v>
      </c>
      <c r="J977">
        <v>2</v>
      </c>
      <c r="K977" t="s">
        <v>51</v>
      </c>
      <c r="L977">
        <v>1</v>
      </c>
      <c r="M977">
        <v>1180</v>
      </c>
      <c r="N977">
        <v>3</v>
      </c>
      <c r="O977" t="s">
        <v>52</v>
      </c>
      <c r="P977">
        <v>92</v>
      </c>
      <c r="Q977">
        <v>2</v>
      </c>
      <c r="R977">
        <v>2</v>
      </c>
      <c r="S977" t="s">
        <v>59</v>
      </c>
      <c r="T977">
        <v>4</v>
      </c>
      <c r="U977" t="s">
        <v>104</v>
      </c>
      <c r="V977">
        <v>4422</v>
      </c>
      <c r="W977" t="s">
        <v>46</v>
      </c>
      <c r="X977">
        <v>21203</v>
      </c>
      <c r="Y977">
        <v>3</v>
      </c>
      <c r="Z977" t="s">
        <v>47</v>
      </c>
      <c r="AA977" t="s">
        <v>39</v>
      </c>
      <c r="AB977">
        <v>13</v>
      </c>
      <c r="AC977">
        <v>3</v>
      </c>
      <c r="AD977">
        <v>4</v>
      </c>
      <c r="AE977">
        <v>80</v>
      </c>
      <c r="AF977">
        <v>1</v>
      </c>
      <c r="AG977">
        <v>16</v>
      </c>
      <c r="AH977">
        <v>3</v>
      </c>
      <c r="AI977">
        <v>1</v>
      </c>
      <c r="AJ977">
        <v>1</v>
      </c>
      <c r="AK977">
        <v>1</v>
      </c>
      <c r="AL977">
        <v>0</v>
      </c>
    </row>
    <row r="978" spans="1:38" x14ac:dyDescent="0.3">
      <c r="A978" t="s">
        <v>1047</v>
      </c>
      <c r="B978">
        <v>40</v>
      </c>
      <c r="C978" t="s">
        <v>800</v>
      </c>
      <c r="D978" t="s">
        <v>48</v>
      </c>
      <c r="E978">
        <f t="shared" si="15"/>
        <v>0</v>
      </c>
      <c r="F978" t="s">
        <v>55</v>
      </c>
      <c r="G978">
        <v>1184</v>
      </c>
      <c r="H978" t="s">
        <v>50</v>
      </c>
      <c r="I978">
        <v>2</v>
      </c>
      <c r="J978">
        <v>4</v>
      </c>
      <c r="K978" t="s">
        <v>51</v>
      </c>
      <c r="L978">
        <v>1</v>
      </c>
      <c r="M978">
        <v>1212</v>
      </c>
      <c r="N978">
        <v>2</v>
      </c>
      <c r="O978" t="s">
        <v>43</v>
      </c>
      <c r="P978">
        <v>62</v>
      </c>
      <c r="Q978">
        <v>3</v>
      </c>
      <c r="R978">
        <v>2</v>
      </c>
      <c r="S978" t="s">
        <v>136</v>
      </c>
      <c r="T978">
        <v>2</v>
      </c>
      <c r="U978" t="s">
        <v>104</v>
      </c>
      <c r="V978">
        <v>4327</v>
      </c>
      <c r="W978" t="s">
        <v>46</v>
      </c>
      <c r="X978">
        <v>25440</v>
      </c>
      <c r="Y978">
        <v>5</v>
      </c>
      <c r="Z978" t="s">
        <v>47</v>
      </c>
      <c r="AA978" t="s">
        <v>48</v>
      </c>
      <c r="AB978">
        <v>12</v>
      </c>
      <c r="AC978">
        <v>3</v>
      </c>
      <c r="AD978">
        <v>4</v>
      </c>
      <c r="AE978">
        <v>80</v>
      </c>
      <c r="AF978">
        <v>3</v>
      </c>
      <c r="AG978">
        <v>5</v>
      </c>
      <c r="AH978">
        <v>2</v>
      </c>
      <c r="AI978">
        <v>3</v>
      </c>
      <c r="AJ978">
        <v>0</v>
      </c>
      <c r="AK978">
        <v>0</v>
      </c>
      <c r="AL978">
        <v>0</v>
      </c>
    </row>
    <row r="979" spans="1:38" x14ac:dyDescent="0.3">
      <c r="A979" t="s">
        <v>1048</v>
      </c>
      <c r="B979">
        <v>40</v>
      </c>
      <c r="C979" t="s">
        <v>800</v>
      </c>
      <c r="D979" t="s">
        <v>48</v>
      </c>
      <c r="E979">
        <f t="shared" si="15"/>
        <v>0</v>
      </c>
      <c r="F979" t="s">
        <v>40</v>
      </c>
      <c r="G979">
        <v>107</v>
      </c>
      <c r="H979" t="s">
        <v>50</v>
      </c>
      <c r="I979">
        <v>10</v>
      </c>
      <c r="J979">
        <v>3</v>
      </c>
      <c r="K979" t="s">
        <v>67</v>
      </c>
      <c r="L979">
        <v>1</v>
      </c>
      <c r="M979">
        <v>1239</v>
      </c>
      <c r="N979">
        <v>2</v>
      </c>
      <c r="O979" t="s">
        <v>52</v>
      </c>
      <c r="P979">
        <v>84</v>
      </c>
      <c r="Q979">
        <v>2</v>
      </c>
      <c r="R979">
        <v>2</v>
      </c>
      <c r="S979" t="s">
        <v>136</v>
      </c>
      <c r="T979">
        <v>2</v>
      </c>
      <c r="U979" t="s">
        <v>101</v>
      </c>
      <c r="V979">
        <v>6852</v>
      </c>
      <c r="W979" t="s">
        <v>162</v>
      </c>
      <c r="X979">
        <v>11591</v>
      </c>
      <c r="Y979">
        <v>7</v>
      </c>
      <c r="Z979" t="s">
        <v>47</v>
      </c>
      <c r="AA979" t="s">
        <v>48</v>
      </c>
      <c r="AB979">
        <v>12</v>
      </c>
      <c r="AC979">
        <v>3</v>
      </c>
      <c r="AD979">
        <v>2</v>
      </c>
      <c r="AE979">
        <v>80</v>
      </c>
      <c r="AF979">
        <v>1</v>
      </c>
      <c r="AG979">
        <v>7</v>
      </c>
      <c r="AH979">
        <v>2</v>
      </c>
      <c r="AI979">
        <v>4</v>
      </c>
      <c r="AJ979">
        <v>5</v>
      </c>
      <c r="AK979">
        <v>1</v>
      </c>
      <c r="AL979">
        <v>1</v>
      </c>
    </row>
    <row r="980" spans="1:38" x14ac:dyDescent="0.3">
      <c r="A980" t="s">
        <v>1049</v>
      </c>
      <c r="B980">
        <v>40</v>
      </c>
      <c r="C980" t="s">
        <v>800</v>
      </c>
      <c r="D980" t="s">
        <v>39</v>
      </c>
      <c r="E980">
        <f t="shared" si="15"/>
        <v>1</v>
      </c>
      <c r="F980" t="s">
        <v>40</v>
      </c>
      <c r="G980">
        <v>299</v>
      </c>
      <c r="H980" t="s">
        <v>50</v>
      </c>
      <c r="I980">
        <v>25</v>
      </c>
      <c r="J980">
        <v>4</v>
      </c>
      <c r="K980" t="s">
        <v>56</v>
      </c>
      <c r="L980">
        <v>1</v>
      </c>
      <c r="M980">
        <v>1318</v>
      </c>
      <c r="N980">
        <v>4</v>
      </c>
      <c r="O980" t="s">
        <v>43</v>
      </c>
      <c r="P980">
        <v>57</v>
      </c>
      <c r="Q980">
        <v>2</v>
      </c>
      <c r="R980">
        <v>3</v>
      </c>
      <c r="S980" t="s">
        <v>136</v>
      </c>
      <c r="T980">
        <v>2</v>
      </c>
      <c r="U980" t="s">
        <v>45</v>
      </c>
      <c r="V980">
        <v>9094</v>
      </c>
      <c r="W980" t="s">
        <v>162</v>
      </c>
      <c r="X980">
        <v>17235</v>
      </c>
      <c r="Y980">
        <v>2</v>
      </c>
      <c r="Z980" t="s">
        <v>47</v>
      </c>
      <c r="AA980" t="s">
        <v>39</v>
      </c>
      <c r="AB980">
        <v>12</v>
      </c>
      <c r="AC980">
        <v>3</v>
      </c>
      <c r="AD980">
        <v>3</v>
      </c>
      <c r="AE980">
        <v>80</v>
      </c>
      <c r="AF980">
        <v>0</v>
      </c>
      <c r="AG980">
        <v>9</v>
      </c>
      <c r="AH980">
        <v>2</v>
      </c>
      <c r="AI980">
        <v>3</v>
      </c>
      <c r="AJ980">
        <v>5</v>
      </c>
      <c r="AK980">
        <v>4</v>
      </c>
      <c r="AL980">
        <v>1</v>
      </c>
    </row>
    <row r="981" spans="1:38" x14ac:dyDescent="0.3">
      <c r="A981" t="s">
        <v>1050</v>
      </c>
      <c r="B981">
        <v>40</v>
      </c>
      <c r="C981" t="s">
        <v>800</v>
      </c>
      <c r="D981" t="s">
        <v>48</v>
      </c>
      <c r="E981">
        <f t="shared" si="15"/>
        <v>0</v>
      </c>
      <c r="F981" t="s">
        <v>58</v>
      </c>
      <c r="G981">
        <v>458</v>
      </c>
      <c r="H981" t="s">
        <v>41</v>
      </c>
      <c r="I981">
        <v>16</v>
      </c>
      <c r="J981">
        <v>2</v>
      </c>
      <c r="K981" t="s">
        <v>42</v>
      </c>
      <c r="L981">
        <v>1</v>
      </c>
      <c r="M981">
        <v>1340</v>
      </c>
      <c r="N981">
        <v>3</v>
      </c>
      <c r="O981" t="s">
        <v>43</v>
      </c>
      <c r="P981">
        <v>74</v>
      </c>
      <c r="Q981">
        <v>3</v>
      </c>
      <c r="R981">
        <v>1</v>
      </c>
      <c r="S981" t="s">
        <v>59</v>
      </c>
      <c r="T981">
        <v>3</v>
      </c>
      <c r="U981" t="s">
        <v>101</v>
      </c>
      <c r="V981">
        <v>3544</v>
      </c>
      <c r="W981" t="s">
        <v>46</v>
      </c>
      <c r="X981">
        <v>8532</v>
      </c>
      <c r="Y981">
        <v>9</v>
      </c>
      <c r="Z981" t="s">
        <v>47</v>
      </c>
      <c r="AA981" t="s">
        <v>48</v>
      </c>
      <c r="AB981">
        <v>16</v>
      </c>
      <c r="AC981">
        <v>3</v>
      </c>
      <c r="AD981">
        <v>2</v>
      </c>
      <c r="AE981">
        <v>80</v>
      </c>
      <c r="AF981">
        <v>1</v>
      </c>
      <c r="AG981">
        <v>6</v>
      </c>
      <c r="AH981">
        <v>0</v>
      </c>
      <c r="AI981">
        <v>3</v>
      </c>
      <c r="AJ981">
        <v>4</v>
      </c>
      <c r="AK981">
        <v>2</v>
      </c>
      <c r="AL981">
        <v>0</v>
      </c>
    </row>
    <row r="982" spans="1:38" x14ac:dyDescent="0.3">
      <c r="A982" t="s">
        <v>1051</v>
      </c>
      <c r="B982">
        <v>40</v>
      </c>
      <c r="C982" t="s">
        <v>800</v>
      </c>
      <c r="D982" t="s">
        <v>48</v>
      </c>
      <c r="E982">
        <f t="shared" si="15"/>
        <v>0</v>
      </c>
      <c r="F982" t="s">
        <v>40</v>
      </c>
      <c r="G982">
        <v>523</v>
      </c>
      <c r="H982" t="s">
        <v>41</v>
      </c>
      <c r="I982">
        <v>2</v>
      </c>
      <c r="J982">
        <v>3</v>
      </c>
      <c r="K982" t="s">
        <v>42</v>
      </c>
      <c r="L982">
        <v>1</v>
      </c>
      <c r="M982">
        <v>1346</v>
      </c>
      <c r="N982">
        <v>3</v>
      </c>
      <c r="O982" t="s">
        <v>43</v>
      </c>
      <c r="P982">
        <v>98</v>
      </c>
      <c r="Q982">
        <v>3</v>
      </c>
      <c r="R982">
        <v>2</v>
      </c>
      <c r="S982" t="s">
        <v>59</v>
      </c>
      <c r="T982">
        <v>4</v>
      </c>
      <c r="U982" t="s">
        <v>45</v>
      </c>
      <c r="V982">
        <v>4661</v>
      </c>
      <c r="W982" t="s">
        <v>46</v>
      </c>
      <c r="X982">
        <v>22455</v>
      </c>
      <c r="Y982">
        <v>1</v>
      </c>
      <c r="Z982" t="s">
        <v>47</v>
      </c>
      <c r="AA982" t="s">
        <v>48</v>
      </c>
      <c r="AB982">
        <v>13</v>
      </c>
      <c r="AC982">
        <v>3</v>
      </c>
      <c r="AD982">
        <v>3</v>
      </c>
      <c r="AE982">
        <v>80</v>
      </c>
      <c r="AF982">
        <v>0</v>
      </c>
      <c r="AG982">
        <v>9</v>
      </c>
      <c r="AH982">
        <v>4</v>
      </c>
      <c r="AI982">
        <v>3</v>
      </c>
      <c r="AJ982">
        <v>9</v>
      </c>
      <c r="AK982">
        <v>8</v>
      </c>
      <c r="AL982">
        <v>8</v>
      </c>
    </row>
    <row r="983" spans="1:38" x14ac:dyDescent="0.3">
      <c r="A983" t="s">
        <v>1052</v>
      </c>
      <c r="B983">
        <v>40</v>
      </c>
      <c r="C983" t="s">
        <v>800</v>
      </c>
      <c r="D983" t="s">
        <v>48</v>
      </c>
      <c r="E983">
        <f t="shared" si="15"/>
        <v>0</v>
      </c>
      <c r="F983" t="s">
        <v>40</v>
      </c>
      <c r="G983">
        <v>329</v>
      </c>
      <c r="H983" t="s">
        <v>41</v>
      </c>
      <c r="I983">
        <v>1</v>
      </c>
      <c r="J983">
        <v>4</v>
      </c>
      <c r="K983" t="s">
        <v>42</v>
      </c>
      <c r="L983">
        <v>1</v>
      </c>
      <c r="M983">
        <v>1361</v>
      </c>
      <c r="N983">
        <v>2</v>
      </c>
      <c r="O983" t="s">
        <v>43</v>
      </c>
      <c r="P983">
        <v>88</v>
      </c>
      <c r="Q983">
        <v>3</v>
      </c>
      <c r="R983">
        <v>1</v>
      </c>
      <c r="S983" t="s">
        <v>44</v>
      </c>
      <c r="T983">
        <v>2</v>
      </c>
      <c r="U983" t="s">
        <v>104</v>
      </c>
      <c r="V983">
        <v>2387</v>
      </c>
      <c r="W983" t="s">
        <v>46</v>
      </c>
      <c r="X983">
        <v>6762</v>
      </c>
      <c r="Y983">
        <v>3</v>
      </c>
      <c r="Z983" t="s">
        <v>47</v>
      </c>
      <c r="AA983" t="s">
        <v>48</v>
      </c>
      <c r="AB983">
        <v>22</v>
      </c>
      <c r="AC983">
        <v>4</v>
      </c>
      <c r="AD983">
        <v>3</v>
      </c>
      <c r="AE983">
        <v>80</v>
      </c>
      <c r="AF983">
        <v>1</v>
      </c>
      <c r="AG983">
        <v>7</v>
      </c>
      <c r="AH983">
        <v>3</v>
      </c>
      <c r="AI983">
        <v>3</v>
      </c>
      <c r="AJ983">
        <v>4</v>
      </c>
      <c r="AK983">
        <v>2</v>
      </c>
      <c r="AL983">
        <v>0</v>
      </c>
    </row>
    <row r="984" spans="1:38" x14ac:dyDescent="0.3">
      <c r="A984" t="s">
        <v>1053</v>
      </c>
      <c r="B984">
        <v>40</v>
      </c>
      <c r="C984" t="s">
        <v>800</v>
      </c>
      <c r="D984" t="s">
        <v>48</v>
      </c>
      <c r="E984">
        <f t="shared" si="15"/>
        <v>0</v>
      </c>
      <c r="F984" t="s">
        <v>40</v>
      </c>
      <c r="G984">
        <v>1202</v>
      </c>
      <c r="H984" t="s">
        <v>41</v>
      </c>
      <c r="I984">
        <v>2</v>
      </c>
      <c r="J984">
        <v>1</v>
      </c>
      <c r="K984" t="s">
        <v>51</v>
      </c>
      <c r="L984">
        <v>1</v>
      </c>
      <c r="M984">
        <v>1375</v>
      </c>
      <c r="N984">
        <v>2</v>
      </c>
      <c r="O984" t="s">
        <v>52</v>
      </c>
      <c r="P984">
        <v>89</v>
      </c>
      <c r="Q984">
        <v>4</v>
      </c>
      <c r="R984">
        <v>2</v>
      </c>
      <c r="S984" t="s">
        <v>160</v>
      </c>
      <c r="T984">
        <v>3</v>
      </c>
      <c r="U984" t="s">
        <v>101</v>
      </c>
      <c r="V984">
        <v>6377</v>
      </c>
      <c r="W984" t="s">
        <v>162</v>
      </c>
      <c r="X984">
        <v>13888</v>
      </c>
      <c r="Y984">
        <v>5</v>
      </c>
      <c r="Z984" t="s">
        <v>47</v>
      </c>
      <c r="AA984" t="s">
        <v>48</v>
      </c>
      <c r="AB984">
        <v>20</v>
      </c>
      <c r="AC984">
        <v>4</v>
      </c>
      <c r="AD984">
        <v>2</v>
      </c>
      <c r="AE984">
        <v>80</v>
      </c>
      <c r="AF984">
        <v>3</v>
      </c>
      <c r="AG984">
        <v>15</v>
      </c>
      <c r="AH984">
        <v>0</v>
      </c>
      <c r="AI984">
        <v>3</v>
      </c>
      <c r="AJ984">
        <v>12</v>
      </c>
      <c r="AK984">
        <v>11</v>
      </c>
      <c r="AL984">
        <v>11</v>
      </c>
    </row>
    <row r="985" spans="1:38" x14ac:dyDescent="0.3">
      <c r="A985" t="s">
        <v>1054</v>
      </c>
      <c r="B985">
        <v>40</v>
      </c>
      <c r="C985" t="s">
        <v>800</v>
      </c>
      <c r="D985" t="s">
        <v>48</v>
      </c>
      <c r="E985">
        <f t="shared" si="15"/>
        <v>0</v>
      </c>
      <c r="F985" t="s">
        <v>58</v>
      </c>
      <c r="G985">
        <v>663</v>
      </c>
      <c r="H985" t="s">
        <v>41</v>
      </c>
      <c r="I985">
        <v>9</v>
      </c>
      <c r="J985">
        <v>4</v>
      </c>
      <c r="K985" t="s">
        <v>72</v>
      </c>
      <c r="L985">
        <v>1</v>
      </c>
      <c r="M985">
        <v>1449</v>
      </c>
      <c r="N985">
        <v>3</v>
      </c>
      <c r="O985" t="s">
        <v>43</v>
      </c>
      <c r="P985">
        <v>81</v>
      </c>
      <c r="Q985">
        <v>3</v>
      </c>
      <c r="R985">
        <v>2</v>
      </c>
      <c r="S985" t="s">
        <v>44</v>
      </c>
      <c r="T985">
        <v>3</v>
      </c>
      <c r="U985" t="s">
        <v>101</v>
      </c>
      <c r="V985">
        <v>3975</v>
      </c>
      <c r="W985" t="s">
        <v>46</v>
      </c>
      <c r="X985">
        <v>23099</v>
      </c>
      <c r="Y985">
        <v>3</v>
      </c>
      <c r="Z985" t="s">
        <v>47</v>
      </c>
      <c r="AA985" t="s">
        <v>48</v>
      </c>
      <c r="AB985">
        <v>11</v>
      </c>
      <c r="AC985">
        <v>3</v>
      </c>
      <c r="AD985">
        <v>3</v>
      </c>
      <c r="AE985">
        <v>80</v>
      </c>
      <c r="AF985">
        <v>2</v>
      </c>
      <c r="AG985">
        <v>11</v>
      </c>
      <c r="AH985">
        <v>2</v>
      </c>
      <c r="AI985">
        <v>4</v>
      </c>
      <c r="AJ985">
        <v>8</v>
      </c>
      <c r="AK985">
        <v>7</v>
      </c>
      <c r="AL985">
        <v>0</v>
      </c>
    </row>
    <row r="986" spans="1:38" x14ac:dyDescent="0.3">
      <c r="A986" t="s">
        <v>1055</v>
      </c>
      <c r="B986">
        <v>40</v>
      </c>
      <c r="C986" t="s">
        <v>800</v>
      </c>
      <c r="D986" t="s">
        <v>48</v>
      </c>
      <c r="E986">
        <f t="shared" si="15"/>
        <v>0</v>
      </c>
      <c r="F986" t="s">
        <v>58</v>
      </c>
      <c r="G986">
        <v>218</v>
      </c>
      <c r="H986" t="s">
        <v>41</v>
      </c>
      <c r="I986">
        <v>8</v>
      </c>
      <c r="J986">
        <v>1</v>
      </c>
      <c r="K986" t="s">
        <v>51</v>
      </c>
      <c r="L986">
        <v>1</v>
      </c>
      <c r="M986">
        <v>1468</v>
      </c>
      <c r="N986">
        <v>4</v>
      </c>
      <c r="O986" t="s">
        <v>43</v>
      </c>
      <c r="P986">
        <v>55</v>
      </c>
      <c r="Q986">
        <v>2</v>
      </c>
      <c r="R986">
        <v>3</v>
      </c>
      <c r="S986" t="s">
        <v>251</v>
      </c>
      <c r="T986">
        <v>2</v>
      </c>
      <c r="U986" t="s">
        <v>101</v>
      </c>
      <c r="V986">
        <v>13757</v>
      </c>
      <c r="W986" t="s">
        <v>252</v>
      </c>
      <c r="X986">
        <v>25178</v>
      </c>
      <c r="Y986">
        <v>2</v>
      </c>
      <c r="Z986" t="s">
        <v>47</v>
      </c>
      <c r="AA986" t="s">
        <v>48</v>
      </c>
      <c r="AB986">
        <v>11</v>
      </c>
      <c r="AC986">
        <v>3</v>
      </c>
      <c r="AD986">
        <v>3</v>
      </c>
      <c r="AE986">
        <v>80</v>
      </c>
      <c r="AF986">
        <v>1</v>
      </c>
      <c r="AG986">
        <v>16</v>
      </c>
      <c r="AH986">
        <v>5</v>
      </c>
      <c r="AI986">
        <v>3</v>
      </c>
      <c r="AJ986">
        <v>9</v>
      </c>
      <c r="AK986">
        <v>8</v>
      </c>
      <c r="AL986">
        <v>4</v>
      </c>
    </row>
    <row r="987" spans="1:38" x14ac:dyDescent="0.3">
      <c r="A987" t="s">
        <v>1056</v>
      </c>
      <c r="B987">
        <v>40</v>
      </c>
      <c r="C987" t="s">
        <v>800</v>
      </c>
      <c r="D987" t="s">
        <v>48</v>
      </c>
      <c r="E987">
        <f t="shared" si="15"/>
        <v>0</v>
      </c>
      <c r="F987" t="s">
        <v>40</v>
      </c>
      <c r="G987">
        <v>896</v>
      </c>
      <c r="H987" t="s">
        <v>41</v>
      </c>
      <c r="I987">
        <v>2</v>
      </c>
      <c r="J987">
        <v>3</v>
      </c>
      <c r="K987" t="s">
        <v>51</v>
      </c>
      <c r="L987">
        <v>1</v>
      </c>
      <c r="M987">
        <v>1474</v>
      </c>
      <c r="N987">
        <v>3</v>
      </c>
      <c r="O987" t="s">
        <v>43</v>
      </c>
      <c r="P987">
        <v>68</v>
      </c>
      <c r="Q987">
        <v>3</v>
      </c>
      <c r="R987">
        <v>1</v>
      </c>
      <c r="S987" t="s">
        <v>59</v>
      </c>
      <c r="T987">
        <v>3</v>
      </c>
      <c r="U987" t="s">
        <v>101</v>
      </c>
      <c r="V987">
        <v>2345</v>
      </c>
      <c r="W987" t="s">
        <v>46</v>
      </c>
      <c r="X987">
        <v>8045</v>
      </c>
      <c r="Y987">
        <v>2</v>
      </c>
      <c r="Z987" t="s">
        <v>47</v>
      </c>
      <c r="AA987" t="s">
        <v>48</v>
      </c>
      <c r="AB987">
        <v>14</v>
      </c>
      <c r="AC987">
        <v>3</v>
      </c>
      <c r="AD987">
        <v>3</v>
      </c>
      <c r="AE987">
        <v>80</v>
      </c>
      <c r="AF987">
        <v>1</v>
      </c>
      <c r="AG987">
        <v>8</v>
      </c>
      <c r="AH987">
        <v>3</v>
      </c>
      <c r="AI987">
        <v>4</v>
      </c>
      <c r="AJ987">
        <v>3</v>
      </c>
      <c r="AK987">
        <v>1</v>
      </c>
      <c r="AL987">
        <v>1</v>
      </c>
    </row>
    <row r="988" spans="1:38" x14ac:dyDescent="0.3">
      <c r="A988" t="s">
        <v>1057</v>
      </c>
      <c r="B988">
        <v>40</v>
      </c>
      <c r="C988" t="s">
        <v>800</v>
      </c>
      <c r="D988" t="s">
        <v>39</v>
      </c>
      <c r="E988">
        <f t="shared" si="15"/>
        <v>1</v>
      </c>
      <c r="F988" t="s">
        <v>40</v>
      </c>
      <c r="G988">
        <v>676</v>
      </c>
      <c r="H988" t="s">
        <v>41</v>
      </c>
      <c r="I988">
        <v>9</v>
      </c>
      <c r="J988">
        <v>4</v>
      </c>
      <c r="K988" t="s">
        <v>42</v>
      </c>
      <c r="L988">
        <v>1</v>
      </c>
      <c r="M988">
        <v>1534</v>
      </c>
      <c r="N988">
        <v>4</v>
      </c>
      <c r="O988" t="s">
        <v>43</v>
      </c>
      <c r="P988">
        <v>86</v>
      </c>
      <c r="Q988">
        <v>3</v>
      </c>
      <c r="R988">
        <v>1</v>
      </c>
      <c r="S988" t="s">
        <v>44</v>
      </c>
      <c r="T988">
        <v>1</v>
      </c>
      <c r="U988" t="s">
        <v>45</v>
      </c>
      <c r="V988">
        <v>2018</v>
      </c>
      <c r="W988" t="s">
        <v>46</v>
      </c>
      <c r="X988">
        <v>21831</v>
      </c>
      <c r="Y988">
        <v>3</v>
      </c>
      <c r="Z988" t="s">
        <v>47</v>
      </c>
      <c r="AA988" t="s">
        <v>48</v>
      </c>
      <c r="AB988">
        <v>14</v>
      </c>
      <c r="AC988">
        <v>3</v>
      </c>
      <c r="AD988">
        <v>2</v>
      </c>
      <c r="AE988">
        <v>80</v>
      </c>
      <c r="AF988">
        <v>0</v>
      </c>
      <c r="AG988">
        <v>15</v>
      </c>
      <c r="AH988">
        <v>3</v>
      </c>
      <c r="AI988">
        <v>1</v>
      </c>
      <c r="AJ988">
        <v>5</v>
      </c>
      <c r="AK988">
        <v>4</v>
      </c>
      <c r="AL988">
        <v>1</v>
      </c>
    </row>
    <row r="989" spans="1:38" x14ac:dyDescent="0.3">
      <c r="A989" t="s">
        <v>1058</v>
      </c>
      <c r="B989">
        <v>40</v>
      </c>
      <c r="C989" t="s">
        <v>800</v>
      </c>
      <c r="D989" t="s">
        <v>48</v>
      </c>
      <c r="E989">
        <f t="shared" si="15"/>
        <v>0</v>
      </c>
      <c r="F989" t="s">
        <v>40</v>
      </c>
      <c r="G989">
        <v>1342</v>
      </c>
      <c r="H989" t="s">
        <v>50</v>
      </c>
      <c r="I989">
        <v>9</v>
      </c>
      <c r="J989">
        <v>2</v>
      </c>
      <c r="K989" t="s">
        <v>51</v>
      </c>
      <c r="L989">
        <v>1</v>
      </c>
      <c r="M989">
        <v>1548</v>
      </c>
      <c r="N989">
        <v>1</v>
      </c>
      <c r="O989" t="s">
        <v>43</v>
      </c>
      <c r="P989">
        <v>47</v>
      </c>
      <c r="Q989">
        <v>3</v>
      </c>
      <c r="R989">
        <v>2</v>
      </c>
      <c r="S989" t="s">
        <v>136</v>
      </c>
      <c r="T989">
        <v>1</v>
      </c>
      <c r="U989" t="s">
        <v>104</v>
      </c>
      <c r="V989">
        <v>5473</v>
      </c>
      <c r="W989" t="s">
        <v>162</v>
      </c>
      <c r="X989">
        <v>19345</v>
      </c>
      <c r="Y989">
        <v>0</v>
      </c>
      <c r="Z989" t="s">
        <v>47</v>
      </c>
      <c r="AA989" t="s">
        <v>48</v>
      </c>
      <c r="AB989">
        <v>12</v>
      </c>
      <c r="AC989">
        <v>3</v>
      </c>
      <c r="AD989">
        <v>4</v>
      </c>
      <c r="AE989">
        <v>80</v>
      </c>
      <c r="AF989">
        <v>0</v>
      </c>
      <c r="AG989">
        <v>9</v>
      </c>
      <c r="AH989">
        <v>5</v>
      </c>
      <c r="AI989">
        <v>4</v>
      </c>
      <c r="AJ989">
        <v>8</v>
      </c>
      <c r="AK989">
        <v>4</v>
      </c>
      <c r="AL989">
        <v>7</v>
      </c>
    </row>
    <row r="990" spans="1:38" x14ac:dyDescent="0.3">
      <c r="A990" t="s">
        <v>1059</v>
      </c>
      <c r="B990">
        <v>40</v>
      </c>
      <c r="C990" t="s">
        <v>800</v>
      </c>
      <c r="D990" t="s">
        <v>48</v>
      </c>
      <c r="E990">
        <f t="shared" si="15"/>
        <v>0</v>
      </c>
      <c r="F990" t="s">
        <v>40</v>
      </c>
      <c r="G990">
        <v>898</v>
      </c>
      <c r="H990" t="s">
        <v>70</v>
      </c>
      <c r="I990">
        <v>6</v>
      </c>
      <c r="J990">
        <v>2</v>
      </c>
      <c r="K990" t="s">
        <v>51</v>
      </c>
      <c r="L990">
        <v>1</v>
      </c>
      <c r="M990">
        <v>1550</v>
      </c>
      <c r="N990">
        <v>3</v>
      </c>
      <c r="O990" t="s">
        <v>43</v>
      </c>
      <c r="P990">
        <v>38</v>
      </c>
      <c r="Q990">
        <v>3</v>
      </c>
      <c r="R990">
        <v>4</v>
      </c>
      <c r="S990" t="s">
        <v>440</v>
      </c>
      <c r="T990">
        <v>4</v>
      </c>
      <c r="U990" t="s">
        <v>45</v>
      </c>
      <c r="V990">
        <v>16437</v>
      </c>
      <c r="W990" t="s">
        <v>366</v>
      </c>
      <c r="X990">
        <v>17381</v>
      </c>
      <c r="Y990">
        <v>1</v>
      </c>
      <c r="Z990" t="s">
        <v>47</v>
      </c>
      <c r="AA990" t="s">
        <v>39</v>
      </c>
      <c r="AB990">
        <v>21</v>
      </c>
      <c r="AC990">
        <v>4</v>
      </c>
      <c r="AD990">
        <v>4</v>
      </c>
      <c r="AE990">
        <v>80</v>
      </c>
      <c r="AF990">
        <v>0</v>
      </c>
      <c r="AG990">
        <v>21</v>
      </c>
      <c r="AH990">
        <v>2</v>
      </c>
      <c r="AI990">
        <v>3</v>
      </c>
      <c r="AJ990">
        <v>21</v>
      </c>
      <c r="AK990">
        <v>7</v>
      </c>
      <c r="AL990">
        <v>7</v>
      </c>
    </row>
    <row r="991" spans="1:38" x14ac:dyDescent="0.3">
      <c r="A991" t="s">
        <v>1060</v>
      </c>
      <c r="B991">
        <v>40</v>
      </c>
      <c r="C991" t="s">
        <v>800</v>
      </c>
      <c r="D991" t="s">
        <v>48</v>
      </c>
      <c r="E991">
        <f t="shared" si="15"/>
        <v>0</v>
      </c>
      <c r="F991" t="s">
        <v>58</v>
      </c>
      <c r="G991">
        <v>1142</v>
      </c>
      <c r="H991" t="s">
        <v>41</v>
      </c>
      <c r="I991">
        <v>8</v>
      </c>
      <c r="J991">
        <v>2</v>
      </c>
      <c r="K991" t="s">
        <v>42</v>
      </c>
      <c r="L991">
        <v>1</v>
      </c>
      <c r="M991">
        <v>1552</v>
      </c>
      <c r="N991">
        <v>4</v>
      </c>
      <c r="O991" t="s">
        <v>43</v>
      </c>
      <c r="P991">
        <v>72</v>
      </c>
      <c r="Q991">
        <v>3</v>
      </c>
      <c r="R991">
        <v>2</v>
      </c>
      <c r="S991" t="s">
        <v>160</v>
      </c>
      <c r="T991">
        <v>4</v>
      </c>
      <c r="U991" t="s">
        <v>101</v>
      </c>
      <c r="V991">
        <v>4069</v>
      </c>
      <c r="W991" t="s">
        <v>46</v>
      </c>
      <c r="X991">
        <v>8841</v>
      </c>
      <c r="Y991">
        <v>3</v>
      </c>
      <c r="Z991" t="s">
        <v>47</v>
      </c>
      <c r="AA991" t="s">
        <v>39</v>
      </c>
      <c r="AB991">
        <v>18</v>
      </c>
      <c r="AC991">
        <v>3</v>
      </c>
      <c r="AD991">
        <v>3</v>
      </c>
      <c r="AE991">
        <v>80</v>
      </c>
      <c r="AF991">
        <v>0</v>
      </c>
      <c r="AG991">
        <v>8</v>
      </c>
      <c r="AH991">
        <v>2</v>
      </c>
      <c r="AI991">
        <v>3</v>
      </c>
      <c r="AJ991">
        <v>2</v>
      </c>
      <c r="AK991">
        <v>2</v>
      </c>
      <c r="AL991">
        <v>2</v>
      </c>
    </row>
    <row r="992" spans="1:38" x14ac:dyDescent="0.3">
      <c r="A992" t="s">
        <v>1061</v>
      </c>
      <c r="B992">
        <v>40</v>
      </c>
      <c r="C992" t="s">
        <v>800</v>
      </c>
      <c r="D992" t="s">
        <v>48</v>
      </c>
      <c r="E992">
        <f t="shared" si="15"/>
        <v>0</v>
      </c>
      <c r="F992" t="s">
        <v>40</v>
      </c>
      <c r="G992">
        <v>118</v>
      </c>
      <c r="H992" t="s">
        <v>50</v>
      </c>
      <c r="I992">
        <v>14</v>
      </c>
      <c r="J992">
        <v>2</v>
      </c>
      <c r="K992" t="s">
        <v>42</v>
      </c>
      <c r="L992">
        <v>1</v>
      </c>
      <c r="M992">
        <v>1598</v>
      </c>
      <c r="N992">
        <v>4</v>
      </c>
      <c r="O992" t="s">
        <v>52</v>
      </c>
      <c r="P992">
        <v>84</v>
      </c>
      <c r="Q992">
        <v>3</v>
      </c>
      <c r="R992">
        <v>2</v>
      </c>
      <c r="S992" t="s">
        <v>136</v>
      </c>
      <c r="T992">
        <v>1</v>
      </c>
      <c r="U992" t="s">
        <v>104</v>
      </c>
      <c r="V992">
        <v>4639</v>
      </c>
      <c r="W992" t="s">
        <v>46</v>
      </c>
      <c r="X992">
        <v>11262</v>
      </c>
      <c r="Y992">
        <v>1</v>
      </c>
      <c r="Z992" t="s">
        <v>47</v>
      </c>
      <c r="AA992" t="s">
        <v>48</v>
      </c>
      <c r="AB992">
        <v>15</v>
      </c>
      <c r="AC992">
        <v>3</v>
      </c>
      <c r="AD992">
        <v>3</v>
      </c>
      <c r="AE992">
        <v>80</v>
      </c>
      <c r="AF992">
        <v>1</v>
      </c>
      <c r="AG992">
        <v>5</v>
      </c>
      <c r="AH992">
        <v>2</v>
      </c>
      <c r="AI992">
        <v>3</v>
      </c>
      <c r="AJ992">
        <v>5</v>
      </c>
      <c r="AK992">
        <v>4</v>
      </c>
      <c r="AL992">
        <v>1</v>
      </c>
    </row>
    <row r="993" spans="1:38" x14ac:dyDescent="0.3">
      <c r="A993" t="s">
        <v>1062</v>
      </c>
      <c r="B993">
        <v>40</v>
      </c>
      <c r="C993" t="s">
        <v>800</v>
      </c>
      <c r="D993" t="s">
        <v>48</v>
      </c>
      <c r="E993">
        <f t="shared" si="15"/>
        <v>0</v>
      </c>
      <c r="F993" t="s">
        <v>40</v>
      </c>
      <c r="G993">
        <v>884</v>
      </c>
      <c r="H993" t="s">
        <v>41</v>
      </c>
      <c r="I993">
        <v>15</v>
      </c>
      <c r="J993">
        <v>3</v>
      </c>
      <c r="K993" t="s">
        <v>42</v>
      </c>
      <c r="L993">
        <v>1</v>
      </c>
      <c r="M993">
        <v>1628</v>
      </c>
      <c r="N993">
        <v>1</v>
      </c>
      <c r="O993" t="s">
        <v>52</v>
      </c>
      <c r="P993">
        <v>80</v>
      </c>
      <c r="Q993">
        <v>2</v>
      </c>
      <c r="R993">
        <v>3</v>
      </c>
      <c r="S993" t="s">
        <v>111</v>
      </c>
      <c r="T993">
        <v>3</v>
      </c>
      <c r="U993" t="s">
        <v>104</v>
      </c>
      <c r="V993">
        <v>10435</v>
      </c>
      <c r="W993" t="s">
        <v>252</v>
      </c>
      <c r="X993">
        <v>25800</v>
      </c>
      <c r="Y993">
        <v>1</v>
      </c>
      <c r="Z993" t="s">
        <v>47</v>
      </c>
      <c r="AA993" t="s">
        <v>48</v>
      </c>
      <c r="AB993">
        <v>13</v>
      </c>
      <c r="AC993">
        <v>3</v>
      </c>
      <c r="AD993">
        <v>4</v>
      </c>
      <c r="AE993">
        <v>80</v>
      </c>
      <c r="AF993">
        <v>2</v>
      </c>
      <c r="AG993">
        <v>18</v>
      </c>
      <c r="AH993">
        <v>2</v>
      </c>
      <c r="AI993">
        <v>3</v>
      </c>
      <c r="AJ993">
        <v>18</v>
      </c>
      <c r="AK993">
        <v>15</v>
      </c>
      <c r="AL993">
        <v>14</v>
      </c>
    </row>
    <row r="994" spans="1:38" x14ac:dyDescent="0.3">
      <c r="A994" t="s">
        <v>1063</v>
      </c>
      <c r="B994">
        <v>40</v>
      </c>
      <c r="C994" t="s">
        <v>800</v>
      </c>
      <c r="D994" t="s">
        <v>48</v>
      </c>
      <c r="E994">
        <f t="shared" si="15"/>
        <v>0</v>
      </c>
      <c r="F994" t="s">
        <v>40</v>
      </c>
      <c r="G994">
        <v>448</v>
      </c>
      <c r="H994" t="s">
        <v>41</v>
      </c>
      <c r="I994">
        <v>16</v>
      </c>
      <c r="J994">
        <v>3</v>
      </c>
      <c r="K994" t="s">
        <v>42</v>
      </c>
      <c r="L994">
        <v>1</v>
      </c>
      <c r="M994">
        <v>1641</v>
      </c>
      <c r="N994">
        <v>3</v>
      </c>
      <c r="O994" t="s">
        <v>52</v>
      </c>
      <c r="P994">
        <v>84</v>
      </c>
      <c r="Q994">
        <v>3</v>
      </c>
      <c r="R994">
        <v>3</v>
      </c>
      <c r="S994" t="s">
        <v>111</v>
      </c>
      <c r="T994">
        <v>4</v>
      </c>
      <c r="U994" t="s">
        <v>45</v>
      </c>
      <c r="V994">
        <v>7945</v>
      </c>
      <c r="W994" t="s">
        <v>162</v>
      </c>
      <c r="X994">
        <v>19948</v>
      </c>
      <c r="Y994">
        <v>6</v>
      </c>
      <c r="Z994" t="s">
        <v>47</v>
      </c>
      <c r="AA994" t="s">
        <v>39</v>
      </c>
      <c r="AB994">
        <v>15</v>
      </c>
      <c r="AC994">
        <v>3</v>
      </c>
      <c r="AD994">
        <v>4</v>
      </c>
      <c r="AE994">
        <v>80</v>
      </c>
      <c r="AF994">
        <v>0</v>
      </c>
      <c r="AG994">
        <v>18</v>
      </c>
      <c r="AH994">
        <v>2</v>
      </c>
      <c r="AI994">
        <v>2</v>
      </c>
      <c r="AJ994">
        <v>4</v>
      </c>
      <c r="AK994">
        <v>2</v>
      </c>
      <c r="AL994">
        <v>3</v>
      </c>
    </row>
    <row r="995" spans="1:38" x14ac:dyDescent="0.3">
      <c r="A995" t="s">
        <v>1064</v>
      </c>
      <c r="B995">
        <v>40</v>
      </c>
      <c r="C995" t="s">
        <v>800</v>
      </c>
      <c r="D995" t="s">
        <v>39</v>
      </c>
      <c r="E995">
        <f t="shared" si="15"/>
        <v>1</v>
      </c>
      <c r="F995" t="s">
        <v>40</v>
      </c>
      <c r="G995">
        <v>1329</v>
      </c>
      <c r="H995" t="s">
        <v>41</v>
      </c>
      <c r="I995">
        <v>7</v>
      </c>
      <c r="J995">
        <v>3</v>
      </c>
      <c r="K995" t="s">
        <v>42</v>
      </c>
      <c r="L995">
        <v>1</v>
      </c>
      <c r="M995">
        <v>1649</v>
      </c>
      <c r="N995">
        <v>1</v>
      </c>
      <c r="O995" t="s">
        <v>43</v>
      </c>
      <c r="P995">
        <v>73</v>
      </c>
      <c r="Q995">
        <v>3</v>
      </c>
      <c r="R995">
        <v>1</v>
      </c>
      <c r="S995" t="s">
        <v>44</v>
      </c>
      <c r="T995">
        <v>1</v>
      </c>
      <c r="U995" t="s">
        <v>45</v>
      </c>
      <c r="V995">
        <v>2166</v>
      </c>
      <c r="W995" t="s">
        <v>46</v>
      </c>
      <c r="X995">
        <v>3339</v>
      </c>
      <c r="Y995">
        <v>3</v>
      </c>
      <c r="Z995" t="s">
        <v>47</v>
      </c>
      <c r="AA995" t="s">
        <v>39</v>
      </c>
      <c r="AB995">
        <v>14</v>
      </c>
      <c r="AC995">
        <v>3</v>
      </c>
      <c r="AD995">
        <v>2</v>
      </c>
      <c r="AE995">
        <v>80</v>
      </c>
      <c r="AF995">
        <v>0</v>
      </c>
      <c r="AG995">
        <v>10</v>
      </c>
      <c r="AH995">
        <v>3</v>
      </c>
      <c r="AI995">
        <v>1</v>
      </c>
      <c r="AJ995">
        <v>4</v>
      </c>
      <c r="AK995">
        <v>2</v>
      </c>
      <c r="AL995">
        <v>0</v>
      </c>
    </row>
    <row r="996" spans="1:38" x14ac:dyDescent="0.3">
      <c r="A996" t="s">
        <v>1065</v>
      </c>
      <c r="B996">
        <v>40</v>
      </c>
      <c r="C996" t="s">
        <v>800</v>
      </c>
      <c r="D996" t="s">
        <v>48</v>
      </c>
      <c r="E996">
        <f t="shared" si="15"/>
        <v>0</v>
      </c>
      <c r="F996" t="s">
        <v>40</v>
      </c>
      <c r="G996">
        <v>369</v>
      </c>
      <c r="H996" t="s">
        <v>41</v>
      </c>
      <c r="I996">
        <v>8</v>
      </c>
      <c r="J996">
        <v>2</v>
      </c>
      <c r="K996" t="s">
        <v>42</v>
      </c>
      <c r="L996">
        <v>1</v>
      </c>
      <c r="M996">
        <v>1724</v>
      </c>
      <c r="N996">
        <v>2</v>
      </c>
      <c r="O996" t="s">
        <v>52</v>
      </c>
      <c r="P996">
        <v>92</v>
      </c>
      <c r="Q996">
        <v>3</v>
      </c>
      <c r="R996">
        <v>2</v>
      </c>
      <c r="S996" t="s">
        <v>111</v>
      </c>
      <c r="T996">
        <v>1</v>
      </c>
      <c r="U996" t="s">
        <v>104</v>
      </c>
      <c r="V996">
        <v>6516</v>
      </c>
      <c r="W996" t="s">
        <v>162</v>
      </c>
      <c r="X996">
        <v>5041</v>
      </c>
      <c r="Y996">
        <v>2</v>
      </c>
      <c r="Z996" t="s">
        <v>47</v>
      </c>
      <c r="AA996" t="s">
        <v>39</v>
      </c>
      <c r="AB996">
        <v>16</v>
      </c>
      <c r="AC996">
        <v>3</v>
      </c>
      <c r="AD996">
        <v>2</v>
      </c>
      <c r="AE996">
        <v>80</v>
      </c>
      <c r="AF996">
        <v>1</v>
      </c>
      <c r="AG996">
        <v>18</v>
      </c>
      <c r="AH996">
        <v>3</v>
      </c>
      <c r="AI996">
        <v>3</v>
      </c>
      <c r="AJ996">
        <v>1</v>
      </c>
      <c r="AK996">
        <v>0</v>
      </c>
      <c r="AL996">
        <v>0</v>
      </c>
    </row>
    <row r="997" spans="1:38" x14ac:dyDescent="0.3">
      <c r="A997" t="s">
        <v>1066</v>
      </c>
      <c r="B997">
        <v>40</v>
      </c>
      <c r="C997" t="s">
        <v>800</v>
      </c>
      <c r="D997" t="s">
        <v>48</v>
      </c>
      <c r="E997">
        <f t="shared" si="15"/>
        <v>0</v>
      </c>
      <c r="F997" t="s">
        <v>40</v>
      </c>
      <c r="G997">
        <v>611</v>
      </c>
      <c r="H997" t="s">
        <v>50</v>
      </c>
      <c r="I997">
        <v>7</v>
      </c>
      <c r="J997">
        <v>4</v>
      </c>
      <c r="K997" t="s">
        <v>51</v>
      </c>
      <c r="L997">
        <v>1</v>
      </c>
      <c r="M997">
        <v>1740</v>
      </c>
      <c r="N997">
        <v>2</v>
      </c>
      <c r="O997" t="s">
        <v>43</v>
      </c>
      <c r="P997">
        <v>88</v>
      </c>
      <c r="Q997">
        <v>3</v>
      </c>
      <c r="R997">
        <v>5</v>
      </c>
      <c r="S997" t="s">
        <v>440</v>
      </c>
      <c r="T997">
        <v>2</v>
      </c>
      <c r="U997" t="s">
        <v>45</v>
      </c>
      <c r="V997">
        <v>19833</v>
      </c>
      <c r="W997" t="s">
        <v>366</v>
      </c>
      <c r="X997">
        <v>4349</v>
      </c>
      <c r="Y997">
        <v>1</v>
      </c>
      <c r="Z997" t="s">
        <v>47</v>
      </c>
      <c r="AA997" t="s">
        <v>48</v>
      </c>
      <c r="AB997">
        <v>14</v>
      </c>
      <c r="AC997">
        <v>3</v>
      </c>
      <c r="AD997">
        <v>2</v>
      </c>
      <c r="AE997">
        <v>80</v>
      </c>
      <c r="AF997">
        <v>0</v>
      </c>
      <c r="AG997">
        <v>21</v>
      </c>
      <c r="AH997">
        <v>3</v>
      </c>
      <c r="AI997">
        <v>2</v>
      </c>
      <c r="AJ997">
        <v>21</v>
      </c>
      <c r="AK997">
        <v>8</v>
      </c>
      <c r="AL997">
        <v>12</v>
      </c>
    </row>
    <row r="998" spans="1:38" x14ac:dyDescent="0.3">
      <c r="A998" t="s">
        <v>1067</v>
      </c>
      <c r="B998">
        <v>40</v>
      </c>
      <c r="C998" t="s">
        <v>800</v>
      </c>
      <c r="D998" t="s">
        <v>48</v>
      </c>
      <c r="E998">
        <f t="shared" si="15"/>
        <v>0</v>
      </c>
      <c r="F998" t="s">
        <v>40</v>
      </c>
      <c r="G998">
        <v>616</v>
      </c>
      <c r="H998" t="s">
        <v>41</v>
      </c>
      <c r="I998">
        <v>2</v>
      </c>
      <c r="J998">
        <v>2</v>
      </c>
      <c r="K998" t="s">
        <v>42</v>
      </c>
      <c r="L998">
        <v>1</v>
      </c>
      <c r="M998">
        <v>1802</v>
      </c>
      <c r="N998">
        <v>3</v>
      </c>
      <c r="O998" t="s">
        <v>52</v>
      </c>
      <c r="P998">
        <v>99</v>
      </c>
      <c r="Q998">
        <v>3</v>
      </c>
      <c r="R998">
        <v>1</v>
      </c>
      <c r="S998" t="s">
        <v>44</v>
      </c>
      <c r="T998">
        <v>1</v>
      </c>
      <c r="U998" t="s">
        <v>104</v>
      </c>
      <c r="V998">
        <v>3377</v>
      </c>
      <c r="W998" t="s">
        <v>46</v>
      </c>
      <c r="X998">
        <v>25605</v>
      </c>
      <c r="Y998">
        <v>4</v>
      </c>
      <c r="Z998" t="s">
        <v>47</v>
      </c>
      <c r="AA998" t="s">
        <v>48</v>
      </c>
      <c r="AB998">
        <v>17</v>
      </c>
      <c r="AC998">
        <v>3</v>
      </c>
      <c r="AD998">
        <v>4</v>
      </c>
      <c r="AE998">
        <v>80</v>
      </c>
      <c r="AF998">
        <v>1</v>
      </c>
      <c r="AG998">
        <v>7</v>
      </c>
      <c r="AH998">
        <v>5</v>
      </c>
      <c r="AI998">
        <v>2</v>
      </c>
      <c r="AJ998">
        <v>4</v>
      </c>
      <c r="AK998">
        <v>3</v>
      </c>
      <c r="AL998">
        <v>0</v>
      </c>
    </row>
    <row r="999" spans="1:38" x14ac:dyDescent="0.3">
      <c r="A999" t="s">
        <v>1068</v>
      </c>
      <c r="B999">
        <v>40</v>
      </c>
      <c r="C999" t="s">
        <v>800</v>
      </c>
      <c r="D999" t="s">
        <v>48</v>
      </c>
      <c r="E999">
        <f t="shared" si="15"/>
        <v>0</v>
      </c>
      <c r="F999" t="s">
        <v>40</v>
      </c>
      <c r="G999">
        <v>1194</v>
      </c>
      <c r="H999" t="s">
        <v>41</v>
      </c>
      <c r="I999">
        <v>1</v>
      </c>
      <c r="J999">
        <v>3</v>
      </c>
      <c r="K999" t="s">
        <v>42</v>
      </c>
      <c r="L999">
        <v>1</v>
      </c>
      <c r="M999">
        <v>1822</v>
      </c>
      <c r="N999">
        <v>3</v>
      </c>
      <c r="O999" t="s">
        <v>52</v>
      </c>
      <c r="P999">
        <v>52</v>
      </c>
      <c r="Q999">
        <v>3</v>
      </c>
      <c r="R999">
        <v>2</v>
      </c>
      <c r="S999" t="s">
        <v>160</v>
      </c>
      <c r="T999">
        <v>4</v>
      </c>
      <c r="U999" t="s">
        <v>101</v>
      </c>
      <c r="V999">
        <v>6513</v>
      </c>
      <c r="W999" t="s">
        <v>162</v>
      </c>
      <c r="X999">
        <v>9060</v>
      </c>
      <c r="Y999">
        <v>4</v>
      </c>
      <c r="Z999" t="s">
        <v>47</v>
      </c>
      <c r="AA999" t="s">
        <v>48</v>
      </c>
      <c r="AB999">
        <v>17</v>
      </c>
      <c r="AC999">
        <v>3</v>
      </c>
      <c r="AD999">
        <v>4</v>
      </c>
      <c r="AE999">
        <v>80</v>
      </c>
      <c r="AF999">
        <v>1</v>
      </c>
      <c r="AG999">
        <v>12</v>
      </c>
      <c r="AH999">
        <v>3</v>
      </c>
      <c r="AI999">
        <v>3</v>
      </c>
      <c r="AJ999">
        <v>5</v>
      </c>
      <c r="AK999">
        <v>3</v>
      </c>
      <c r="AL999">
        <v>0</v>
      </c>
    </row>
    <row r="1000" spans="1:38" x14ac:dyDescent="0.3">
      <c r="A1000" t="s">
        <v>1069</v>
      </c>
      <c r="B1000">
        <v>40</v>
      </c>
      <c r="C1000" t="s">
        <v>800</v>
      </c>
      <c r="D1000" t="s">
        <v>48</v>
      </c>
      <c r="E1000">
        <f t="shared" si="15"/>
        <v>0</v>
      </c>
      <c r="F1000" t="s">
        <v>40</v>
      </c>
      <c r="G1000">
        <v>750</v>
      </c>
      <c r="H1000" t="s">
        <v>41</v>
      </c>
      <c r="I1000">
        <v>12</v>
      </c>
      <c r="J1000">
        <v>3</v>
      </c>
      <c r="K1000" t="s">
        <v>42</v>
      </c>
      <c r="L1000">
        <v>1</v>
      </c>
      <c r="M1000">
        <v>1829</v>
      </c>
      <c r="N1000">
        <v>2</v>
      </c>
      <c r="O1000" t="s">
        <v>52</v>
      </c>
      <c r="P1000">
        <v>47</v>
      </c>
      <c r="Q1000">
        <v>3</v>
      </c>
      <c r="R1000">
        <v>2</v>
      </c>
      <c r="S1000" t="s">
        <v>160</v>
      </c>
      <c r="T1000">
        <v>1</v>
      </c>
      <c r="U1000" t="s">
        <v>101</v>
      </c>
      <c r="V1000">
        <v>4448</v>
      </c>
      <c r="W1000" t="s">
        <v>46</v>
      </c>
      <c r="X1000">
        <v>10748</v>
      </c>
      <c r="Y1000">
        <v>2</v>
      </c>
      <c r="Z1000" t="s">
        <v>47</v>
      </c>
      <c r="AA1000" t="s">
        <v>48</v>
      </c>
      <c r="AB1000">
        <v>12</v>
      </c>
      <c r="AC1000">
        <v>3</v>
      </c>
      <c r="AD1000">
        <v>2</v>
      </c>
      <c r="AE1000">
        <v>80</v>
      </c>
      <c r="AF1000">
        <v>1</v>
      </c>
      <c r="AG1000">
        <v>15</v>
      </c>
      <c r="AH1000">
        <v>3</v>
      </c>
      <c r="AI1000">
        <v>3</v>
      </c>
      <c r="AJ1000">
        <v>7</v>
      </c>
      <c r="AK1000">
        <v>4</v>
      </c>
      <c r="AL1000">
        <v>7</v>
      </c>
    </row>
    <row r="1001" spans="1:38" x14ac:dyDescent="0.3">
      <c r="A1001" t="s">
        <v>1070</v>
      </c>
      <c r="B1001">
        <v>40</v>
      </c>
      <c r="C1001" t="s">
        <v>800</v>
      </c>
      <c r="D1001" t="s">
        <v>48</v>
      </c>
      <c r="E1001">
        <f t="shared" si="15"/>
        <v>0</v>
      </c>
      <c r="F1001" t="s">
        <v>40</v>
      </c>
      <c r="G1001">
        <v>1137</v>
      </c>
      <c r="H1001" t="s">
        <v>41</v>
      </c>
      <c r="I1001">
        <v>1</v>
      </c>
      <c r="J1001">
        <v>4</v>
      </c>
      <c r="K1001" t="s">
        <v>42</v>
      </c>
      <c r="L1001">
        <v>1</v>
      </c>
      <c r="M1001">
        <v>1892</v>
      </c>
      <c r="N1001">
        <v>1</v>
      </c>
      <c r="O1001" t="s">
        <v>43</v>
      </c>
      <c r="P1001">
        <v>98</v>
      </c>
      <c r="Q1001">
        <v>3</v>
      </c>
      <c r="R1001">
        <v>4</v>
      </c>
      <c r="S1001" t="s">
        <v>440</v>
      </c>
      <c r="T1001">
        <v>1</v>
      </c>
      <c r="U1001" t="s">
        <v>101</v>
      </c>
      <c r="V1001">
        <v>16823</v>
      </c>
      <c r="W1001" t="s">
        <v>366</v>
      </c>
      <c r="X1001">
        <v>18991</v>
      </c>
      <c r="Y1001">
        <v>2</v>
      </c>
      <c r="Z1001" t="s">
        <v>47</v>
      </c>
      <c r="AA1001" t="s">
        <v>48</v>
      </c>
      <c r="AB1001">
        <v>11</v>
      </c>
      <c r="AC1001">
        <v>3</v>
      </c>
      <c r="AD1001">
        <v>1</v>
      </c>
      <c r="AE1001">
        <v>80</v>
      </c>
      <c r="AF1001">
        <v>1</v>
      </c>
      <c r="AG1001">
        <v>22</v>
      </c>
      <c r="AH1001">
        <v>3</v>
      </c>
      <c r="AI1001">
        <v>3</v>
      </c>
      <c r="AJ1001">
        <v>19</v>
      </c>
      <c r="AK1001">
        <v>7</v>
      </c>
      <c r="AL1001">
        <v>11</v>
      </c>
    </row>
    <row r="1002" spans="1:38" x14ac:dyDescent="0.3">
      <c r="A1002" t="s">
        <v>1071</v>
      </c>
      <c r="B1002">
        <v>40</v>
      </c>
      <c r="C1002" t="s">
        <v>800</v>
      </c>
      <c r="D1002" t="s">
        <v>48</v>
      </c>
      <c r="E1002">
        <f t="shared" si="15"/>
        <v>0</v>
      </c>
      <c r="F1002" t="s">
        <v>55</v>
      </c>
      <c r="G1002">
        <v>692</v>
      </c>
      <c r="H1002" t="s">
        <v>41</v>
      </c>
      <c r="I1002">
        <v>11</v>
      </c>
      <c r="J1002">
        <v>3</v>
      </c>
      <c r="K1002" t="s">
        <v>67</v>
      </c>
      <c r="L1002">
        <v>1</v>
      </c>
      <c r="M1002">
        <v>1985</v>
      </c>
      <c r="N1002">
        <v>4</v>
      </c>
      <c r="O1002" t="s">
        <v>52</v>
      </c>
      <c r="P1002">
        <v>73</v>
      </c>
      <c r="Q1002">
        <v>3</v>
      </c>
      <c r="R1002">
        <v>2</v>
      </c>
      <c r="S1002" t="s">
        <v>44</v>
      </c>
      <c r="T1002">
        <v>3</v>
      </c>
      <c r="U1002" t="s">
        <v>104</v>
      </c>
      <c r="V1002">
        <v>6323</v>
      </c>
      <c r="W1002" t="s">
        <v>162</v>
      </c>
      <c r="X1002">
        <v>26849</v>
      </c>
      <c r="Y1002">
        <v>1</v>
      </c>
      <c r="Z1002" t="s">
        <v>47</v>
      </c>
      <c r="AA1002" t="s">
        <v>48</v>
      </c>
      <c r="AB1002">
        <v>11</v>
      </c>
      <c r="AC1002">
        <v>3</v>
      </c>
      <c r="AD1002">
        <v>1</v>
      </c>
      <c r="AE1002">
        <v>80</v>
      </c>
      <c r="AF1002">
        <v>1</v>
      </c>
      <c r="AG1002">
        <v>10</v>
      </c>
      <c r="AH1002">
        <v>2</v>
      </c>
      <c r="AI1002">
        <v>4</v>
      </c>
      <c r="AJ1002">
        <v>10</v>
      </c>
      <c r="AK1002">
        <v>9</v>
      </c>
      <c r="AL1002">
        <v>9</v>
      </c>
    </row>
    <row r="1003" spans="1:38" x14ac:dyDescent="0.3">
      <c r="A1003" t="s">
        <v>1072</v>
      </c>
      <c r="B1003">
        <v>40</v>
      </c>
      <c r="C1003" t="s">
        <v>800</v>
      </c>
      <c r="D1003" t="s">
        <v>48</v>
      </c>
      <c r="E1003">
        <f t="shared" si="15"/>
        <v>0</v>
      </c>
      <c r="F1003" t="s">
        <v>40</v>
      </c>
      <c r="G1003">
        <v>444</v>
      </c>
      <c r="H1003" t="s">
        <v>50</v>
      </c>
      <c r="I1003">
        <v>2</v>
      </c>
      <c r="J1003">
        <v>2</v>
      </c>
      <c r="K1003" t="s">
        <v>56</v>
      </c>
      <c r="L1003">
        <v>1</v>
      </c>
      <c r="M1003">
        <v>1986</v>
      </c>
      <c r="N1003">
        <v>2</v>
      </c>
      <c r="O1003" t="s">
        <v>52</v>
      </c>
      <c r="P1003">
        <v>92</v>
      </c>
      <c r="Q1003">
        <v>3</v>
      </c>
      <c r="R1003">
        <v>2</v>
      </c>
      <c r="S1003" t="s">
        <v>136</v>
      </c>
      <c r="T1003">
        <v>2</v>
      </c>
      <c r="U1003" t="s">
        <v>104</v>
      </c>
      <c r="V1003">
        <v>5677</v>
      </c>
      <c r="W1003" t="s">
        <v>162</v>
      </c>
      <c r="X1003">
        <v>4258</v>
      </c>
      <c r="Y1003">
        <v>3</v>
      </c>
      <c r="Z1003" t="s">
        <v>47</v>
      </c>
      <c r="AA1003" t="s">
        <v>48</v>
      </c>
      <c r="AB1003">
        <v>14</v>
      </c>
      <c r="AC1003">
        <v>3</v>
      </c>
      <c r="AD1003">
        <v>3</v>
      </c>
      <c r="AE1003">
        <v>80</v>
      </c>
      <c r="AF1003">
        <v>1</v>
      </c>
      <c r="AG1003">
        <v>15</v>
      </c>
      <c r="AH1003">
        <v>4</v>
      </c>
      <c r="AI1003">
        <v>3</v>
      </c>
      <c r="AJ1003">
        <v>11</v>
      </c>
      <c r="AK1003">
        <v>8</v>
      </c>
      <c r="AL1003">
        <v>5</v>
      </c>
    </row>
    <row r="1004" spans="1:38" x14ac:dyDescent="0.3">
      <c r="A1004" t="s">
        <v>1073</v>
      </c>
      <c r="B1004">
        <v>40</v>
      </c>
      <c r="C1004" t="s">
        <v>800</v>
      </c>
      <c r="D1004" t="s">
        <v>48</v>
      </c>
      <c r="E1004">
        <f t="shared" si="15"/>
        <v>0</v>
      </c>
      <c r="F1004" t="s">
        <v>40</v>
      </c>
      <c r="G1004">
        <v>543</v>
      </c>
      <c r="H1004" t="s">
        <v>41</v>
      </c>
      <c r="I1004">
        <v>1</v>
      </c>
      <c r="J1004">
        <v>4</v>
      </c>
      <c r="K1004" t="s">
        <v>42</v>
      </c>
      <c r="L1004">
        <v>1</v>
      </c>
      <c r="M1004">
        <v>2012</v>
      </c>
      <c r="N1004">
        <v>1</v>
      </c>
      <c r="O1004" t="s">
        <v>43</v>
      </c>
      <c r="P1004">
        <v>83</v>
      </c>
      <c r="Q1004">
        <v>3</v>
      </c>
      <c r="R1004">
        <v>1</v>
      </c>
      <c r="S1004" t="s">
        <v>44</v>
      </c>
      <c r="T1004">
        <v>4</v>
      </c>
      <c r="U1004" t="s">
        <v>104</v>
      </c>
      <c r="V1004">
        <v>2406</v>
      </c>
      <c r="W1004" t="s">
        <v>46</v>
      </c>
      <c r="X1004">
        <v>4060</v>
      </c>
      <c r="Y1004">
        <v>8</v>
      </c>
      <c r="Z1004" t="s">
        <v>47</v>
      </c>
      <c r="AA1004" t="s">
        <v>48</v>
      </c>
      <c r="AB1004">
        <v>19</v>
      </c>
      <c r="AC1004">
        <v>3</v>
      </c>
      <c r="AD1004">
        <v>3</v>
      </c>
      <c r="AE1004">
        <v>80</v>
      </c>
      <c r="AF1004">
        <v>2</v>
      </c>
      <c r="AG1004">
        <v>8</v>
      </c>
      <c r="AH1004">
        <v>3</v>
      </c>
      <c r="AI1004">
        <v>2</v>
      </c>
      <c r="AJ1004">
        <v>1</v>
      </c>
      <c r="AK1004">
        <v>0</v>
      </c>
      <c r="AL1004">
        <v>0</v>
      </c>
    </row>
    <row r="1005" spans="1:38" x14ac:dyDescent="0.3">
      <c r="A1005" t="s">
        <v>1074</v>
      </c>
      <c r="B1005">
        <v>40</v>
      </c>
      <c r="C1005" t="s">
        <v>800</v>
      </c>
      <c r="D1005" t="s">
        <v>48</v>
      </c>
      <c r="E1005">
        <f t="shared" si="15"/>
        <v>0</v>
      </c>
      <c r="F1005" t="s">
        <v>40</v>
      </c>
      <c r="G1005">
        <v>1322</v>
      </c>
      <c r="H1005" t="s">
        <v>41</v>
      </c>
      <c r="I1005">
        <v>2</v>
      </c>
      <c r="J1005">
        <v>4</v>
      </c>
      <c r="K1005" t="s">
        <v>42</v>
      </c>
      <c r="L1005">
        <v>1</v>
      </c>
      <c r="M1005">
        <v>2048</v>
      </c>
      <c r="N1005">
        <v>3</v>
      </c>
      <c r="O1005" t="s">
        <v>43</v>
      </c>
      <c r="P1005">
        <v>52</v>
      </c>
      <c r="Q1005">
        <v>2</v>
      </c>
      <c r="R1005">
        <v>1</v>
      </c>
      <c r="S1005" t="s">
        <v>59</v>
      </c>
      <c r="T1005">
        <v>3</v>
      </c>
      <c r="U1005" t="s">
        <v>45</v>
      </c>
      <c r="V1005">
        <v>2809</v>
      </c>
      <c r="W1005" t="s">
        <v>46</v>
      </c>
      <c r="X1005">
        <v>2725</v>
      </c>
      <c r="Y1005">
        <v>2</v>
      </c>
      <c r="Z1005" t="s">
        <v>47</v>
      </c>
      <c r="AA1005" t="s">
        <v>48</v>
      </c>
      <c r="AB1005">
        <v>14</v>
      </c>
      <c r="AC1005">
        <v>3</v>
      </c>
      <c r="AD1005">
        <v>4</v>
      </c>
      <c r="AE1005">
        <v>80</v>
      </c>
      <c r="AF1005">
        <v>0</v>
      </c>
      <c r="AG1005">
        <v>8</v>
      </c>
      <c r="AH1005">
        <v>2</v>
      </c>
      <c r="AI1005">
        <v>3</v>
      </c>
      <c r="AJ1005">
        <v>2</v>
      </c>
      <c r="AK1005">
        <v>2</v>
      </c>
      <c r="AL1005">
        <v>2</v>
      </c>
    </row>
    <row r="1006" spans="1:38" x14ac:dyDescent="0.3">
      <c r="A1006" t="s">
        <v>1075</v>
      </c>
      <c r="B1006">
        <v>40</v>
      </c>
      <c r="C1006" t="s">
        <v>800</v>
      </c>
      <c r="D1006" t="s">
        <v>48</v>
      </c>
      <c r="E1006">
        <f t="shared" si="15"/>
        <v>0</v>
      </c>
      <c r="F1006" t="s">
        <v>40</v>
      </c>
      <c r="G1006">
        <v>1194</v>
      </c>
      <c r="H1006" t="s">
        <v>41</v>
      </c>
      <c r="I1006">
        <v>2</v>
      </c>
      <c r="J1006">
        <v>4</v>
      </c>
      <c r="K1006" t="s">
        <v>51</v>
      </c>
      <c r="L1006">
        <v>1</v>
      </c>
      <c r="M1006">
        <v>2051</v>
      </c>
      <c r="N1006">
        <v>3</v>
      </c>
      <c r="O1006" t="s">
        <v>52</v>
      </c>
      <c r="P1006">
        <v>98</v>
      </c>
      <c r="Q1006">
        <v>3</v>
      </c>
      <c r="R1006">
        <v>1</v>
      </c>
      <c r="S1006" t="s">
        <v>59</v>
      </c>
      <c r="T1006">
        <v>3</v>
      </c>
      <c r="U1006" t="s">
        <v>104</v>
      </c>
      <c r="V1006">
        <v>2001</v>
      </c>
      <c r="W1006" t="s">
        <v>46</v>
      </c>
      <c r="X1006">
        <v>12549</v>
      </c>
      <c r="Y1006">
        <v>2</v>
      </c>
      <c r="Z1006" t="s">
        <v>47</v>
      </c>
      <c r="AA1006" t="s">
        <v>48</v>
      </c>
      <c r="AB1006">
        <v>14</v>
      </c>
      <c r="AC1006">
        <v>3</v>
      </c>
      <c r="AD1006">
        <v>2</v>
      </c>
      <c r="AE1006">
        <v>80</v>
      </c>
      <c r="AF1006">
        <v>3</v>
      </c>
      <c r="AG1006">
        <v>20</v>
      </c>
      <c r="AH1006">
        <v>2</v>
      </c>
      <c r="AI1006">
        <v>3</v>
      </c>
      <c r="AJ1006">
        <v>5</v>
      </c>
      <c r="AK1006">
        <v>3</v>
      </c>
      <c r="AL1006">
        <v>0</v>
      </c>
    </row>
    <row r="1007" spans="1:38" x14ac:dyDescent="0.3">
      <c r="A1007" t="s">
        <v>1076</v>
      </c>
      <c r="B1007">
        <v>41</v>
      </c>
      <c r="C1007" t="s">
        <v>800</v>
      </c>
      <c r="D1007" t="s">
        <v>39</v>
      </c>
      <c r="E1007">
        <f t="shared" si="15"/>
        <v>1</v>
      </c>
      <c r="F1007" t="s">
        <v>40</v>
      </c>
      <c r="G1007">
        <v>1102</v>
      </c>
      <c r="H1007" t="s">
        <v>50</v>
      </c>
      <c r="I1007">
        <v>1</v>
      </c>
      <c r="J1007">
        <v>2</v>
      </c>
      <c r="K1007" t="s">
        <v>42</v>
      </c>
      <c r="L1007">
        <v>1</v>
      </c>
      <c r="M1007">
        <v>1</v>
      </c>
      <c r="N1007">
        <v>2</v>
      </c>
      <c r="O1007" t="s">
        <v>52</v>
      </c>
      <c r="P1007">
        <v>94</v>
      </c>
      <c r="Q1007">
        <v>3</v>
      </c>
      <c r="R1007">
        <v>2</v>
      </c>
      <c r="S1007" t="s">
        <v>136</v>
      </c>
      <c r="T1007">
        <v>4</v>
      </c>
      <c r="U1007" t="s">
        <v>45</v>
      </c>
      <c r="V1007">
        <v>5993</v>
      </c>
      <c r="W1007" t="s">
        <v>162</v>
      </c>
      <c r="X1007">
        <v>19479</v>
      </c>
      <c r="Y1007">
        <v>8</v>
      </c>
      <c r="Z1007" t="s">
        <v>47</v>
      </c>
      <c r="AA1007" t="s">
        <v>39</v>
      </c>
      <c r="AB1007">
        <v>11</v>
      </c>
      <c r="AC1007">
        <v>3</v>
      </c>
      <c r="AD1007">
        <v>1</v>
      </c>
      <c r="AE1007">
        <v>80</v>
      </c>
      <c r="AF1007">
        <v>0</v>
      </c>
      <c r="AG1007">
        <v>8</v>
      </c>
      <c r="AH1007">
        <v>0</v>
      </c>
      <c r="AI1007">
        <v>1</v>
      </c>
      <c r="AJ1007">
        <v>6</v>
      </c>
      <c r="AK1007">
        <v>4</v>
      </c>
      <c r="AL1007">
        <v>0</v>
      </c>
    </row>
    <row r="1008" spans="1:38" x14ac:dyDescent="0.3">
      <c r="A1008" t="s">
        <v>1077</v>
      </c>
      <c r="B1008">
        <v>41</v>
      </c>
      <c r="C1008" t="s">
        <v>800</v>
      </c>
      <c r="D1008" t="s">
        <v>39</v>
      </c>
      <c r="E1008">
        <f t="shared" si="15"/>
        <v>1</v>
      </c>
      <c r="F1008" t="s">
        <v>40</v>
      </c>
      <c r="G1008">
        <v>1360</v>
      </c>
      <c r="H1008" t="s">
        <v>41</v>
      </c>
      <c r="I1008">
        <v>12</v>
      </c>
      <c r="J1008">
        <v>3</v>
      </c>
      <c r="K1008" t="s">
        <v>67</v>
      </c>
      <c r="L1008">
        <v>1</v>
      </c>
      <c r="M1008">
        <v>58</v>
      </c>
      <c r="N1008">
        <v>2</v>
      </c>
      <c r="O1008" t="s">
        <v>52</v>
      </c>
      <c r="P1008">
        <v>49</v>
      </c>
      <c r="Q1008">
        <v>3</v>
      </c>
      <c r="R1008">
        <v>5</v>
      </c>
      <c r="S1008" t="s">
        <v>251</v>
      </c>
      <c r="T1008">
        <v>3</v>
      </c>
      <c r="U1008" t="s">
        <v>104</v>
      </c>
      <c r="V1008">
        <v>19545</v>
      </c>
      <c r="W1008" t="s">
        <v>366</v>
      </c>
      <c r="X1008">
        <v>16280</v>
      </c>
      <c r="Y1008">
        <v>1</v>
      </c>
      <c r="Z1008" t="s">
        <v>47</v>
      </c>
      <c r="AA1008" t="s">
        <v>48</v>
      </c>
      <c r="AB1008">
        <v>12</v>
      </c>
      <c r="AC1008">
        <v>3</v>
      </c>
      <c r="AD1008">
        <v>4</v>
      </c>
      <c r="AE1008">
        <v>80</v>
      </c>
      <c r="AF1008">
        <v>0</v>
      </c>
      <c r="AG1008">
        <v>23</v>
      </c>
      <c r="AH1008">
        <v>0</v>
      </c>
      <c r="AI1008">
        <v>3</v>
      </c>
      <c r="AJ1008">
        <v>22</v>
      </c>
      <c r="AK1008">
        <v>15</v>
      </c>
      <c r="AL1008">
        <v>15</v>
      </c>
    </row>
    <row r="1009" spans="1:38" x14ac:dyDescent="0.3">
      <c r="A1009" t="s">
        <v>1078</v>
      </c>
      <c r="B1009">
        <v>41</v>
      </c>
      <c r="C1009" t="s">
        <v>800</v>
      </c>
      <c r="D1009" t="s">
        <v>48</v>
      </c>
      <c r="E1009">
        <f t="shared" si="15"/>
        <v>0</v>
      </c>
      <c r="F1009" t="s">
        <v>40</v>
      </c>
      <c r="G1009">
        <v>802</v>
      </c>
      <c r="H1009" t="s">
        <v>50</v>
      </c>
      <c r="I1009">
        <v>9</v>
      </c>
      <c r="J1009">
        <v>1</v>
      </c>
      <c r="K1009" t="s">
        <v>42</v>
      </c>
      <c r="L1009">
        <v>1</v>
      </c>
      <c r="M1009">
        <v>176</v>
      </c>
      <c r="N1009">
        <v>3</v>
      </c>
      <c r="O1009" t="s">
        <v>43</v>
      </c>
      <c r="P1009">
        <v>96</v>
      </c>
      <c r="Q1009">
        <v>3</v>
      </c>
      <c r="R1009">
        <v>3</v>
      </c>
      <c r="S1009" t="s">
        <v>136</v>
      </c>
      <c r="T1009">
        <v>3</v>
      </c>
      <c r="U1009" t="s">
        <v>101</v>
      </c>
      <c r="V1009">
        <v>8189</v>
      </c>
      <c r="W1009" t="s">
        <v>162</v>
      </c>
      <c r="X1009">
        <v>21196</v>
      </c>
      <c r="Y1009">
        <v>3</v>
      </c>
      <c r="Z1009" t="s">
        <v>47</v>
      </c>
      <c r="AA1009" t="s">
        <v>39</v>
      </c>
      <c r="AB1009">
        <v>13</v>
      </c>
      <c r="AC1009">
        <v>3</v>
      </c>
      <c r="AD1009">
        <v>3</v>
      </c>
      <c r="AE1009">
        <v>80</v>
      </c>
      <c r="AF1009">
        <v>1</v>
      </c>
      <c r="AG1009">
        <v>12</v>
      </c>
      <c r="AH1009">
        <v>2</v>
      </c>
      <c r="AI1009">
        <v>3</v>
      </c>
      <c r="AJ1009">
        <v>9</v>
      </c>
      <c r="AK1009">
        <v>7</v>
      </c>
      <c r="AL1009">
        <v>0</v>
      </c>
    </row>
    <row r="1010" spans="1:38" x14ac:dyDescent="0.3">
      <c r="A1010" t="s">
        <v>1079</v>
      </c>
      <c r="B1010">
        <v>41</v>
      </c>
      <c r="C1010" t="s">
        <v>800</v>
      </c>
      <c r="D1010" t="s">
        <v>48</v>
      </c>
      <c r="E1010">
        <f t="shared" si="15"/>
        <v>0</v>
      </c>
      <c r="F1010" t="s">
        <v>55</v>
      </c>
      <c r="G1010">
        <v>857</v>
      </c>
      <c r="H1010" t="s">
        <v>41</v>
      </c>
      <c r="I1010">
        <v>10</v>
      </c>
      <c r="J1010">
        <v>3</v>
      </c>
      <c r="K1010" t="s">
        <v>42</v>
      </c>
      <c r="L1010">
        <v>1</v>
      </c>
      <c r="M1010">
        <v>199</v>
      </c>
      <c r="N1010">
        <v>4</v>
      </c>
      <c r="O1010" t="s">
        <v>43</v>
      </c>
      <c r="P1010">
        <v>91</v>
      </c>
      <c r="Q1010">
        <v>2</v>
      </c>
      <c r="R1010">
        <v>4</v>
      </c>
      <c r="S1010" t="s">
        <v>440</v>
      </c>
      <c r="T1010">
        <v>1</v>
      </c>
      <c r="U1010" t="s">
        <v>101</v>
      </c>
      <c r="V1010">
        <v>17181</v>
      </c>
      <c r="W1010" t="s">
        <v>366</v>
      </c>
      <c r="X1010">
        <v>12888</v>
      </c>
      <c r="Y1010">
        <v>4</v>
      </c>
      <c r="Z1010" t="s">
        <v>47</v>
      </c>
      <c r="AA1010" t="s">
        <v>48</v>
      </c>
      <c r="AB1010">
        <v>13</v>
      </c>
      <c r="AC1010">
        <v>3</v>
      </c>
      <c r="AD1010">
        <v>2</v>
      </c>
      <c r="AE1010">
        <v>80</v>
      </c>
      <c r="AF1010">
        <v>1</v>
      </c>
      <c r="AG1010">
        <v>21</v>
      </c>
      <c r="AH1010">
        <v>2</v>
      </c>
      <c r="AI1010">
        <v>2</v>
      </c>
      <c r="AJ1010">
        <v>7</v>
      </c>
      <c r="AK1010">
        <v>6</v>
      </c>
      <c r="AL1010">
        <v>7</v>
      </c>
    </row>
    <row r="1011" spans="1:38" x14ac:dyDescent="0.3">
      <c r="A1011" t="s">
        <v>1080</v>
      </c>
      <c r="B1011">
        <v>41</v>
      </c>
      <c r="C1011" t="s">
        <v>800</v>
      </c>
      <c r="D1011" t="s">
        <v>48</v>
      </c>
      <c r="E1011">
        <f t="shared" si="15"/>
        <v>0</v>
      </c>
      <c r="F1011" t="s">
        <v>40</v>
      </c>
      <c r="G1011">
        <v>933</v>
      </c>
      <c r="H1011" t="s">
        <v>41</v>
      </c>
      <c r="I1011">
        <v>9</v>
      </c>
      <c r="J1011">
        <v>4</v>
      </c>
      <c r="K1011" t="s">
        <v>42</v>
      </c>
      <c r="L1011">
        <v>1</v>
      </c>
      <c r="M1011">
        <v>200</v>
      </c>
      <c r="N1011">
        <v>3</v>
      </c>
      <c r="O1011" t="s">
        <v>43</v>
      </c>
      <c r="P1011">
        <v>94</v>
      </c>
      <c r="Q1011">
        <v>3</v>
      </c>
      <c r="R1011">
        <v>1</v>
      </c>
      <c r="S1011" t="s">
        <v>44</v>
      </c>
      <c r="T1011">
        <v>1</v>
      </c>
      <c r="U1011" t="s">
        <v>104</v>
      </c>
      <c r="V1011">
        <v>2238</v>
      </c>
      <c r="W1011" t="s">
        <v>46</v>
      </c>
      <c r="X1011">
        <v>6961</v>
      </c>
      <c r="Y1011">
        <v>2</v>
      </c>
      <c r="Z1011" t="s">
        <v>47</v>
      </c>
      <c r="AA1011" t="s">
        <v>48</v>
      </c>
      <c r="AB1011">
        <v>21</v>
      </c>
      <c r="AC1011">
        <v>4</v>
      </c>
      <c r="AD1011">
        <v>4</v>
      </c>
      <c r="AE1011">
        <v>80</v>
      </c>
      <c r="AF1011">
        <v>1</v>
      </c>
      <c r="AG1011">
        <v>7</v>
      </c>
      <c r="AH1011">
        <v>2</v>
      </c>
      <c r="AI1011">
        <v>3</v>
      </c>
      <c r="AJ1011">
        <v>5</v>
      </c>
      <c r="AK1011">
        <v>0</v>
      </c>
      <c r="AL1011">
        <v>1</v>
      </c>
    </row>
    <row r="1012" spans="1:38" x14ac:dyDescent="0.3">
      <c r="A1012" t="s">
        <v>1081</v>
      </c>
      <c r="B1012">
        <v>41</v>
      </c>
      <c r="C1012" t="s">
        <v>800</v>
      </c>
      <c r="D1012" t="s">
        <v>48</v>
      </c>
      <c r="E1012">
        <f t="shared" si="15"/>
        <v>0</v>
      </c>
      <c r="F1012" t="s">
        <v>40</v>
      </c>
      <c r="G1012">
        <v>465</v>
      </c>
      <c r="H1012" t="s">
        <v>41</v>
      </c>
      <c r="I1012">
        <v>14</v>
      </c>
      <c r="J1012">
        <v>3</v>
      </c>
      <c r="K1012" t="s">
        <v>42</v>
      </c>
      <c r="L1012">
        <v>1</v>
      </c>
      <c r="M1012">
        <v>227</v>
      </c>
      <c r="N1012">
        <v>1</v>
      </c>
      <c r="O1012" t="s">
        <v>43</v>
      </c>
      <c r="P1012">
        <v>56</v>
      </c>
      <c r="Q1012">
        <v>3</v>
      </c>
      <c r="R1012">
        <v>1</v>
      </c>
      <c r="S1012" t="s">
        <v>59</v>
      </c>
      <c r="T1012">
        <v>3</v>
      </c>
      <c r="U1012" t="s">
        <v>101</v>
      </c>
      <c r="V1012">
        <v>2451</v>
      </c>
      <c r="W1012" t="s">
        <v>46</v>
      </c>
      <c r="X1012">
        <v>4609</v>
      </c>
      <c r="Y1012">
        <v>4</v>
      </c>
      <c r="Z1012" t="s">
        <v>47</v>
      </c>
      <c r="AA1012" t="s">
        <v>48</v>
      </c>
      <c r="AB1012">
        <v>12</v>
      </c>
      <c r="AC1012">
        <v>3</v>
      </c>
      <c r="AD1012">
        <v>1</v>
      </c>
      <c r="AE1012">
        <v>80</v>
      </c>
      <c r="AF1012">
        <v>1</v>
      </c>
      <c r="AG1012">
        <v>13</v>
      </c>
      <c r="AH1012">
        <v>2</v>
      </c>
      <c r="AI1012">
        <v>3</v>
      </c>
      <c r="AJ1012">
        <v>9</v>
      </c>
      <c r="AK1012">
        <v>8</v>
      </c>
      <c r="AL1012">
        <v>1</v>
      </c>
    </row>
    <row r="1013" spans="1:38" x14ac:dyDescent="0.3">
      <c r="A1013" t="s">
        <v>1082</v>
      </c>
      <c r="B1013">
        <v>41</v>
      </c>
      <c r="C1013" t="s">
        <v>800</v>
      </c>
      <c r="D1013" t="s">
        <v>39</v>
      </c>
      <c r="E1013">
        <f t="shared" si="15"/>
        <v>1</v>
      </c>
      <c r="F1013" t="s">
        <v>40</v>
      </c>
      <c r="G1013">
        <v>1356</v>
      </c>
      <c r="H1013" t="s">
        <v>50</v>
      </c>
      <c r="I1013">
        <v>20</v>
      </c>
      <c r="J1013">
        <v>2</v>
      </c>
      <c r="K1013" t="s">
        <v>56</v>
      </c>
      <c r="L1013">
        <v>1</v>
      </c>
      <c r="M1013">
        <v>248</v>
      </c>
      <c r="N1013">
        <v>2</v>
      </c>
      <c r="O1013" t="s">
        <v>52</v>
      </c>
      <c r="P1013">
        <v>70</v>
      </c>
      <c r="Q1013">
        <v>3</v>
      </c>
      <c r="R1013">
        <v>1</v>
      </c>
      <c r="S1013" t="s">
        <v>53</v>
      </c>
      <c r="T1013">
        <v>2</v>
      </c>
      <c r="U1013" t="s">
        <v>45</v>
      </c>
      <c r="V1013">
        <v>3140</v>
      </c>
      <c r="W1013" t="s">
        <v>46</v>
      </c>
      <c r="X1013">
        <v>21728</v>
      </c>
      <c r="Y1013">
        <v>1</v>
      </c>
      <c r="Z1013" t="s">
        <v>47</v>
      </c>
      <c r="AA1013" t="s">
        <v>39</v>
      </c>
      <c r="AB1013">
        <v>22</v>
      </c>
      <c r="AC1013">
        <v>4</v>
      </c>
      <c r="AD1013">
        <v>4</v>
      </c>
      <c r="AE1013">
        <v>80</v>
      </c>
      <c r="AF1013">
        <v>0</v>
      </c>
      <c r="AG1013">
        <v>4</v>
      </c>
      <c r="AH1013">
        <v>5</v>
      </c>
      <c r="AI1013">
        <v>2</v>
      </c>
      <c r="AJ1013">
        <v>4</v>
      </c>
      <c r="AK1013">
        <v>3</v>
      </c>
      <c r="AL1013">
        <v>0</v>
      </c>
    </row>
    <row r="1014" spans="1:38" x14ac:dyDescent="0.3">
      <c r="A1014" t="s">
        <v>1083</v>
      </c>
      <c r="B1014">
        <v>41</v>
      </c>
      <c r="C1014" t="s">
        <v>800</v>
      </c>
      <c r="D1014" t="s">
        <v>48</v>
      </c>
      <c r="E1014">
        <f t="shared" si="15"/>
        <v>0</v>
      </c>
      <c r="F1014" t="s">
        <v>40</v>
      </c>
      <c r="G1014">
        <v>896</v>
      </c>
      <c r="H1014" t="s">
        <v>50</v>
      </c>
      <c r="I1014">
        <v>6</v>
      </c>
      <c r="J1014">
        <v>3</v>
      </c>
      <c r="K1014" t="s">
        <v>42</v>
      </c>
      <c r="L1014">
        <v>1</v>
      </c>
      <c r="M1014">
        <v>298</v>
      </c>
      <c r="N1014">
        <v>4</v>
      </c>
      <c r="O1014" t="s">
        <v>52</v>
      </c>
      <c r="P1014">
        <v>75</v>
      </c>
      <c r="Q1014">
        <v>3</v>
      </c>
      <c r="R1014">
        <v>3</v>
      </c>
      <c r="S1014" t="s">
        <v>440</v>
      </c>
      <c r="T1014">
        <v>4</v>
      </c>
      <c r="U1014" t="s">
        <v>45</v>
      </c>
      <c r="V1014">
        <v>13591</v>
      </c>
      <c r="W1014" t="s">
        <v>252</v>
      </c>
      <c r="X1014">
        <v>14674</v>
      </c>
      <c r="Y1014">
        <v>3</v>
      </c>
      <c r="Z1014" t="s">
        <v>47</v>
      </c>
      <c r="AA1014" t="s">
        <v>39</v>
      </c>
      <c r="AB1014">
        <v>18</v>
      </c>
      <c r="AC1014">
        <v>3</v>
      </c>
      <c r="AD1014">
        <v>3</v>
      </c>
      <c r="AE1014">
        <v>80</v>
      </c>
      <c r="AF1014">
        <v>0</v>
      </c>
      <c r="AG1014">
        <v>16</v>
      </c>
      <c r="AH1014">
        <v>3</v>
      </c>
      <c r="AI1014">
        <v>3</v>
      </c>
      <c r="AJ1014">
        <v>1</v>
      </c>
      <c r="AK1014">
        <v>0</v>
      </c>
      <c r="AL1014">
        <v>0</v>
      </c>
    </row>
    <row r="1015" spans="1:38" x14ac:dyDescent="0.3">
      <c r="A1015" t="s">
        <v>1084</v>
      </c>
      <c r="B1015">
        <v>41</v>
      </c>
      <c r="C1015" t="s">
        <v>800</v>
      </c>
      <c r="D1015" t="s">
        <v>48</v>
      </c>
      <c r="E1015">
        <f t="shared" si="15"/>
        <v>0</v>
      </c>
      <c r="F1015" t="s">
        <v>40</v>
      </c>
      <c r="G1015">
        <v>1411</v>
      </c>
      <c r="H1015" t="s">
        <v>41</v>
      </c>
      <c r="I1015">
        <v>19</v>
      </c>
      <c r="J1015">
        <v>2</v>
      </c>
      <c r="K1015" t="s">
        <v>42</v>
      </c>
      <c r="L1015">
        <v>1</v>
      </c>
      <c r="M1015">
        <v>334</v>
      </c>
      <c r="N1015">
        <v>3</v>
      </c>
      <c r="O1015" t="s">
        <v>43</v>
      </c>
      <c r="P1015">
        <v>36</v>
      </c>
      <c r="Q1015">
        <v>3</v>
      </c>
      <c r="R1015">
        <v>2</v>
      </c>
      <c r="S1015" t="s">
        <v>59</v>
      </c>
      <c r="T1015">
        <v>1</v>
      </c>
      <c r="U1015" t="s">
        <v>101</v>
      </c>
      <c r="V1015">
        <v>3072</v>
      </c>
      <c r="W1015" t="s">
        <v>46</v>
      </c>
      <c r="X1015">
        <v>19877</v>
      </c>
      <c r="Y1015">
        <v>2</v>
      </c>
      <c r="Z1015" t="s">
        <v>47</v>
      </c>
      <c r="AA1015" t="s">
        <v>48</v>
      </c>
      <c r="AB1015">
        <v>16</v>
      </c>
      <c r="AC1015">
        <v>3</v>
      </c>
      <c r="AD1015">
        <v>1</v>
      </c>
      <c r="AE1015">
        <v>80</v>
      </c>
      <c r="AF1015">
        <v>2</v>
      </c>
      <c r="AG1015">
        <v>17</v>
      </c>
      <c r="AH1015">
        <v>2</v>
      </c>
      <c r="AI1015">
        <v>2</v>
      </c>
      <c r="AJ1015">
        <v>1</v>
      </c>
      <c r="AK1015">
        <v>0</v>
      </c>
      <c r="AL1015">
        <v>0</v>
      </c>
    </row>
    <row r="1016" spans="1:38" x14ac:dyDescent="0.3">
      <c r="A1016" t="s">
        <v>1085</v>
      </c>
      <c r="B1016">
        <v>41</v>
      </c>
      <c r="C1016" t="s">
        <v>800</v>
      </c>
      <c r="D1016" t="s">
        <v>48</v>
      </c>
      <c r="E1016">
        <f t="shared" si="15"/>
        <v>0</v>
      </c>
      <c r="F1016" t="s">
        <v>40</v>
      </c>
      <c r="G1016">
        <v>334</v>
      </c>
      <c r="H1016" t="s">
        <v>50</v>
      </c>
      <c r="I1016">
        <v>2</v>
      </c>
      <c r="J1016">
        <v>4</v>
      </c>
      <c r="K1016" t="s">
        <v>42</v>
      </c>
      <c r="L1016">
        <v>1</v>
      </c>
      <c r="M1016">
        <v>410</v>
      </c>
      <c r="N1016">
        <v>4</v>
      </c>
      <c r="O1016" t="s">
        <v>43</v>
      </c>
      <c r="P1016">
        <v>88</v>
      </c>
      <c r="Q1016">
        <v>3</v>
      </c>
      <c r="R1016">
        <v>4</v>
      </c>
      <c r="S1016" t="s">
        <v>440</v>
      </c>
      <c r="T1016">
        <v>2</v>
      </c>
      <c r="U1016" t="s">
        <v>45</v>
      </c>
      <c r="V1016">
        <v>16015</v>
      </c>
      <c r="W1016" t="s">
        <v>366</v>
      </c>
      <c r="X1016">
        <v>15896</v>
      </c>
      <c r="Y1016">
        <v>1</v>
      </c>
      <c r="Z1016" t="s">
        <v>47</v>
      </c>
      <c r="AA1016" t="s">
        <v>48</v>
      </c>
      <c r="AB1016">
        <v>19</v>
      </c>
      <c r="AC1016">
        <v>3</v>
      </c>
      <c r="AD1016">
        <v>2</v>
      </c>
      <c r="AE1016">
        <v>80</v>
      </c>
      <c r="AF1016">
        <v>0</v>
      </c>
      <c r="AG1016">
        <v>22</v>
      </c>
      <c r="AH1016">
        <v>2</v>
      </c>
      <c r="AI1016">
        <v>3</v>
      </c>
      <c r="AJ1016">
        <v>22</v>
      </c>
      <c r="AK1016">
        <v>10</v>
      </c>
      <c r="AL1016">
        <v>0</v>
      </c>
    </row>
    <row r="1017" spans="1:38" x14ac:dyDescent="0.3">
      <c r="A1017" t="s">
        <v>1086</v>
      </c>
      <c r="B1017">
        <v>41</v>
      </c>
      <c r="C1017" t="s">
        <v>800</v>
      </c>
      <c r="D1017" t="s">
        <v>48</v>
      </c>
      <c r="E1017">
        <f t="shared" si="15"/>
        <v>0</v>
      </c>
      <c r="F1017" t="s">
        <v>40</v>
      </c>
      <c r="G1017">
        <v>483</v>
      </c>
      <c r="H1017" t="s">
        <v>41</v>
      </c>
      <c r="I1017">
        <v>6</v>
      </c>
      <c r="J1017">
        <v>3</v>
      </c>
      <c r="K1017" t="s">
        <v>51</v>
      </c>
      <c r="L1017">
        <v>1</v>
      </c>
      <c r="M1017">
        <v>466</v>
      </c>
      <c r="N1017">
        <v>4</v>
      </c>
      <c r="O1017" t="s">
        <v>43</v>
      </c>
      <c r="P1017">
        <v>95</v>
      </c>
      <c r="Q1017">
        <v>2</v>
      </c>
      <c r="R1017">
        <v>2</v>
      </c>
      <c r="S1017" t="s">
        <v>111</v>
      </c>
      <c r="T1017">
        <v>2</v>
      </c>
      <c r="U1017" t="s">
        <v>45</v>
      </c>
      <c r="V1017">
        <v>6032</v>
      </c>
      <c r="W1017" t="s">
        <v>162</v>
      </c>
      <c r="X1017">
        <v>10110</v>
      </c>
      <c r="Y1017">
        <v>6</v>
      </c>
      <c r="Z1017" t="s">
        <v>47</v>
      </c>
      <c r="AA1017" t="s">
        <v>39</v>
      </c>
      <c r="AB1017">
        <v>15</v>
      </c>
      <c r="AC1017">
        <v>3</v>
      </c>
      <c r="AD1017">
        <v>4</v>
      </c>
      <c r="AE1017">
        <v>80</v>
      </c>
      <c r="AF1017">
        <v>0</v>
      </c>
      <c r="AG1017">
        <v>8</v>
      </c>
      <c r="AH1017">
        <v>3</v>
      </c>
      <c r="AI1017">
        <v>3</v>
      </c>
      <c r="AJ1017">
        <v>5</v>
      </c>
      <c r="AK1017">
        <v>4</v>
      </c>
      <c r="AL1017">
        <v>1</v>
      </c>
    </row>
    <row r="1018" spans="1:38" x14ac:dyDescent="0.3">
      <c r="A1018" t="s">
        <v>1087</v>
      </c>
      <c r="B1018">
        <v>41</v>
      </c>
      <c r="C1018" t="s">
        <v>800</v>
      </c>
      <c r="D1018" t="s">
        <v>39</v>
      </c>
      <c r="E1018">
        <f t="shared" si="15"/>
        <v>1</v>
      </c>
      <c r="F1018" t="s">
        <v>55</v>
      </c>
      <c r="G1018">
        <v>143</v>
      </c>
      <c r="H1018" t="s">
        <v>50</v>
      </c>
      <c r="I1018">
        <v>4</v>
      </c>
      <c r="J1018">
        <v>3</v>
      </c>
      <c r="K1018" t="s">
        <v>56</v>
      </c>
      <c r="L1018">
        <v>1</v>
      </c>
      <c r="M1018">
        <v>488</v>
      </c>
      <c r="N1018">
        <v>1</v>
      </c>
      <c r="O1018" t="s">
        <v>43</v>
      </c>
      <c r="P1018">
        <v>56</v>
      </c>
      <c r="Q1018">
        <v>3</v>
      </c>
      <c r="R1018">
        <v>2</v>
      </c>
      <c r="S1018" t="s">
        <v>136</v>
      </c>
      <c r="T1018">
        <v>2</v>
      </c>
      <c r="U1018" t="s">
        <v>45</v>
      </c>
      <c r="V1018">
        <v>9355</v>
      </c>
      <c r="W1018" t="s">
        <v>162</v>
      </c>
      <c r="X1018">
        <v>9558</v>
      </c>
      <c r="Y1018">
        <v>1</v>
      </c>
      <c r="Z1018" t="s">
        <v>47</v>
      </c>
      <c r="AA1018" t="s">
        <v>48</v>
      </c>
      <c r="AB1018">
        <v>18</v>
      </c>
      <c r="AC1018">
        <v>3</v>
      </c>
      <c r="AD1018">
        <v>3</v>
      </c>
      <c r="AE1018">
        <v>80</v>
      </c>
      <c r="AF1018">
        <v>0</v>
      </c>
      <c r="AG1018">
        <v>8</v>
      </c>
      <c r="AH1018">
        <v>5</v>
      </c>
      <c r="AI1018">
        <v>3</v>
      </c>
      <c r="AJ1018">
        <v>8</v>
      </c>
      <c r="AK1018">
        <v>7</v>
      </c>
      <c r="AL1018">
        <v>7</v>
      </c>
    </row>
    <row r="1019" spans="1:38" x14ac:dyDescent="0.3">
      <c r="A1019" t="s">
        <v>1088</v>
      </c>
      <c r="B1019">
        <v>41</v>
      </c>
      <c r="C1019" t="s">
        <v>800</v>
      </c>
      <c r="D1019" t="s">
        <v>48</v>
      </c>
      <c r="E1019">
        <f t="shared" si="15"/>
        <v>0</v>
      </c>
      <c r="F1019" t="s">
        <v>40</v>
      </c>
      <c r="G1019">
        <v>645</v>
      </c>
      <c r="H1019" t="s">
        <v>50</v>
      </c>
      <c r="I1019">
        <v>1</v>
      </c>
      <c r="J1019">
        <v>3</v>
      </c>
      <c r="K1019" t="s">
        <v>56</v>
      </c>
      <c r="L1019">
        <v>1</v>
      </c>
      <c r="M1019">
        <v>534</v>
      </c>
      <c r="N1019">
        <v>2</v>
      </c>
      <c r="O1019" t="s">
        <v>43</v>
      </c>
      <c r="P1019">
        <v>49</v>
      </c>
      <c r="Q1019">
        <v>4</v>
      </c>
      <c r="R1019">
        <v>3</v>
      </c>
      <c r="S1019" t="s">
        <v>136</v>
      </c>
      <c r="T1019">
        <v>1</v>
      </c>
      <c r="U1019" t="s">
        <v>104</v>
      </c>
      <c r="V1019">
        <v>8392</v>
      </c>
      <c r="W1019" t="s">
        <v>162</v>
      </c>
      <c r="X1019">
        <v>19566</v>
      </c>
      <c r="Y1019">
        <v>1</v>
      </c>
      <c r="Z1019" t="s">
        <v>47</v>
      </c>
      <c r="AA1019" t="s">
        <v>48</v>
      </c>
      <c r="AB1019">
        <v>16</v>
      </c>
      <c r="AC1019">
        <v>3</v>
      </c>
      <c r="AD1019">
        <v>3</v>
      </c>
      <c r="AE1019">
        <v>80</v>
      </c>
      <c r="AF1019">
        <v>1</v>
      </c>
      <c r="AG1019">
        <v>10</v>
      </c>
      <c r="AH1019">
        <v>2</v>
      </c>
      <c r="AI1019">
        <v>3</v>
      </c>
      <c r="AJ1019">
        <v>10</v>
      </c>
      <c r="AK1019">
        <v>7</v>
      </c>
      <c r="AL1019">
        <v>0</v>
      </c>
    </row>
    <row r="1020" spans="1:38" x14ac:dyDescent="0.3">
      <c r="A1020" t="s">
        <v>1089</v>
      </c>
      <c r="B1020">
        <v>41</v>
      </c>
      <c r="C1020" t="s">
        <v>800</v>
      </c>
      <c r="D1020" t="s">
        <v>48</v>
      </c>
      <c r="E1020">
        <f t="shared" si="15"/>
        <v>0</v>
      </c>
      <c r="F1020" t="s">
        <v>58</v>
      </c>
      <c r="G1020">
        <v>267</v>
      </c>
      <c r="H1020" t="s">
        <v>50</v>
      </c>
      <c r="I1020">
        <v>10</v>
      </c>
      <c r="J1020">
        <v>2</v>
      </c>
      <c r="K1020" t="s">
        <v>42</v>
      </c>
      <c r="L1020">
        <v>1</v>
      </c>
      <c r="M1020">
        <v>599</v>
      </c>
      <c r="N1020">
        <v>4</v>
      </c>
      <c r="O1020" t="s">
        <v>43</v>
      </c>
      <c r="P1020">
        <v>56</v>
      </c>
      <c r="Q1020">
        <v>3</v>
      </c>
      <c r="R1020">
        <v>2</v>
      </c>
      <c r="S1020" t="s">
        <v>136</v>
      </c>
      <c r="T1020">
        <v>4</v>
      </c>
      <c r="U1020" t="s">
        <v>45</v>
      </c>
      <c r="V1020">
        <v>6230</v>
      </c>
      <c r="W1020" t="s">
        <v>162</v>
      </c>
      <c r="X1020">
        <v>13430</v>
      </c>
      <c r="Y1020">
        <v>7</v>
      </c>
      <c r="Z1020" t="s">
        <v>47</v>
      </c>
      <c r="AA1020" t="s">
        <v>48</v>
      </c>
      <c r="AB1020">
        <v>14</v>
      </c>
      <c r="AC1020">
        <v>3</v>
      </c>
      <c r="AD1020">
        <v>4</v>
      </c>
      <c r="AE1020">
        <v>80</v>
      </c>
      <c r="AF1020">
        <v>0</v>
      </c>
      <c r="AG1020">
        <v>16</v>
      </c>
      <c r="AH1020">
        <v>3</v>
      </c>
      <c r="AI1020">
        <v>3</v>
      </c>
      <c r="AJ1020">
        <v>14</v>
      </c>
      <c r="AK1020">
        <v>3</v>
      </c>
      <c r="AL1020">
        <v>1</v>
      </c>
    </row>
    <row r="1021" spans="1:38" x14ac:dyDescent="0.3">
      <c r="A1021" t="s">
        <v>1090</v>
      </c>
      <c r="B1021">
        <v>41</v>
      </c>
      <c r="C1021" t="s">
        <v>800</v>
      </c>
      <c r="D1021" t="s">
        <v>48</v>
      </c>
      <c r="E1021">
        <f t="shared" si="15"/>
        <v>0</v>
      </c>
      <c r="F1021" t="s">
        <v>58</v>
      </c>
      <c r="G1021">
        <v>509</v>
      </c>
      <c r="H1021" t="s">
        <v>41</v>
      </c>
      <c r="I1021">
        <v>2</v>
      </c>
      <c r="J1021">
        <v>4</v>
      </c>
      <c r="K1021" t="s">
        <v>72</v>
      </c>
      <c r="L1021">
        <v>1</v>
      </c>
      <c r="M1021">
        <v>616</v>
      </c>
      <c r="N1021">
        <v>1</v>
      </c>
      <c r="O1021" t="s">
        <v>52</v>
      </c>
      <c r="P1021">
        <v>62</v>
      </c>
      <c r="Q1021">
        <v>2</v>
      </c>
      <c r="R1021">
        <v>2</v>
      </c>
      <c r="S1021" t="s">
        <v>160</v>
      </c>
      <c r="T1021">
        <v>3</v>
      </c>
      <c r="U1021" t="s">
        <v>45</v>
      </c>
      <c r="V1021">
        <v>6811</v>
      </c>
      <c r="W1021" t="s">
        <v>162</v>
      </c>
      <c r="X1021">
        <v>2112</v>
      </c>
      <c r="Y1021">
        <v>2</v>
      </c>
      <c r="Z1021" t="s">
        <v>47</v>
      </c>
      <c r="AA1021" t="s">
        <v>39</v>
      </c>
      <c r="AB1021">
        <v>17</v>
      </c>
      <c r="AC1021">
        <v>3</v>
      </c>
      <c r="AD1021">
        <v>1</v>
      </c>
      <c r="AE1021">
        <v>80</v>
      </c>
      <c r="AF1021">
        <v>0</v>
      </c>
      <c r="AG1021">
        <v>10</v>
      </c>
      <c r="AH1021">
        <v>3</v>
      </c>
      <c r="AI1021">
        <v>3</v>
      </c>
      <c r="AJ1021">
        <v>8</v>
      </c>
      <c r="AK1021">
        <v>7</v>
      </c>
      <c r="AL1021">
        <v>0</v>
      </c>
    </row>
    <row r="1022" spans="1:38" x14ac:dyDescent="0.3">
      <c r="A1022" t="s">
        <v>1091</v>
      </c>
      <c r="B1022">
        <v>41</v>
      </c>
      <c r="C1022" t="s">
        <v>800</v>
      </c>
      <c r="D1022" t="s">
        <v>48</v>
      </c>
      <c r="E1022">
        <f t="shared" si="15"/>
        <v>0</v>
      </c>
      <c r="F1022" t="s">
        <v>40</v>
      </c>
      <c r="G1022">
        <v>1276</v>
      </c>
      <c r="H1022" t="s">
        <v>50</v>
      </c>
      <c r="I1022">
        <v>2</v>
      </c>
      <c r="J1022">
        <v>5</v>
      </c>
      <c r="K1022" t="s">
        <v>42</v>
      </c>
      <c r="L1022">
        <v>1</v>
      </c>
      <c r="M1022">
        <v>625</v>
      </c>
      <c r="N1022">
        <v>2</v>
      </c>
      <c r="O1022" t="s">
        <v>52</v>
      </c>
      <c r="P1022">
        <v>91</v>
      </c>
      <c r="Q1022">
        <v>3</v>
      </c>
      <c r="R1022">
        <v>4</v>
      </c>
      <c r="S1022" t="s">
        <v>440</v>
      </c>
      <c r="T1022">
        <v>1</v>
      </c>
      <c r="U1022" t="s">
        <v>104</v>
      </c>
      <c r="V1022">
        <v>16595</v>
      </c>
      <c r="W1022" t="s">
        <v>366</v>
      </c>
      <c r="X1022">
        <v>5626</v>
      </c>
      <c r="Y1022">
        <v>7</v>
      </c>
      <c r="Z1022" t="s">
        <v>47</v>
      </c>
      <c r="AA1022" t="s">
        <v>48</v>
      </c>
      <c r="AB1022">
        <v>16</v>
      </c>
      <c r="AC1022">
        <v>3</v>
      </c>
      <c r="AD1022">
        <v>2</v>
      </c>
      <c r="AE1022">
        <v>80</v>
      </c>
      <c r="AF1022">
        <v>1</v>
      </c>
      <c r="AG1022">
        <v>22</v>
      </c>
      <c r="AH1022">
        <v>2</v>
      </c>
      <c r="AI1022">
        <v>3</v>
      </c>
      <c r="AJ1022">
        <v>18</v>
      </c>
      <c r="AK1022">
        <v>16</v>
      </c>
      <c r="AL1022">
        <v>11</v>
      </c>
    </row>
    <row r="1023" spans="1:38" x14ac:dyDescent="0.3">
      <c r="A1023" t="s">
        <v>1092</v>
      </c>
      <c r="B1023">
        <v>41</v>
      </c>
      <c r="C1023" t="s">
        <v>800</v>
      </c>
      <c r="D1023" t="s">
        <v>48</v>
      </c>
      <c r="E1023">
        <f t="shared" si="15"/>
        <v>0</v>
      </c>
      <c r="F1023" t="s">
        <v>40</v>
      </c>
      <c r="G1023">
        <v>427</v>
      </c>
      <c r="H1023" t="s">
        <v>70</v>
      </c>
      <c r="I1023">
        <v>10</v>
      </c>
      <c r="J1023">
        <v>4</v>
      </c>
      <c r="K1023" t="s">
        <v>70</v>
      </c>
      <c r="L1023">
        <v>1</v>
      </c>
      <c r="M1023">
        <v>731</v>
      </c>
      <c r="N1023">
        <v>2</v>
      </c>
      <c r="O1023" t="s">
        <v>43</v>
      </c>
      <c r="P1023">
        <v>73</v>
      </c>
      <c r="Q1023">
        <v>2</v>
      </c>
      <c r="R1023">
        <v>5</v>
      </c>
      <c r="S1023" t="s">
        <v>440</v>
      </c>
      <c r="T1023">
        <v>4</v>
      </c>
      <c r="U1023" t="s">
        <v>101</v>
      </c>
      <c r="V1023">
        <v>19141</v>
      </c>
      <c r="W1023" t="s">
        <v>366</v>
      </c>
      <c r="X1023">
        <v>8861</v>
      </c>
      <c r="Y1023">
        <v>3</v>
      </c>
      <c r="Z1023" t="s">
        <v>47</v>
      </c>
      <c r="AA1023" t="s">
        <v>48</v>
      </c>
      <c r="AB1023">
        <v>15</v>
      </c>
      <c r="AC1023">
        <v>3</v>
      </c>
      <c r="AD1023">
        <v>2</v>
      </c>
      <c r="AE1023">
        <v>80</v>
      </c>
      <c r="AF1023">
        <v>3</v>
      </c>
      <c r="AG1023">
        <v>23</v>
      </c>
      <c r="AH1023">
        <v>2</v>
      </c>
      <c r="AI1023">
        <v>2</v>
      </c>
      <c r="AJ1023">
        <v>21</v>
      </c>
      <c r="AK1023">
        <v>6</v>
      </c>
      <c r="AL1023">
        <v>12</v>
      </c>
    </row>
    <row r="1024" spans="1:38" x14ac:dyDescent="0.3">
      <c r="A1024" t="s">
        <v>1093</v>
      </c>
      <c r="B1024">
        <v>41</v>
      </c>
      <c r="C1024" t="s">
        <v>800</v>
      </c>
      <c r="D1024" t="s">
        <v>48</v>
      </c>
      <c r="E1024">
        <f t="shared" si="15"/>
        <v>0</v>
      </c>
      <c r="F1024" t="s">
        <v>40</v>
      </c>
      <c r="G1024">
        <v>314</v>
      </c>
      <c r="H1024" t="s">
        <v>70</v>
      </c>
      <c r="I1024">
        <v>1</v>
      </c>
      <c r="J1024">
        <v>3</v>
      </c>
      <c r="K1024" t="s">
        <v>70</v>
      </c>
      <c r="L1024">
        <v>1</v>
      </c>
      <c r="M1024">
        <v>734</v>
      </c>
      <c r="N1024">
        <v>4</v>
      </c>
      <c r="O1024" t="s">
        <v>43</v>
      </c>
      <c r="P1024">
        <v>59</v>
      </c>
      <c r="Q1024">
        <v>2</v>
      </c>
      <c r="R1024">
        <v>5</v>
      </c>
      <c r="S1024" t="s">
        <v>440</v>
      </c>
      <c r="T1024">
        <v>3</v>
      </c>
      <c r="U1024" t="s">
        <v>104</v>
      </c>
      <c r="V1024">
        <v>19189</v>
      </c>
      <c r="W1024" t="s">
        <v>366</v>
      </c>
      <c r="X1024">
        <v>19562</v>
      </c>
      <c r="Y1024">
        <v>1</v>
      </c>
      <c r="Z1024" t="s">
        <v>47</v>
      </c>
      <c r="AA1024" t="s">
        <v>48</v>
      </c>
      <c r="AB1024">
        <v>12</v>
      </c>
      <c r="AC1024">
        <v>3</v>
      </c>
      <c r="AD1024">
        <v>2</v>
      </c>
      <c r="AE1024">
        <v>80</v>
      </c>
      <c r="AF1024">
        <v>1</v>
      </c>
      <c r="AG1024">
        <v>22</v>
      </c>
      <c r="AH1024">
        <v>3</v>
      </c>
      <c r="AI1024">
        <v>3</v>
      </c>
      <c r="AJ1024">
        <v>22</v>
      </c>
      <c r="AK1024">
        <v>7</v>
      </c>
      <c r="AL1024">
        <v>2</v>
      </c>
    </row>
    <row r="1025" spans="1:38" x14ac:dyDescent="0.3">
      <c r="A1025" t="s">
        <v>1094</v>
      </c>
      <c r="B1025">
        <v>41</v>
      </c>
      <c r="C1025" t="s">
        <v>800</v>
      </c>
      <c r="D1025" t="s">
        <v>39</v>
      </c>
      <c r="E1025">
        <f t="shared" si="15"/>
        <v>1</v>
      </c>
      <c r="F1025" t="s">
        <v>40</v>
      </c>
      <c r="G1025">
        <v>1085</v>
      </c>
      <c r="H1025" t="s">
        <v>41</v>
      </c>
      <c r="I1025">
        <v>2</v>
      </c>
      <c r="J1025">
        <v>4</v>
      </c>
      <c r="K1025" t="s">
        <v>42</v>
      </c>
      <c r="L1025">
        <v>1</v>
      </c>
      <c r="M1025">
        <v>927</v>
      </c>
      <c r="N1025">
        <v>2</v>
      </c>
      <c r="O1025" t="s">
        <v>52</v>
      </c>
      <c r="P1025">
        <v>57</v>
      </c>
      <c r="Q1025">
        <v>1</v>
      </c>
      <c r="R1025">
        <v>1</v>
      </c>
      <c r="S1025" t="s">
        <v>44</v>
      </c>
      <c r="T1025">
        <v>4</v>
      </c>
      <c r="U1025" t="s">
        <v>101</v>
      </c>
      <c r="V1025">
        <v>2778</v>
      </c>
      <c r="W1025" t="s">
        <v>46</v>
      </c>
      <c r="X1025">
        <v>17725</v>
      </c>
      <c r="Y1025">
        <v>4</v>
      </c>
      <c r="Z1025" t="s">
        <v>47</v>
      </c>
      <c r="AA1025" t="s">
        <v>39</v>
      </c>
      <c r="AB1025">
        <v>13</v>
      </c>
      <c r="AC1025">
        <v>3</v>
      </c>
      <c r="AD1025">
        <v>3</v>
      </c>
      <c r="AE1025">
        <v>80</v>
      </c>
      <c r="AF1025">
        <v>1</v>
      </c>
      <c r="AG1025">
        <v>10</v>
      </c>
      <c r="AH1025">
        <v>1</v>
      </c>
      <c r="AI1025">
        <v>2</v>
      </c>
      <c r="AJ1025">
        <v>7</v>
      </c>
      <c r="AK1025">
        <v>7</v>
      </c>
      <c r="AL1025">
        <v>1</v>
      </c>
    </row>
    <row r="1026" spans="1:38" x14ac:dyDescent="0.3">
      <c r="A1026" t="s">
        <v>1095</v>
      </c>
      <c r="B1026">
        <v>41</v>
      </c>
      <c r="C1026" t="s">
        <v>800</v>
      </c>
      <c r="D1026" t="s">
        <v>48</v>
      </c>
      <c r="E1026">
        <f t="shared" si="15"/>
        <v>0</v>
      </c>
      <c r="F1026" t="s">
        <v>40</v>
      </c>
      <c r="G1026">
        <v>263</v>
      </c>
      <c r="H1026" t="s">
        <v>41</v>
      </c>
      <c r="I1026">
        <v>6</v>
      </c>
      <c r="J1026">
        <v>3</v>
      </c>
      <c r="K1026" t="s">
        <v>51</v>
      </c>
      <c r="L1026">
        <v>1</v>
      </c>
      <c r="M1026">
        <v>957</v>
      </c>
      <c r="N1026">
        <v>4</v>
      </c>
      <c r="O1026" t="s">
        <v>43</v>
      </c>
      <c r="P1026">
        <v>59</v>
      </c>
      <c r="Q1026">
        <v>3</v>
      </c>
      <c r="R1026">
        <v>1</v>
      </c>
      <c r="S1026" t="s">
        <v>44</v>
      </c>
      <c r="T1026">
        <v>1</v>
      </c>
      <c r="U1026" t="s">
        <v>45</v>
      </c>
      <c r="V1026">
        <v>4721</v>
      </c>
      <c r="W1026" t="s">
        <v>46</v>
      </c>
      <c r="X1026">
        <v>3119</v>
      </c>
      <c r="Y1026">
        <v>2</v>
      </c>
      <c r="Z1026" t="s">
        <v>47</v>
      </c>
      <c r="AA1026" t="s">
        <v>39</v>
      </c>
      <c r="AB1026">
        <v>13</v>
      </c>
      <c r="AC1026">
        <v>3</v>
      </c>
      <c r="AD1026">
        <v>3</v>
      </c>
      <c r="AE1026">
        <v>80</v>
      </c>
      <c r="AF1026">
        <v>0</v>
      </c>
      <c r="AG1026">
        <v>20</v>
      </c>
      <c r="AH1026">
        <v>3</v>
      </c>
      <c r="AI1026">
        <v>3</v>
      </c>
      <c r="AJ1026">
        <v>18</v>
      </c>
      <c r="AK1026">
        <v>13</v>
      </c>
      <c r="AL1026">
        <v>2</v>
      </c>
    </row>
    <row r="1027" spans="1:38" x14ac:dyDescent="0.3">
      <c r="A1027" t="s">
        <v>1096</v>
      </c>
      <c r="B1027">
        <v>41</v>
      </c>
      <c r="C1027" t="s">
        <v>800</v>
      </c>
      <c r="D1027" t="s">
        <v>48</v>
      </c>
      <c r="E1027">
        <f t="shared" ref="E1027:E1090" si="16">IF(D1027="Yes",1,0)</f>
        <v>0</v>
      </c>
      <c r="F1027" t="s">
        <v>55</v>
      </c>
      <c r="G1027">
        <v>840</v>
      </c>
      <c r="H1027" t="s">
        <v>41</v>
      </c>
      <c r="I1027">
        <v>9</v>
      </c>
      <c r="J1027">
        <v>3</v>
      </c>
      <c r="K1027" t="s">
        <v>51</v>
      </c>
      <c r="L1027">
        <v>1</v>
      </c>
      <c r="M1027">
        <v>999</v>
      </c>
      <c r="N1027">
        <v>1</v>
      </c>
      <c r="O1027" t="s">
        <v>43</v>
      </c>
      <c r="P1027">
        <v>64</v>
      </c>
      <c r="Q1027">
        <v>3</v>
      </c>
      <c r="R1027">
        <v>5</v>
      </c>
      <c r="S1027" t="s">
        <v>251</v>
      </c>
      <c r="T1027">
        <v>3</v>
      </c>
      <c r="U1027" t="s">
        <v>101</v>
      </c>
      <c r="V1027">
        <v>19419</v>
      </c>
      <c r="W1027" t="s">
        <v>366</v>
      </c>
      <c r="X1027">
        <v>3735</v>
      </c>
      <c r="Y1027">
        <v>2</v>
      </c>
      <c r="Z1027" t="s">
        <v>47</v>
      </c>
      <c r="AA1027" t="s">
        <v>48</v>
      </c>
      <c r="AB1027">
        <v>17</v>
      </c>
      <c r="AC1027">
        <v>3</v>
      </c>
      <c r="AD1027">
        <v>2</v>
      </c>
      <c r="AE1027">
        <v>80</v>
      </c>
      <c r="AF1027">
        <v>1</v>
      </c>
      <c r="AG1027">
        <v>21</v>
      </c>
      <c r="AH1027">
        <v>2</v>
      </c>
      <c r="AI1027">
        <v>4</v>
      </c>
      <c r="AJ1027">
        <v>18</v>
      </c>
      <c r="AK1027">
        <v>16</v>
      </c>
      <c r="AL1027">
        <v>0</v>
      </c>
    </row>
    <row r="1028" spans="1:38" x14ac:dyDescent="0.3">
      <c r="A1028" t="s">
        <v>1097</v>
      </c>
      <c r="B1028">
        <v>41</v>
      </c>
      <c r="C1028" t="s">
        <v>800</v>
      </c>
      <c r="D1028" t="s">
        <v>48</v>
      </c>
      <c r="E1028">
        <f t="shared" si="16"/>
        <v>0</v>
      </c>
      <c r="F1028" t="s">
        <v>40</v>
      </c>
      <c r="G1028">
        <v>549</v>
      </c>
      <c r="H1028" t="s">
        <v>41</v>
      </c>
      <c r="I1028">
        <v>7</v>
      </c>
      <c r="J1028">
        <v>2</v>
      </c>
      <c r="K1028" t="s">
        <v>51</v>
      </c>
      <c r="L1028">
        <v>1</v>
      </c>
      <c r="M1028">
        <v>1025</v>
      </c>
      <c r="N1028">
        <v>4</v>
      </c>
      <c r="O1028" t="s">
        <v>52</v>
      </c>
      <c r="P1028">
        <v>42</v>
      </c>
      <c r="Q1028">
        <v>3</v>
      </c>
      <c r="R1028">
        <v>2</v>
      </c>
      <c r="S1028" t="s">
        <v>111</v>
      </c>
      <c r="T1028">
        <v>3</v>
      </c>
      <c r="U1028" t="s">
        <v>45</v>
      </c>
      <c r="V1028">
        <v>5003</v>
      </c>
      <c r="W1028" t="s">
        <v>162</v>
      </c>
      <c r="X1028">
        <v>23371</v>
      </c>
      <c r="Y1028">
        <v>6</v>
      </c>
      <c r="Z1028" t="s">
        <v>47</v>
      </c>
      <c r="AA1028" t="s">
        <v>48</v>
      </c>
      <c r="AB1028">
        <v>14</v>
      </c>
      <c r="AC1028">
        <v>3</v>
      </c>
      <c r="AD1028">
        <v>2</v>
      </c>
      <c r="AE1028">
        <v>80</v>
      </c>
      <c r="AF1028">
        <v>0</v>
      </c>
      <c r="AG1028">
        <v>8</v>
      </c>
      <c r="AH1028">
        <v>6</v>
      </c>
      <c r="AI1028">
        <v>3</v>
      </c>
      <c r="AJ1028">
        <v>2</v>
      </c>
      <c r="AK1028">
        <v>2</v>
      </c>
      <c r="AL1028">
        <v>2</v>
      </c>
    </row>
    <row r="1029" spans="1:38" x14ac:dyDescent="0.3">
      <c r="A1029" t="s">
        <v>1098</v>
      </c>
      <c r="B1029">
        <v>41</v>
      </c>
      <c r="C1029" t="s">
        <v>800</v>
      </c>
      <c r="D1029" t="s">
        <v>48</v>
      </c>
      <c r="E1029">
        <f t="shared" si="16"/>
        <v>0</v>
      </c>
      <c r="F1029" t="s">
        <v>58</v>
      </c>
      <c r="G1029">
        <v>247</v>
      </c>
      <c r="H1029" t="s">
        <v>41</v>
      </c>
      <c r="I1029">
        <v>7</v>
      </c>
      <c r="J1029">
        <v>1</v>
      </c>
      <c r="K1029" t="s">
        <v>42</v>
      </c>
      <c r="L1029">
        <v>1</v>
      </c>
      <c r="M1029">
        <v>1035</v>
      </c>
      <c r="N1029">
        <v>2</v>
      </c>
      <c r="O1029" t="s">
        <v>52</v>
      </c>
      <c r="P1029">
        <v>55</v>
      </c>
      <c r="Q1029">
        <v>1</v>
      </c>
      <c r="R1029">
        <v>5</v>
      </c>
      <c r="S1029" t="s">
        <v>251</v>
      </c>
      <c r="T1029">
        <v>3</v>
      </c>
      <c r="U1029" t="s">
        <v>101</v>
      </c>
      <c r="V1029">
        <v>19973</v>
      </c>
      <c r="W1029" t="s">
        <v>366</v>
      </c>
      <c r="X1029">
        <v>20284</v>
      </c>
      <c r="Y1029">
        <v>1</v>
      </c>
      <c r="Z1029" t="s">
        <v>47</v>
      </c>
      <c r="AA1029" t="s">
        <v>48</v>
      </c>
      <c r="AB1029">
        <v>22</v>
      </c>
      <c r="AC1029">
        <v>4</v>
      </c>
      <c r="AD1029">
        <v>2</v>
      </c>
      <c r="AE1029">
        <v>80</v>
      </c>
      <c r="AF1029">
        <v>2</v>
      </c>
      <c r="AG1029">
        <v>21</v>
      </c>
      <c r="AH1029">
        <v>3</v>
      </c>
      <c r="AI1029">
        <v>3</v>
      </c>
      <c r="AJ1029">
        <v>21</v>
      </c>
      <c r="AK1029">
        <v>16</v>
      </c>
      <c r="AL1029">
        <v>5</v>
      </c>
    </row>
    <row r="1030" spans="1:38" x14ac:dyDescent="0.3">
      <c r="A1030" t="s">
        <v>1099</v>
      </c>
      <c r="B1030">
        <v>41</v>
      </c>
      <c r="C1030" t="s">
        <v>800</v>
      </c>
      <c r="D1030" t="s">
        <v>48</v>
      </c>
      <c r="E1030">
        <f t="shared" si="16"/>
        <v>0</v>
      </c>
      <c r="F1030" t="s">
        <v>40</v>
      </c>
      <c r="G1030">
        <v>509</v>
      </c>
      <c r="H1030" t="s">
        <v>41</v>
      </c>
      <c r="I1030">
        <v>7</v>
      </c>
      <c r="J1030">
        <v>2</v>
      </c>
      <c r="K1030" t="s">
        <v>67</v>
      </c>
      <c r="L1030">
        <v>1</v>
      </c>
      <c r="M1030">
        <v>1085</v>
      </c>
      <c r="N1030">
        <v>2</v>
      </c>
      <c r="O1030" t="s">
        <v>52</v>
      </c>
      <c r="P1030">
        <v>43</v>
      </c>
      <c r="Q1030">
        <v>4</v>
      </c>
      <c r="R1030">
        <v>1</v>
      </c>
      <c r="S1030" t="s">
        <v>59</v>
      </c>
      <c r="T1030">
        <v>3</v>
      </c>
      <c r="U1030" t="s">
        <v>104</v>
      </c>
      <c r="V1030">
        <v>3376</v>
      </c>
      <c r="W1030" t="s">
        <v>46</v>
      </c>
      <c r="X1030">
        <v>18863</v>
      </c>
      <c r="Y1030">
        <v>1</v>
      </c>
      <c r="Z1030" t="s">
        <v>47</v>
      </c>
      <c r="AA1030" t="s">
        <v>48</v>
      </c>
      <c r="AB1030">
        <v>13</v>
      </c>
      <c r="AC1030">
        <v>3</v>
      </c>
      <c r="AD1030">
        <v>3</v>
      </c>
      <c r="AE1030">
        <v>80</v>
      </c>
      <c r="AF1030">
        <v>0</v>
      </c>
      <c r="AG1030">
        <v>10</v>
      </c>
      <c r="AH1030">
        <v>3</v>
      </c>
      <c r="AI1030">
        <v>3</v>
      </c>
      <c r="AJ1030">
        <v>10</v>
      </c>
      <c r="AK1030">
        <v>6</v>
      </c>
      <c r="AL1030">
        <v>0</v>
      </c>
    </row>
    <row r="1031" spans="1:38" x14ac:dyDescent="0.3">
      <c r="A1031" t="s">
        <v>1100</v>
      </c>
      <c r="B1031">
        <v>41</v>
      </c>
      <c r="C1031" t="s">
        <v>800</v>
      </c>
      <c r="D1031" t="s">
        <v>48</v>
      </c>
      <c r="E1031">
        <f t="shared" si="16"/>
        <v>0</v>
      </c>
      <c r="F1031" t="s">
        <v>40</v>
      </c>
      <c r="G1031">
        <v>167</v>
      </c>
      <c r="H1031" t="s">
        <v>41</v>
      </c>
      <c r="I1031">
        <v>12</v>
      </c>
      <c r="J1031">
        <v>4</v>
      </c>
      <c r="K1031" t="s">
        <v>42</v>
      </c>
      <c r="L1031">
        <v>1</v>
      </c>
      <c r="M1031">
        <v>1158</v>
      </c>
      <c r="N1031">
        <v>2</v>
      </c>
      <c r="O1031" t="s">
        <v>43</v>
      </c>
      <c r="P1031">
        <v>46</v>
      </c>
      <c r="Q1031">
        <v>3</v>
      </c>
      <c r="R1031">
        <v>1</v>
      </c>
      <c r="S1031" t="s">
        <v>44</v>
      </c>
      <c r="T1031">
        <v>4</v>
      </c>
      <c r="U1031" t="s">
        <v>104</v>
      </c>
      <c r="V1031">
        <v>4766</v>
      </c>
      <c r="W1031" t="s">
        <v>46</v>
      </c>
      <c r="X1031">
        <v>9051</v>
      </c>
      <c r="Y1031">
        <v>3</v>
      </c>
      <c r="Z1031" t="s">
        <v>47</v>
      </c>
      <c r="AA1031" t="s">
        <v>39</v>
      </c>
      <c r="AB1031">
        <v>11</v>
      </c>
      <c r="AC1031">
        <v>3</v>
      </c>
      <c r="AD1031">
        <v>1</v>
      </c>
      <c r="AE1031">
        <v>80</v>
      </c>
      <c r="AF1031">
        <v>1</v>
      </c>
      <c r="AG1031">
        <v>6</v>
      </c>
      <c r="AH1031">
        <v>4</v>
      </c>
      <c r="AI1031">
        <v>3</v>
      </c>
      <c r="AJ1031">
        <v>1</v>
      </c>
      <c r="AK1031">
        <v>0</v>
      </c>
      <c r="AL1031">
        <v>0</v>
      </c>
    </row>
    <row r="1032" spans="1:38" x14ac:dyDescent="0.3">
      <c r="A1032" t="s">
        <v>1101</v>
      </c>
      <c r="B1032">
        <v>41</v>
      </c>
      <c r="C1032" t="s">
        <v>800</v>
      </c>
      <c r="D1032" t="s">
        <v>39</v>
      </c>
      <c r="E1032">
        <f t="shared" si="16"/>
        <v>1</v>
      </c>
      <c r="F1032" t="s">
        <v>58</v>
      </c>
      <c r="G1032">
        <v>906</v>
      </c>
      <c r="H1032" t="s">
        <v>41</v>
      </c>
      <c r="I1032">
        <v>5</v>
      </c>
      <c r="J1032">
        <v>2</v>
      </c>
      <c r="K1032" t="s">
        <v>42</v>
      </c>
      <c r="L1032">
        <v>1</v>
      </c>
      <c r="M1032">
        <v>1210</v>
      </c>
      <c r="N1032">
        <v>1</v>
      </c>
      <c r="O1032" t="s">
        <v>43</v>
      </c>
      <c r="P1032">
        <v>95</v>
      </c>
      <c r="Q1032">
        <v>2</v>
      </c>
      <c r="R1032">
        <v>1</v>
      </c>
      <c r="S1032" t="s">
        <v>59</v>
      </c>
      <c r="T1032">
        <v>1</v>
      </c>
      <c r="U1032" t="s">
        <v>101</v>
      </c>
      <c r="V1032">
        <v>2107</v>
      </c>
      <c r="W1032" t="s">
        <v>46</v>
      </c>
      <c r="X1032">
        <v>20293</v>
      </c>
      <c r="Y1032">
        <v>6</v>
      </c>
      <c r="Z1032" t="s">
        <v>47</v>
      </c>
      <c r="AA1032" t="s">
        <v>48</v>
      </c>
      <c r="AB1032">
        <v>17</v>
      </c>
      <c r="AC1032">
        <v>3</v>
      </c>
      <c r="AD1032">
        <v>1</v>
      </c>
      <c r="AE1032">
        <v>80</v>
      </c>
      <c r="AF1032">
        <v>1</v>
      </c>
      <c r="AG1032">
        <v>5</v>
      </c>
      <c r="AH1032">
        <v>2</v>
      </c>
      <c r="AI1032">
        <v>1</v>
      </c>
      <c r="AJ1032">
        <v>1</v>
      </c>
      <c r="AK1032">
        <v>0</v>
      </c>
      <c r="AL1032">
        <v>0</v>
      </c>
    </row>
    <row r="1033" spans="1:38" x14ac:dyDescent="0.3">
      <c r="A1033" t="s">
        <v>1102</v>
      </c>
      <c r="B1033">
        <v>41</v>
      </c>
      <c r="C1033" t="s">
        <v>800</v>
      </c>
      <c r="D1033" t="s">
        <v>48</v>
      </c>
      <c r="E1033">
        <f t="shared" si="16"/>
        <v>0</v>
      </c>
      <c r="F1033" t="s">
        <v>58</v>
      </c>
      <c r="G1033">
        <v>256</v>
      </c>
      <c r="H1033" t="s">
        <v>50</v>
      </c>
      <c r="I1033">
        <v>10</v>
      </c>
      <c r="J1033">
        <v>2</v>
      </c>
      <c r="K1033" t="s">
        <v>51</v>
      </c>
      <c r="L1033">
        <v>1</v>
      </c>
      <c r="M1033">
        <v>1329</v>
      </c>
      <c r="N1033">
        <v>3</v>
      </c>
      <c r="O1033" t="s">
        <v>43</v>
      </c>
      <c r="P1033">
        <v>40</v>
      </c>
      <c r="Q1033">
        <v>1</v>
      </c>
      <c r="R1033">
        <v>2</v>
      </c>
      <c r="S1033" t="s">
        <v>136</v>
      </c>
      <c r="T1033">
        <v>2</v>
      </c>
      <c r="U1033" t="s">
        <v>45</v>
      </c>
      <c r="V1033">
        <v>6151</v>
      </c>
      <c r="W1033" t="s">
        <v>162</v>
      </c>
      <c r="X1033">
        <v>22074</v>
      </c>
      <c r="Y1033">
        <v>1</v>
      </c>
      <c r="Z1033" t="s">
        <v>47</v>
      </c>
      <c r="AA1033" t="s">
        <v>48</v>
      </c>
      <c r="AB1033">
        <v>13</v>
      </c>
      <c r="AC1033">
        <v>3</v>
      </c>
      <c r="AD1033">
        <v>1</v>
      </c>
      <c r="AE1033">
        <v>80</v>
      </c>
      <c r="AF1033">
        <v>0</v>
      </c>
      <c r="AG1033">
        <v>19</v>
      </c>
      <c r="AH1033">
        <v>4</v>
      </c>
      <c r="AI1033">
        <v>3</v>
      </c>
      <c r="AJ1033">
        <v>19</v>
      </c>
      <c r="AK1033">
        <v>2</v>
      </c>
      <c r="AL1033">
        <v>11</v>
      </c>
    </row>
    <row r="1034" spans="1:38" x14ac:dyDescent="0.3">
      <c r="A1034" t="s">
        <v>1103</v>
      </c>
      <c r="B1034">
        <v>41</v>
      </c>
      <c r="C1034" t="s">
        <v>800</v>
      </c>
      <c r="D1034" t="s">
        <v>48</v>
      </c>
      <c r="E1034">
        <f t="shared" si="16"/>
        <v>0</v>
      </c>
      <c r="F1034" t="s">
        <v>55</v>
      </c>
      <c r="G1034">
        <v>1018</v>
      </c>
      <c r="H1034" t="s">
        <v>50</v>
      </c>
      <c r="I1034">
        <v>1</v>
      </c>
      <c r="J1034">
        <v>3</v>
      </c>
      <c r="K1034" t="s">
        <v>56</v>
      </c>
      <c r="L1034">
        <v>1</v>
      </c>
      <c r="M1034">
        <v>1349</v>
      </c>
      <c r="N1034">
        <v>3</v>
      </c>
      <c r="O1034" t="s">
        <v>52</v>
      </c>
      <c r="P1034">
        <v>66</v>
      </c>
      <c r="Q1034">
        <v>3</v>
      </c>
      <c r="R1034">
        <v>2</v>
      </c>
      <c r="S1034" t="s">
        <v>136</v>
      </c>
      <c r="T1034">
        <v>1</v>
      </c>
      <c r="U1034" t="s">
        <v>101</v>
      </c>
      <c r="V1034">
        <v>4103</v>
      </c>
      <c r="W1034" t="s">
        <v>46</v>
      </c>
      <c r="X1034">
        <v>4297</v>
      </c>
      <c r="Y1034">
        <v>0</v>
      </c>
      <c r="Z1034" t="s">
        <v>47</v>
      </c>
      <c r="AA1034" t="s">
        <v>48</v>
      </c>
      <c r="AB1034">
        <v>17</v>
      </c>
      <c r="AC1034">
        <v>3</v>
      </c>
      <c r="AD1034">
        <v>4</v>
      </c>
      <c r="AE1034">
        <v>80</v>
      </c>
      <c r="AF1034">
        <v>1</v>
      </c>
      <c r="AG1034">
        <v>10</v>
      </c>
      <c r="AH1034">
        <v>2</v>
      </c>
      <c r="AI1034">
        <v>3</v>
      </c>
      <c r="AJ1034">
        <v>9</v>
      </c>
      <c r="AK1034">
        <v>3</v>
      </c>
      <c r="AL1034">
        <v>1</v>
      </c>
    </row>
    <row r="1035" spans="1:38" x14ac:dyDescent="0.3">
      <c r="A1035" t="s">
        <v>1104</v>
      </c>
      <c r="B1035">
        <v>41</v>
      </c>
      <c r="C1035" t="s">
        <v>800</v>
      </c>
      <c r="D1035" t="s">
        <v>48</v>
      </c>
      <c r="E1035">
        <f t="shared" si="16"/>
        <v>0</v>
      </c>
      <c r="F1035" t="s">
        <v>55</v>
      </c>
      <c r="G1035">
        <v>1200</v>
      </c>
      <c r="H1035" t="s">
        <v>41</v>
      </c>
      <c r="I1035">
        <v>22</v>
      </c>
      <c r="J1035">
        <v>3</v>
      </c>
      <c r="K1035" t="s">
        <v>42</v>
      </c>
      <c r="L1035">
        <v>1</v>
      </c>
      <c r="M1035">
        <v>1392</v>
      </c>
      <c r="N1035">
        <v>4</v>
      </c>
      <c r="O1035" t="s">
        <v>52</v>
      </c>
      <c r="P1035">
        <v>75</v>
      </c>
      <c r="Q1035">
        <v>3</v>
      </c>
      <c r="R1035">
        <v>2</v>
      </c>
      <c r="S1035" t="s">
        <v>59</v>
      </c>
      <c r="T1035">
        <v>4</v>
      </c>
      <c r="U1035" t="s">
        <v>101</v>
      </c>
      <c r="V1035">
        <v>5467</v>
      </c>
      <c r="W1035" t="s">
        <v>162</v>
      </c>
      <c r="X1035">
        <v>13953</v>
      </c>
      <c r="Y1035">
        <v>3</v>
      </c>
      <c r="Z1035" t="s">
        <v>47</v>
      </c>
      <c r="AA1035" t="s">
        <v>39</v>
      </c>
      <c r="AB1035">
        <v>14</v>
      </c>
      <c r="AC1035">
        <v>3</v>
      </c>
      <c r="AD1035">
        <v>1</v>
      </c>
      <c r="AE1035">
        <v>80</v>
      </c>
      <c r="AF1035">
        <v>2</v>
      </c>
      <c r="AG1035">
        <v>12</v>
      </c>
      <c r="AH1035">
        <v>4</v>
      </c>
      <c r="AI1035">
        <v>2</v>
      </c>
      <c r="AJ1035">
        <v>6</v>
      </c>
      <c r="AK1035">
        <v>2</v>
      </c>
      <c r="AL1035">
        <v>3</v>
      </c>
    </row>
    <row r="1036" spans="1:38" x14ac:dyDescent="0.3">
      <c r="A1036" t="s">
        <v>1105</v>
      </c>
      <c r="B1036">
        <v>41</v>
      </c>
      <c r="C1036" t="s">
        <v>800</v>
      </c>
      <c r="D1036" t="s">
        <v>48</v>
      </c>
      <c r="E1036">
        <f t="shared" si="16"/>
        <v>0</v>
      </c>
      <c r="F1036" t="s">
        <v>40</v>
      </c>
      <c r="G1036">
        <v>1283</v>
      </c>
      <c r="H1036" t="s">
        <v>41</v>
      </c>
      <c r="I1036">
        <v>5</v>
      </c>
      <c r="J1036">
        <v>5</v>
      </c>
      <c r="K1036" t="s">
        <v>51</v>
      </c>
      <c r="L1036">
        <v>1</v>
      </c>
      <c r="M1036">
        <v>1448</v>
      </c>
      <c r="N1036">
        <v>2</v>
      </c>
      <c r="O1036" t="s">
        <v>43</v>
      </c>
      <c r="P1036">
        <v>90</v>
      </c>
      <c r="Q1036">
        <v>4</v>
      </c>
      <c r="R1036">
        <v>1</v>
      </c>
      <c r="S1036" t="s">
        <v>59</v>
      </c>
      <c r="T1036">
        <v>3</v>
      </c>
      <c r="U1036" t="s">
        <v>104</v>
      </c>
      <c r="V1036">
        <v>2127</v>
      </c>
      <c r="W1036" t="s">
        <v>46</v>
      </c>
      <c r="X1036">
        <v>5561</v>
      </c>
      <c r="Y1036">
        <v>2</v>
      </c>
      <c r="Z1036" t="s">
        <v>47</v>
      </c>
      <c r="AA1036" t="s">
        <v>39</v>
      </c>
      <c r="AB1036">
        <v>12</v>
      </c>
      <c r="AC1036">
        <v>3</v>
      </c>
      <c r="AD1036">
        <v>1</v>
      </c>
      <c r="AE1036">
        <v>80</v>
      </c>
      <c r="AF1036">
        <v>0</v>
      </c>
      <c r="AG1036">
        <v>7</v>
      </c>
      <c r="AH1036">
        <v>5</v>
      </c>
      <c r="AI1036">
        <v>2</v>
      </c>
      <c r="AJ1036">
        <v>4</v>
      </c>
      <c r="AK1036">
        <v>2</v>
      </c>
      <c r="AL1036">
        <v>0</v>
      </c>
    </row>
    <row r="1037" spans="1:38" x14ac:dyDescent="0.3">
      <c r="A1037" t="s">
        <v>1106</v>
      </c>
      <c r="B1037">
        <v>41</v>
      </c>
      <c r="C1037" t="s">
        <v>800</v>
      </c>
      <c r="D1037" t="s">
        <v>48</v>
      </c>
      <c r="E1037">
        <f t="shared" si="16"/>
        <v>0</v>
      </c>
      <c r="F1037" t="s">
        <v>40</v>
      </c>
      <c r="G1037">
        <v>1206</v>
      </c>
      <c r="H1037" t="s">
        <v>50</v>
      </c>
      <c r="I1037">
        <v>23</v>
      </c>
      <c r="J1037">
        <v>2</v>
      </c>
      <c r="K1037" t="s">
        <v>42</v>
      </c>
      <c r="L1037">
        <v>1</v>
      </c>
      <c r="M1037">
        <v>1678</v>
      </c>
      <c r="N1037">
        <v>4</v>
      </c>
      <c r="O1037" t="s">
        <v>43</v>
      </c>
      <c r="P1037">
        <v>80</v>
      </c>
      <c r="Q1037">
        <v>3</v>
      </c>
      <c r="R1037">
        <v>3</v>
      </c>
      <c r="S1037" t="s">
        <v>136</v>
      </c>
      <c r="T1037">
        <v>3</v>
      </c>
      <c r="U1037" t="s">
        <v>45</v>
      </c>
      <c r="V1037">
        <v>7082</v>
      </c>
      <c r="W1037" t="s">
        <v>162</v>
      </c>
      <c r="X1037">
        <v>11591</v>
      </c>
      <c r="Y1037">
        <v>3</v>
      </c>
      <c r="Z1037" t="s">
        <v>47</v>
      </c>
      <c r="AA1037" t="s">
        <v>39</v>
      </c>
      <c r="AB1037">
        <v>16</v>
      </c>
      <c r="AC1037">
        <v>3</v>
      </c>
      <c r="AD1037">
        <v>4</v>
      </c>
      <c r="AE1037">
        <v>80</v>
      </c>
      <c r="AF1037">
        <v>0</v>
      </c>
      <c r="AG1037">
        <v>21</v>
      </c>
      <c r="AH1037">
        <v>2</v>
      </c>
      <c r="AI1037">
        <v>3</v>
      </c>
      <c r="AJ1037">
        <v>2</v>
      </c>
      <c r="AK1037">
        <v>0</v>
      </c>
      <c r="AL1037">
        <v>0</v>
      </c>
    </row>
    <row r="1038" spans="1:38" x14ac:dyDescent="0.3">
      <c r="A1038" t="s">
        <v>1107</v>
      </c>
      <c r="B1038">
        <v>41</v>
      </c>
      <c r="C1038" t="s">
        <v>800</v>
      </c>
      <c r="D1038" t="s">
        <v>48</v>
      </c>
      <c r="E1038">
        <f t="shared" si="16"/>
        <v>0</v>
      </c>
      <c r="F1038" t="s">
        <v>40</v>
      </c>
      <c r="G1038">
        <v>918</v>
      </c>
      <c r="H1038" t="s">
        <v>50</v>
      </c>
      <c r="I1038">
        <v>6</v>
      </c>
      <c r="J1038">
        <v>3</v>
      </c>
      <c r="K1038" t="s">
        <v>56</v>
      </c>
      <c r="L1038">
        <v>1</v>
      </c>
      <c r="M1038">
        <v>1708</v>
      </c>
      <c r="N1038">
        <v>4</v>
      </c>
      <c r="O1038" t="s">
        <v>43</v>
      </c>
      <c r="P1038">
        <v>35</v>
      </c>
      <c r="Q1038">
        <v>3</v>
      </c>
      <c r="R1038">
        <v>3</v>
      </c>
      <c r="S1038" t="s">
        <v>136</v>
      </c>
      <c r="T1038">
        <v>3</v>
      </c>
      <c r="U1038" t="s">
        <v>45</v>
      </c>
      <c r="V1038">
        <v>9241</v>
      </c>
      <c r="W1038" t="s">
        <v>162</v>
      </c>
      <c r="X1038">
        <v>15869</v>
      </c>
      <c r="Y1038">
        <v>1</v>
      </c>
      <c r="Z1038" t="s">
        <v>47</v>
      </c>
      <c r="AA1038" t="s">
        <v>48</v>
      </c>
      <c r="AB1038">
        <v>12</v>
      </c>
      <c r="AC1038">
        <v>3</v>
      </c>
      <c r="AD1038">
        <v>2</v>
      </c>
      <c r="AE1038">
        <v>80</v>
      </c>
      <c r="AF1038">
        <v>0</v>
      </c>
      <c r="AG1038">
        <v>10</v>
      </c>
      <c r="AH1038">
        <v>3</v>
      </c>
      <c r="AI1038">
        <v>3</v>
      </c>
      <c r="AJ1038">
        <v>10</v>
      </c>
      <c r="AK1038">
        <v>8</v>
      </c>
      <c r="AL1038">
        <v>8</v>
      </c>
    </row>
    <row r="1039" spans="1:38" x14ac:dyDescent="0.3">
      <c r="A1039" t="s">
        <v>1108</v>
      </c>
      <c r="B1039">
        <v>41</v>
      </c>
      <c r="C1039" t="s">
        <v>800</v>
      </c>
      <c r="D1039" t="s">
        <v>48</v>
      </c>
      <c r="E1039">
        <f t="shared" si="16"/>
        <v>0</v>
      </c>
      <c r="F1039" t="s">
        <v>58</v>
      </c>
      <c r="G1039">
        <v>552</v>
      </c>
      <c r="H1039" t="s">
        <v>70</v>
      </c>
      <c r="I1039">
        <v>4</v>
      </c>
      <c r="J1039">
        <v>3</v>
      </c>
      <c r="K1039" t="s">
        <v>70</v>
      </c>
      <c r="L1039">
        <v>1</v>
      </c>
      <c r="M1039">
        <v>1722</v>
      </c>
      <c r="N1039">
        <v>3</v>
      </c>
      <c r="O1039" t="s">
        <v>43</v>
      </c>
      <c r="P1039">
        <v>60</v>
      </c>
      <c r="Q1039">
        <v>1</v>
      </c>
      <c r="R1039">
        <v>2</v>
      </c>
      <c r="S1039" t="s">
        <v>70</v>
      </c>
      <c r="T1039">
        <v>2</v>
      </c>
      <c r="U1039" t="s">
        <v>104</v>
      </c>
      <c r="V1039">
        <v>6430</v>
      </c>
      <c r="W1039" t="s">
        <v>162</v>
      </c>
      <c r="X1039">
        <v>20794</v>
      </c>
      <c r="Y1039">
        <v>6</v>
      </c>
      <c r="Z1039" t="s">
        <v>47</v>
      </c>
      <c r="AA1039" t="s">
        <v>48</v>
      </c>
      <c r="AB1039">
        <v>19</v>
      </c>
      <c r="AC1039">
        <v>3</v>
      </c>
      <c r="AD1039">
        <v>2</v>
      </c>
      <c r="AE1039">
        <v>80</v>
      </c>
      <c r="AF1039">
        <v>1</v>
      </c>
      <c r="AG1039">
        <v>10</v>
      </c>
      <c r="AH1039">
        <v>4</v>
      </c>
      <c r="AI1039">
        <v>3</v>
      </c>
      <c r="AJ1039">
        <v>3</v>
      </c>
      <c r="AK1039">
        <v>2</v>
      </c>
      <c r="AL1039">
        <v>1</v>
      </c>
    </row>
    <row r="1040" spans="1:38" x14ac:dyDescent="0.3">
      <c r="A1040" t="s">
        <v>1109</v>
      </c>
      <c r="B1040">
        <v>41</v>
      </c>
      <c r="C1040" t="s">
        <v>800</v>
      </c>
      <c r="D1040" t="s">
        <v>48</v>
      </c>
      <c r="E1040">
        <f t="shared" si="16"/>
        <v>0</v>
      </c>
      <c r="F1040" t="s">
        <v>40</v>
      </c>
      <c r="G1040">
        <v>548</v>
      </c>
      <c r="H1040" t="s">
        <v>41</v>
      </c>
      <c r="I1040">
        <v>9</v>
      </c>
      <c r="J1040">
        <v>4</v>
      </c>
      <c r="K1040" t="s">
        <v>42</v>
      </c>
      <c r="L1040">
        <v>1</v>
      </c>
      <c r="M1040">
        <v>1772</v>
      </c>
      <c r="N1040">
        <v>3</v>
      </c>
      <c r="O1040" t="s">
        <v>43</v>
      </c>
      <c r="P1040">
        <v>94</v>
      </c>
      <c r="Q1040">
        <v>3</v>
      </c>
      <c r="R1040">
        <v>1</v>
      </c>
      <c r="S1040" t="s">
        <v>44</v>
      </c>
      <c r="T1040">
        <v>1</v>
      </c>
      <c r="U1040" t="s">
        <v>101</v>
      </c>
      <c r="V1040">
        <v>2289</v>
      </c>
      <c r="W1040" t="s">
        <v>46</v>
      </c>
      <c r="X1040">
        <v>20520</v>
      </c>
      <c r="Y1040">
        <v>1</v>
      </c>
      <c r="Z1040" t="s">
        <v>47</v>
      </c>
      <c r="AA1040" t="s">
        <v>48</v>
      </c>
      <c r="AB1040">
        <v>20</v>
      </c>
      <c r="AC1040">
        <v>4</v>
      </c>
      <c r="AD1040">
        <v>2</v>
      </c>
      <c r="AE1040">
        <v>80</v>
      </c>
      <c r="AF1040">
        <v>2</v>
      </c>
      <c r="AG1040">
        <v>5</v>
      </c>
      <c r="AH1040">
        <v>2</v>
      </c>
      <c r="AI1040">
        <v>3</v>
      </c>
      <c r="AJ1040">
        <v>5</v>
      </c>
      <c r="AK1040">
        <v>3</v>
      </c>
      <c r="AL1040">
        <v>0</v>
      </c>
    </row>
    <row r="1041" spans="1:38" x14ac:dyDescent="0.3">
      <c r="A1041" t="s">
        <v>1110</v>
      </c>
      <c r="B1041">
        <v>41</v>
      </c>
      <c r="C1041" t="s">
        <v>800</v>
      </c>
      <c r="D1041" t="s">
        <v>48</v>
      </c>
      <c r="E1041">
        <f t="shared" si="16"/>
        <v>0</v>
      </c>
      <c r="F1041" t="s">
        <v>40</v>
      </c>
      <c r="G1041">
        <v>447</v>
      </c>
      <c r="H1041" t="s">
        <v>41</v>
      </c>
      <c r="I1041">
        <v>5</v>
      </c>
      <c r="J1041">
        <v>3</v>
      </c>
      <c r="K1041" t="s">
        <v>42</v>
      </c>
      <c r="L1041">
        <v>1</v>
      </c>
      <c r="M1041">
        <v>1814</v>
      </c>
      <c r="N1041">
        <v>2</v>
      </c>
      <c r="O1041" t="s">
        <v>43</v>
      </c>
      <c r="P1041">
        <v>85</v>
      </c>
      <c r="Q1041">
        <v>4</v>
      </c>
      <c r="R1041">
        <v>2</v>
      </c>
      <c r="S1041" t="s">
        <v>160</v>
      </c>
      <c r="T1041">
        <v>2</v>
      </c>
      <c r="U1041" t="s">
        <v>45</v>
      </c>
      <c r="V1041">
        <v>6870</v>
      </c>
      <c r="W1041" t="s">
        <v>162</v>
      </c>
      <c r="X1041">
        <v>15530</v>
      </c>
      <c r="Y1041">
        <v>3</v>
      </c>
      <c r="Z1041" t="s">
        <v>47</v>
      </c>
      <c r="AA1041" t="s">
        <v>48</v>
      </c>
      <c r="AB1041">
        <v>12</v>
      </c>
      <c r="AC1041">
        <v>3</v>
      </c>
      <c r="AD1041">
        <v>1</v>
      </c>
      <c r="AE1041">
        <v>80</v>
      </c>
      <c r="AF1041">
        <v>0</v>
      </c>
      <c r="AG1041">
        <v>11</v>
      </c>
      <c r="AH1041">
        <v>3</v>
      </c>
      <c r="AI1041">
        <v>1</v>
      </c>
      <c r="AJ1041">
        <v>3</v>
      </c>
      <c r="AK1041">
        <v>2</v>
      </c>
      <c r="AL1041">
        <v>1</v>
      </c>
    </row>
    <row r="1042" spans="1:38" x14ac:dyDescent="0.3">
      <c r="A1042" t="s">
        <v>1111</v>
      </c>
      <c r="B1042">
        <v>41</v>
      </c>
      <c r="C1042" t="s">
        <v>800</v>
      </c>
      <c r="D1042" t="s">
        <v>48</v>
      </c>
      <c r="E1042">
        <f t="shared" si="16"/>
        <v>0</v>
      </c>
      <c r="F1042" t="s">
        <v>40</v>
      </c>
      <c r="G1042">
        <v>796</v>
      </c>
      <c r="H1042" t="s">
        <v>50</v>
      </c>
      <c r="I1042">
        <v>4</v>
      </c>
      <c r="J1042">
        <v>1</v>
      </c>
      <c r="K1042" t="s">
        <v>56</v>
      </c>
      <c r="L1042">
        <v>1</v>
      </c>
      <c r="M1042">
        <v>1815</v>
      </c>
      <c r="N1042">
        <v>3</v>
      </c>
      <c r="O1042" t="s">
        <v>52</v>
      </c>
      <c r="P1042">
        <v>81</v>
      </c>
      <c r="Q1042">
        <v>3</v>
      </c>
      <c r="R1042">
        <v>3</v>
      </c>
      <c r="S1042" t="s">
        <v>136</v>
      </c>
      <c r="T1042">
        <v>3</v>
      </c>
      <c r="U1042" t="s">
        <v>101</v>
      </c>
      <c r="V1042">
        <v>10447</v>
      </c>
      <c r="W1042" t="s">
        <v>252</v>
      </c>
      <c r="X1042">
        <v>26458</v>
      </c>
      <c r="Y1042">
        <v>0</v>
      </c>
      <c r="Z1042" t="s">
        <v>47</v>
      </c>
      <c r="AA1042" t="s">
        <v>39</v>
      </c>
      <c r="AB1042">
        <v>13</v>
      </c>
      <c r="AC1042">
        <v>3</v>
      </c>
      <c r="AD1042">
        <v>4</v>
      </c>
      <c r="AE1042">
        <v>80</v>
      </c>
      <c r="AF1042">
        <v>1</v>
      </c>
      <c r="AG1042">
        <v>23</v>
      </c>
      <c r="AH1042">
        <v>3</v>
      </c>
      <c r="AI1042">
        <v>4</v>
      </c>
      <c r="AJ1042">
        <v>22</v>
      </c>
      <c r="AK1042">
        <v>14</v>
      </c>
      <c r="AL1042">
        <v>13</v>
      </c>
    </row>
    <row r="1043" spans="1:38" x14ac:dyDescent="0.3">
      <c r="A1043" t="s">
        <v>1112</v>
      </c>
      <c r="B1043">
        <v>41</v>
      </c>
      <c r="C1043" t="s">
        <v>800</v>
      </c>
      <c r="D1043" t="s">
        <v>48</v>
      </c>
      <c r="E1043">
        <f t="shared" si="16"/>
        <v>0</v>
      </c>
      <c r="F1043" t="s">
        <v>40</v>
      </c>
      <c r="G1043">
        <v>337</v>
      </c>
      <c r="H1043" t="s">
        <v>50</v>
      </c>
      <c r="I1043">
        <v>8</v>
      </c>
      <c r="J1043">
        <v>3</v>
      </c>
      <c r="K1043" t="s">
        <v>56</v>
      </c>
      <c r="L1043">
        <v>1</v>
      </c>
      <c r="M1043">
        <v>1909</v>
      </c>
      <c r="N1043">
        <v>3</v>
      </c>
      <c r="O1043" t="s">
        <v>52</v>
      </c>
      <c r="P1043">
        <v>54</v>
      </c>
      <c r="Q1043">
        <v>3</v>
      </c>
      <c r="R1043">
        <v>2</v>
      </c>
      <c r="S1043" t="s">
        <v>136</v>
      </c>
      <c r="T1043">
        <v>2</v>
      </c>
      <c r="U1043" t="s">
        <v>104</v>
      </c>
      <c r="V1043">
        <v>4393</v>
      </c>
      <c r="W1043" t="s">
        <v>46</v>
      </c>
      <c r="X1043">
        <v>26841</v>
      </c>
      <c r="Y1043">
        <v>5</v>
      </c>
      <c r="Z1043" t="s">
        <v>47</v>
      </c>
      <c r="AA1043" t="s">
        <v>48</v>
      </c>
      <c r="AB1043">
        <v>21</v>
      </c>
      <c r="AC1043">
        <v>4</v>
      </c>
      <c r="AD1043">
        <v>3</v>
      </c>
      <c r="AE1043">
        <v>80</v>
      </c>
      <c r="AF1043">
        <v>1</v>
      </c>
      <c r="AG1043">
        <v>14</v>
      </c>
      <c r="AH1043">
        <v>3</v>
      </c>
      <c r="AI1043">
        <v>3</v>
      </c>
      <c r="AJ1043">
        <v>5</v>
      </c>
      <c r="AK1043">
        <v>4</v>
      </c>
      <c r="AL1043">
        <v>1</v>
      </c>
    </row>
    <row r="1044" spans="1:38" x14ac:dyDescent="0.3">
      <c r="A1044" t="s">
        <v>1113</v>
      </c>
      <c r="B1044">
        <v>41</v>
      </c>
      <c r="C1044" t="s">
        <v>800</v>
      </c>
      <c r="D1044" t="s">
        <v>48</v>
      </c>
      <c r="E1044">
        <f t="shared" si="16"/>
        <v>0</v>
      </c>
      <c r="F1044" t="s">
        <v>40</v>
      </c>
      <c r="G1044">
        <v>642</v>
      </c>
      <c r="H1044" t="s">
        <v>41</v>
      </c>
      <c r="I1044">
        <v>1</v>
      </c>
      <c r="J1044">
        <v>3</v>
      </c>
      <c r="K1044" t="s">
        <v>42</v>
      </c>
      <c r="L1044">
        <v>1</v>
      </c>
      <c r="M1044">
        <v>1999</v>
      </c>
      <c r="N1044">
        <v>4</v>
      </c>
      <c r="O1044" t="s">
        <v>43</v>
      </c>
      <c r="P1044">
        <v>76</v>
      </c>
      <c r="Q1044">
        <v>3</v>
      </c>
      <c r="R1044">
        <v>1</v>
      </c>
      <c r="S1044" t="s">
        <v>59</v>
      </c>
      <c r="T1044">
        <v>4</v>
      </c>
      <c r="U1044" t="s">
        <v>104</v>
      </c>
      <c r="V1044">
        <v>2782</v>
      </c>
      <c r="W1044" t="s">
        <v>46</v>
      </c>
      <c r="X1044">
        <v>21412</v>
      </c>
      <c r="Y1044">
        <v>3</v>
      </c>
      <c r="Z1044" t="s">
        <v>47</v>
      </c>
      <c r="AA1044" t="s">
        <v>48</v>
      </c>
      <c r="AB1044">
        <v>22</v>
      </c>
      <c r="AC1044">
        <v>4</v>
      </c>
      <c r="AD1044">
        <v>1</v>
      </c>
      <c r="AE1044">
        <v>80</v>
      </c>
      <c r="AF1044">
        <v>1</v>
      </c>
      <c r="AG1044">
        <v>12</v>
      </c>
      <c r="AH1044">
        <v>3</v>
      </c>
      <c r="AI1044">
        <v>3</v>
      </c>
      <c r="AJ1044">
        <v>5</v>
      </c>
      <c r="AK1044">
        <v>3</v>
      </c>
      <c r="AL1044">
        <v>1</v>
      </c>
    </row>
    <row r="1045" spans="1:38" x14ac:dyDescent="0.3">
      <c r="A1045" t="s">
        <v>1114</v>
      </c>
      <c r="B1045">
        <v>41</v>
      </c>
      <c r="C1045" t="s">
        <v>800</v>
      </c>
      <c r="D1045" t="s">
        <v>48</v>
      </c>
      <c r="E1045">
        <f t="shared" si="16"/>
        <v>0</v>
      </c>
      <c r="F1045" t="s">
        <v>40</v>
      </c>
      <c r="G1045">
        <v>582</v>
      </c>
      <c r="H1045" t="s">
        <v>41</v>
      </c>
      <c r="I1045">
        <v>28</v>
      </c>
      <c r="J1045">
        <v>4</v>
      </c>
      <c r="K1045" t="s">
        <v>42</v>
      </c>
      <c r="L1045">
        <v>1</v>
      </c>
      <c r="M1045">
        <v>2034</v>
      </c>
      <c r="N1045">
        <v>1</v>
      </c>
      <c r="O1045" t="s">
        <v>52</v>
      </c>
      <c r="P1045">
        <v>60</v>
      </c>
      <c r="Q1045">
        <v>2</v>
      </c>
      <c r="R1045">
        <v>4</v>
      </c>
      <c r="S1045" t="s">
        <v>111</v>
      </c>
      <c r="T1045">
        <v>2</v>
      </c>
      <c r="U1045" t="s">
        <v>104</v>
      </c>
      <c r="V1045">
        <v>13570</v>
      </c>
      <c r="W1045" t="s">
        <v>252</v>
      </c>
      <c r="X1045">
        <v>5640</v>
      </c>
      <c r="Y1045">
        <v>0</v>
      </c>
      <c r="Z1045" t="s">
        <v>47</v>
      </c>
      <c r="AA1045" t="s">
        <v>48</v>
      </c>
      <c r="AB1045">
        <v>23</v>
      </c>
      <c r="AC1045">
        <v>4</v>
      </c>
      <c r="AD1045">
        <v>3</v>
      </c>
      <c r="AE1045">
        <v>80</v>
      </c>
      <c r="AF1045">
        <v>1</v>
      </c>
      <c r="AG1045">
        <v>21</v>
      </c>
      <c r="AH1045">
        <v>3</v>
      </c>
      <c r="AI1045">
        <v>3</v>
      </c>
      <c r="AJ1045">
        <v>20</v>
      </c>
      <c r="AK1045">
        <v>7</v>
      </c>
      <c r="AL1045">
        <v>0</v>
      </c>
    </row>
    <row r="1046" spans="1:38" x14ac:dyDescent="0.3">
      <c r="A1046" t="s">
        <v>1115</v>
      </c>
      <c r="B1046">
        <v>41</v>
      </c>
      <c r="C1046" t="s">
        <v>800</v>
      </c>
      <c r="D1046" t="s">
        <v>48</v>
      </c>
      <c r="E1046">
        <f t="shared" si="16"/>
        <v>0</v>
      </c>
      <c r="F1046" t="s">
        <v>40</v>
      </c>
      <c r="G1046">
        <v>930</v>
      </c>
      <c r="H1046" t="s">
        <v>50</v>
      </c>
      <c r="I1046">
        <v>3</v>
      </c>
      <c r="J1046">
        <v>3</v>
      </c>
      <c r="K1046" t="s">
        <v>42</v>
      </c>
      <c r="L1046">
        <v>1</v>
      </c>
      <c r="M1046">
        <v>2037</v>
      </c>
      <c r="N1046">
        <v>3</v>
      </c>
      <c r="O1046" t="s">
        <v>43</v>
      </c>
      <c r="P1046">
        <v>57</v>
      </c>
      <c r="Q1046">
        <v>2</v>
      </c>
      <c r="R1046">
        <v>2</v>
      </c>
      <c r="S1046" t="s">
        <v>136</v>
      </c>
      <c r="T1046">
        <v>2</v>
      </c>
      <c r="U1046" t="s">
        <v>101</v>
      </c>
      <c r="V1046">
        <v>8938</v>
      </c>
      <c r="W1046" t="s">
        <v>162</v>
      </c>
      <c r="X1046">
        <v>12227</v>
      </c>
      <c r="Y1046">
        <v>2</v>
      </c>
      <c r="Z1046" t="s">
        <v>47</v>
      </c>
      <c r="AA1046" t="s">
        <v>48</v>
      </c>
      <c r="AB1046">
        <v>11</v>
      </c>
      <c r="AC1046">
        <v>3</v>
      </c>
      <c r="AD1046">
        <v>3</v>
      </c>
      <c r="AE1046">
        <v>80</v>
      </c>
      <c r="AF1046">
        <v>1</v>
      </c>
      <c r="AG1046">
        <v>14</v>
      </c>
      <c r="AH1046">
        <v>5</v>
      </c>
      <c r="AI1046">
        <v>3</v>
      </c>
      <c r="AJ1046">
        <v>5</v>
      </c>
      <c r="AK1046">
        <v>4</v>
      </c>
      <c r="AL1046">
        <v>0</v>
      </c>
    </row>
    <row r="1047" spans="1:38" x14ac:dyDescent="0.3">
      <c r="A1047" t="s">
        <v>1116</v>
      </c>
      <c r="B1047">
        <v>42</v>
      </c>
      <c r="C1047" t="s">
        <v>800</v>
      </c>
      <c r="D1047" t="s">
        <v>48</v>
      </c>
      <c r="E1047">
        <f t="shared" si="16"/>
        <v>0</v>
      </c>
      <c r="F1047" t="s">
        <v>40</v>
      </c>
      <c r="G1047">
        <v>691</v>
      </c>
      <c r="H1047" t="s">
        <v>50</v>
      </c>
      <c r="I1047">
        <v>8</v>
      </c>
      <c r="J1047">
        <v>4</v>
      </c>
      <c r="K1047" t="s">
        <v>56</v>
      </c>
      <c r="L1047">
        <v>1</v>
      </c>
      <c r="M1047">
        <v>35</v>
      </c>
      <c r="N1047">
        <v>3</v>
      </c>
      <c r="O1047" t="s">
        <v>43</v>
      </c>
      <c r="P1047">
        <v>48</v>
      </c>
      <c r="Q1047">
        <v>3</v>
      </c>
      <c r="R1047">
        <v>2</v>
      </c>
      <c r="S1047" t="s">
        <v>136</v>
      </c>
      <c r="T1047">
        <v>2</v>
      </c>
      <c r="U1047" t="s">
        <v>104</v>
      </c>
      <c r="V1047">
        <v>6825</v>
      </c>
      <c r="W1047" t="s">
        <v>162</v>
      </c>
      <c r="X1047">
        <v>21173</v>
      </c>
      <c r="Y1047">
        <v>0</v>
      </c>
      <c r="Z1047" t="s">
        <v>47</v>
      </c>
      <c r="AA1047" t="s">
        <v>48</v>
      </c>
      <c r="AB1047">
        <v>11</v>
      </c>
      <c r="AC1047">
        <v>3</v>
      </c>
      <c r="AD1047">
        <v>4</v>
      </c>
      <c r="AE1047">
        <v>80</v>
      </c>
      <c r="AF1047">
        <v>1</v>
      </c>
      <c r="AG1047">
        <v>10</v>
      </c>
      <c r="AH1047">
        <v>2</v>
      </c>
      <c r="AI1047">
        <v>3</v>
      </c>
      <c r="AJ1047">
        <v>9</v>
      </c>
      <c r="AK1047">
        <v>7</v>
      </c>
      <c r="AL1047">
        <v>4</v>
      </c>
    </row>
    <row r="1048" spans="1:38" x14ac:dyDescent="0.3">
      <c r="A1048" t="s">
        <v>1117</v>
      </c>
      <c r="B1048">
        <v>42</v>
      </c>
      <c r="C1048" t="s">
        <v>800</v>
      </c>
      <c r="D1048" t="s">
        <v>48</v>
      </c>
      <c r="E1048">
        <f t="shared" si="16"/>
        <v>0</v>
      </c>
      <c r="F1048" t="s">
        <v>58</v>
      </c>
      <c r="G1048">
        <v>926</v>
      </c>
      <c r="H1048" t="s">
        <v>41</v>
      </c>
      <c r="I1048">
        <v>21</v>
      </c>
      <c r="J1048">
        <v>2</v>
      </c>
      <c r="K1048" t="s">
        <v>51</v>
      </c>
      <c r="L1048">
        <v>1</v>
      </c>
      <c r="M1048">
        <v>270</v>
      </c>
      <c r="N1048">
        <v>3</v>
      </c>
      <c r="O1048" t="s">
        <v>52</v>
      </c>
      <c r="P1048">
        <v>36</v>
      </c>
      <c r="Q1048">
        <v>3</v>
      </c>
      <c r="R1048">
        <v>2</v>
      </c>
      <c r="S1048" t="s">
        <v>111</v>
      </c>
      <c r="T1048">
        <v>3</v>
      </c>
      <c r="U1048" t="s">
        <v>101</v>
      </c>
      <c r="V1048">
        <v>5265</v>
      </c>
      <c r="W1048" t="s">
        <v>162</v>
      </c>
      <c r="X1048">
        <v>16439</v>
      </c>
      <c r="Y1048">
        <v>2</v>
      </c>
      <c r="Z1048" t="s">
        <v>47</v>
      </c>
      <c r="AA1048" t="s">
        <v>48</v>
      </c>
      <c r="AB1048">
        <v>16</v>
      </c>
      <c r="AC1048">
        <v>3</v>
      </c>
      <c r="AD1048">
        <v>2</v>
      </c>
      <c r="AE1048">
        <v>80</v>
      </c>
      <c r="AF1048">
        <v>1</v>
      </c>
      <c r="AG1048">
        <v>11</v>
      </c>
      <c r="AH1048">
        <v>5</v>
      </c>
      <c r="AI1048">
        <v>3</v>
      </c>
      <c r="AJ1048">
        <v>5</v>
      </c>
      <c r="AK1048">
        <v>3</v>
      </c>
      <c r="AL1048">
        <v>0</v>
      </c>
    </row>
    <row r="1049" spans="1:38" x14ac:dyDescent="0.3">
      <c r="A1049" t="s">
        <v>1118</v>
      </c>
      <c r="B1049">
        <v>42</v>
      </c>
      <c r="C1049" t="s">
        <v>800</v>
      </c>
      <c r="D1049" t="s">
        <v>48</v>
      </c>
      <c r="E1049">
        <f t="shared" si="16"/>
        <v>0</v>
      </c>
      <c r="F1049" t="s">
        <v>40</v>
      </c>
      <c r="G1049">
        <v>532</v>
      </c>
      <c r="H1049" t="s">
        <v>41</v>
      </c>
      <c r="I1049">
        <v>4</v>
      </c>
      <c r="J1049">
        <v>2</v>
      </c>
      <c r="K1049" t="s">
        <v>67</v>
      </c>
      <c r="L1049">
        <v>1</v>
      </c>
      <c r="M1049">
        <v>319</v>
      </c>
      <c r="N1049">
        <v>3</v>
      </c>
      <c r="O1049" t="s">
        <v>43</v>
      </c>
      <c r="P1049">
        <v>58</v>
      </c>
      <c r="Q1049">
        <v>3</v>
      </c>
      <c r="R1049">
        <v>5</v>
      </c>
      <c r="S1049" t="s">
        <v>440</v>
      </c>
      <c r="T1049">
        <v>4</v>
      </c>
      <c r="U1049" t="s">
        <v>104</v>
      </c>
      <c r="V1049">
        <v>19232</v>
      </c>
      <c r="W1049" t="s">
        <v>366</v>
      </c>
      <c r="X1049">
        <v>4933</v>
      </c>
      <c r="Y1049">
        <v>1</v>
      </c>
      <c r="Z1049" t="s">
        <v>47</v>
      </c>
      <c r="AA1049" t="s">
        <v>48</v>
      </c>
      <c r="AB1049">
        <v>11</v>
      </c>
      <c r="AC1049">
        <v>3</v>
      </c>
      <c r="AD1049">
        <v>4</v>
      </c>
      <c r="AE1049">
        <v>80</v>
      </c>
      <c r="AF1049">
        <v>0</v>
      </c>
      <c r="AG1049">
        <v>22</v>
      </c>
      <c r="AH1049">
        <v>3</v>
      </c>
      <c r="AI1049">
        <v>3</v>
      </c>
      <c r="AJ1049">
        <v>22</v>
      </c>
      <c r="AK1049">
        <v>17</v>
      </c>
      <c r="AL1049">
        <v>11</v>
      </c>
    </row>
    <row r="1050" spans="1:38" x14ac:dyDescent="0.3">
      <c r="A1050" t="s">
        <v>1119</v>
      </c>
      <c r="B1050">
        <v>42</v>
      </c>
      <c r="C1050" t="s">
        <v>800</v>
      </c>
      <c r="D1050" t="s">
        <v>48</v>
      </c>
      <c r="E1050">
        <f t="shared" si="16"/>
        <v>0</v>
      </c>
      <c r="F1050" t="s">
        <v>40</v>
      </c>
      <c r="G1050">
        <v>916</v>
      </c>
      <c r="H1050" t="s">
        <v>41</v>
      </c>
      <c r="I1050">
        <v>17</v>
      </c>
      <c r="J1050">
        <v>2</v>
      </c>
      <c r="K1050" t="s">
        <v>42</v>
      </c>
      <c r="L1050">
        <v>1</v>
      </c>
      <c r="M1050">
        <v>347</v>
      </c>
      <c r="N1050">
        <v>4</v>
      </c>
      <c r="O1050" t="s">
        <v>52</v>
      </c>
      <c r="P1050">
        <v>82</v>
      </c>
      <c r="Q1050">
        <v>4</v>
      </c>
      <c r="R1050">
        <v>2</v>
      </c>
      <c r="S1050" t="s">
        <v>59</v>
      </c>
      <c r="T1050">
        <v>1</v>
      </c>
      <c r="U1050" t="s">
        <v>45</v>
      </c>
      <c r="V1050">
        <v>6545</v>
      </c>
      <c r="W1050" t="s">
        <v>162</v>
      </c>
      <c r="X1050">
        <v>23016</v>
      </c>
      <c r="Y1050">
        <v>3</v>
      </c>
      <c r="Z1050" t="s">
        <v>47</v>
      </c>
      <c r="AA1050" t="s">
        <v>39</v>
      </c>
      <c r="AB1050">
        <v>13</v>
      </c>
      <c r="AC1050">
        <v>3</v>
      </c>
      <c r="AD1050">
        <v>3</v>
      </c>
      <c r="AE1050">
        <v>80</v>
      </c>
      <c r="AF1050">
        <v>0</v>
      </c>
      <c r="AG1050">
        <v>10</v>
      </c>
      <c r="AH1050">
        <v>1</v>
      </c>
      <c r="AI1050">
        <v>3</v>
      </c>
      <c r="AJ1050">
        <v>3</v>
      </c>
      <c r="AK1050">
        <v>2</v>
      </c>
      <c r="AL1050">
        <v>0</v>
      </c>
    </row>
    <row r="1051" spans="1:38" x14ac:dyDescent="0.3">
      <c r="A1051" t="s">
        <v>1120</v>
      </c>
      <c r="B1051">
        <v>42</v>
      </c>
      <c r="C1051" t="s">
        <v>800</v>
      </c>
      <c r="D1051" t="s">
        <v>48</v>
      </c>
      <c r="E1051">
        <f t="shared" si="16"/>
        <v>0</v>
      </c>
      <c r="F1051" t="s">
        <v>40</v>
      </c>
      <c r="G1051">
        <v>269</v>
      </c>
      <c r="H1051" t="s">
        <v>41</v>
      </c>
      <c r="I1051">
        <v>2</v>
      </c>
      <c r="J1051">
        <v>3</v>
      </c>
      <c r="K1051" t="s">
        <v>51</v>
      </c>
      <c r="L1051">
        <v>1</v>
      </c>
      <c r="M1051">
        <v>351</v>
      </c>
      <c r="N1051">
        <v>4</v>
      </c>
      <c r="O1051" t="s">
        <v>52</v>
      </c>
      <c r="P1051">
        <v>56</v>
      </c>
      <c r="Q1051">
        <v>2</v>
      </c>
      <c r="R1051">
        <v>1</v>
      </c>
      <c r="S1051" t="s">
        <v>44</v>
      </c>
      <c r="T1051">
        <v>1</v>
      </c>
      <c r="U1051" t="s">
        <v>101</v>
      </c>
      <c r="V1051">
        <v>2593</v>
      </c>
      <c r="W1051" t="s">
        <v>46</v>
      </c>
      <c r="X1051">
        <v>8007</v>
      </c>
      <c r="Y1051">
        <v>0</v>
      </c>
      <c r="Z1051" t="s">
        <v>47</v>
      </c>
      <c r="AA1051" t="s">
        <v>39</v>
      </c>
      <c r="AB1051">
        <v>11</v>
      </c>
      <c r="AC1051">
        <v>3</v>
      </c>
      <c r="AD1051">
        <v>3</v>
      </c>
      <c r="AE1051">
        <v>80</v>
      </c>
      <c r="AF1051">
        <v>1</v>
      </c>
      <c r="AG1051">
        <v>10</v>
      </c>
      <c r="AH1051">
        <v>4</v>
      </c>
      <c r="AI1051">
        <v>3</v>
      </c>
      <c r="AJ1051">
        <v>9</v>
      </c>
      <c r="AK1051">
        <v>6</v>
      </c>
      <c r="AL1051">
        <v>7</v>
      </c>
    </row>
    <row r="1052" spans="1:38" x14ac:dyDescent="0.3">
      <c r="A1052" t="s">
        <v>1121</v>
      </c>
      <c r="B1052">
        <v>42</v>
      </c>
      <c r="C1052" t="s">
        <v>800</v>
      </c>
      <c r="D1052" t="s">
        <v>48</v>
      </c>
      <c r="E1052">
        <f t="shared" si="16"/>
        <v>0</v>
      </c>
      <c r="F1052" t="s">
        <v>40</v>
      </c>
      <c r="G1052">
        <v>635</v>
      </c>
      <c r="H1052" t="s">
        <v>50</v>
      </c>
      <c r="I1052">
        <v>1</v>
      </c>
      <c r="J1052">
        <v>1</v>
      </c>
      <c r="K1052" t="s">
        <v>42</v>
      </c>
      <c r="L1052">
        <v>1</v>
      </c>
      <c r="M1052">
        <v>387</v>
      </c>
      <c r="N1052">
        <v>2</v>
      </c>
      <c r="O1052" t="s">
        <v>43</v>
      </c>
      <c r="P1052">
        <v>99</v>
      </c>
      <c r="Q1052">
        <v>3</v>
      </c>
      <c r="R1052">
        <v>2</v>
      </c>
      <c r="S1052" t="s">
        <v>136</v>
      </c>
      <c r="T1052">
        <v>3</v>
      </c>
      <c r="U1052" t="s">
        <v>104</v>
      </c>
      <c r="V1052">
        <v>4907</v>
      </c>
      <c r="W1052" t="s">
        <v>46</v>
      </c>
      <c r="X1052">
        <v>24532</v>
      </c>
      <c r="Y1052">
        <v>1</v>
      </c>
      <c r="Z1052" t="s">
        <v>47</v>
      </c>
      <c r="AA1052" t="s">
        <v>48</v>
      </c>
      <c r="AB1052">
        <v>25</v>
      </c>
      <c r="AC1052">
        <v>4</v>
      </c>
      <c r="AD1052">
        <v>3</v>
      </c>
      <c r="AE1052">
        <v>80</v>
      </c>
      <c r="AF1052">
        <v>0</v>
      </c>
      <c r="AG1052">
        <v>20</v>
      </c>
      <c r="AH1052">
        <v>3</v>
      </c>
      <c r="AI1052">
        <v>3</v>
      </c>
      <c r="AJ1052">
        <v>20</v>
      </c>
      <c r="AK1052">
        <v>16</v>
      </c>
      <c r="AL1052">
        <v>11</v>
      </c>
    </row>
    <row r="1053" spans="1:38" x14ac:dyDescent="0.3">
      <c r="A1053" t="s">
        <v>1122</v>
      </c>
      <c r="B1053">
        <v>42</v>
      </c>
      <c r="C1053" t="s">
        <v>800</v>
      </c>
      <c r="D1053" t="s">
        <v>48</v>
      </c>
      <c r="E1053">
        <f t="shared" si="16"/>
        <v>0</v>
      </c>
      <c r="F1053" t="s">
        <v>55</v>
      </c>
      <c r="G1053">
        <v>555</v>
      </c>
      <c r="H1053" t="s">
        <v>50</v>
      </c>
      <c r="I1053">
        <v>26</v>
      </c>
      <c r="J1053">
        <v>3</v>
      </c>
      <c r="K1053" t="s">
        <v>56</v>
      </c>
      <c r="L1053">
        <v>1</v>
      </c>
      <c r="M1053">
        <v>404</v>
      </c>
      <c r="N1053">
        <v>3</v>
      </c>
      <c r="O1053" t="s">
        <v>52</v>
      </c>
      <c r="P1053">
        <v>77</v>
      </c>
      <c r="Q1053">
        <v>3</v>
      </c>
      <c r="R1053">
        <v>4</v>
      </c>
      <c r="S1053" t="s">
        <v>136</v>
      </c>
      <c r="T1053">
        <v>2</v>
      </c>
      <c r="U1053" t="s">
        <v>104</v>
      </c>
      <c r="V1053">
        <v>13525</v>
      </c>
      <c r="W1053" t="s">
        <v>252</v>
      </c>
      <c r="X1053">
        <v>14864</v>
      </c>
      <c r="Y1053">
        <v>5</v>
      </c>
      <c r="Z1053" t="s">
        <v>47</v>
      </c>
      <c r="AA1053" t="s">
        <v>48</v>
      </c>
      <c r="AB1053">
        <v>14</v>
      </c>
      <c r="AC1053">
        <v>3</v>
      </c>
      <c r="AD1053">
        <v>4</v>
      </c>
      <c r="AE1053">
        <v>80</v>
      </c>
      <c r="AF1053">
        <v>1</v>
      </c>
      <c r="AG1053">
        <v>23</v>
      </c>
      <c r="AH1053">
        <v>2</v>
      </c>
      <c r="AI1053">
        <v>4</v>
      </c>
      <c r="AJ1053">
        <v>20</v>
      </c>
      <c r="AK1053">
        <v>4</v>
      </c>
      <c r="AL1053">
        <v>4</v>
      </c>
    </row>
    <row r="1054" spans="1:38" x14ac:dyDescent="0.3">
      <c r="A1054" t="s">
        <v>1123</v>
      </c>
      <c r="B1054">
        <v>42</v>
      </c>
      <c r="C1054" t="s">
        <v>800</v>
      </c>
      <c r="D1054" t="s">
        <v>48</v>
      </c>
      <c r="E1054">
        <f t="shared" si="16"/>
        <v>0</v>
      </c>
      <c r="F1054" t="s">
        <v>40</v>
      </c>
      <c r="G1054">
        <v>810</v>
      </c>
      <c r="H1054" t="s">
        <v>41</v>
      </c>
      <c r="I1054">
        <v>23</v>
      </c>
      <c r="J1054">
        <v>5</v>
      </c>
      <c r="K1054" t="s">
        <v>42</v>
      </c>
      <c r="L1054">
        <v>1</v>
      </c>
      <c r="M1054">
        <v>468</v>
      </c>
      <c r="N1054">
        <v>1</v>
      </c>
      <c r="O1054" t="s">
        <v>52</v>
      </c>
      <c r="P1054">
        <v>44</v>
      </c>
      <c r="Q1054">
        <v>3</v>
      </c>
      <c r="R1054">
        <v>4</v>
      </c>
      <c r="S1054" t="s">
        <v>251</v>
      </c>
      <c r="T1054">
        <v>4</v>
      </c>
      <c r="U1054" t="s">
        <v>45</v>
      </c>
      <c r="V1054">
        <v>15992</v>
      </c>
      <c r="W1054" t="s">
        <v>366</v>
      </c>
      <c r="X1054">
        <v>15901</v>
      </c>
      <c r="Y1054">
        <v>2</v>
      </c>
      <c r="Z1054" t="s">
        <v>47</v>
      </c>
      <c r="AA1054" t="s">
        <v>48</v>
      </c>
      <c r="AB1054">
        <v>14</v>
      </c>
      <c r="AC1054">
        <v>3</v>
      </c>
      <c r="AD1054">
        <v>2</v>
      </c>
      <c r="AE1054">
        <v>80</v>
      </c>
      <c r="AF1054">
        <v>0</v>
      </c>
      <c r="AG1054">
        <v>16</v>
      </c>
      <c r="AH1054">
        <v>2</v>
      </c>
      <c r="AI1054">
        <v>3</v>
      </c>
      <c r="AJ1054">
        <v>1</v>
      </c>
      <c r="AK1054">
        <v>0</v>
      </c>
      <c r="AL1054">
        <v>0</v>
      </c>
    </row>
    <row r="1055" spans="1:38" x14ac:dyDescent="0.3">
      <c r="A1055" t="s">
        <v>1124</v>
      </c>
      <c r="B1055">
        <v>42</v>
      </c>
      <c r="C1055" t="s">
        <v>800</v>
      </c>
      <c r="D1055" t="s">
        <v>48</v>
      </c>
      <c r="E1055">
        <f t="shared" si="16"/>
        <v>0</v>
      </c>
      <c r="F1055" t="s">
        <v>40</v>
      </c>
      <c r="G1055">
        <v>544</v>
      </c>
      <c r="H1055" t="s">
        <v>70</v>
      </c>
      <c r="I1055">
        <v>2</v>
      </c>
      <c r="J1055">
        <v>1</v>
      </c>
      <c r="K1055" t="s">
        <v>67</v>
      </c>
      <c r="L1055">
        <v>1</v>
      </c>
      <c r="M1055">
        <v>470</v>
      </c>
      <c r="N1055">
        <v>3</v>
      </c>
      <c r="O1055" t="s">
        <v>43</v>
      </c>
      <c r="P1055">
        <v>52</v>
      </c>
      <c r="Q1055">
        <v>3</v>
      </c>
      <c r="R1055">
        <v>1</v>
      </c>
      <c r="S1055" t="s">
        <v>70</v>
      </c>
      <c r="T1055">
        <v>3</v>
      </c>
      <c r="U1055" t="s">
        <v>101</v>
      </c>
      <c r="V1055">
        <v>2696</v>
      </c>
      <c r="W1055" t="s">
        <v>46</v>
      </c>
      <c r="X1055">
        <v>24017</v>
      </c>
      <c r="Y1055">
        <v>0</v>
      </c>
      <c r="Z1055" t="s">
        <v>47</v>
      </c>
      <c r="AA1055" t="s">
        <v>39</v>
      </c>
      <c r="AB1055">
        <v>11</v>
      </c>
      <c r="AC1055">
        <v>3</v>
      </c>
      <c r="AD1055">
        <v>3</v>
      </c>
      <c r="AE1055">
        <v>80</v>
      </c>
      <c r="AF1055">
        <v>1</v>
      </c>
      <c r="AG1055">
        <v>4</v>
      </c>
      <c r="AH1055">
        <v>5</v>
      </c>
      <c r="AI1055">
        <v>3</v>
      </c>
      <c r="AJ1055">
        <v>3</v>
      </c>
      <c r="AK1055">
        <v>2</v>
      </c>
      <c r="AL1055">
        <v>1</v>
      </c>
    </row>
    <row r="1056" spans="1:38" x14ac:dyDescent="0.3">
      <c r="A1056" t="s">
        <v>1125</v>
      </c>
      <c r="B1056">
        <v>42</v>
      </c>
      <c r="C1056" t="s">
        <v>800</v>
      </c>
      <c r="D1056" t="s">
        <v>48</v>
      </c>
      <c r="E1056">
        <f t="shared" si="16"/>
        <v>0</v>
      </c>
      <c r="F1056" t="s">
        <v>40</v>
      </c>
      <c r="G1056">
        <v>1332</v>
      </c>
      <c r="H1056" t="s">
        <v>41</v>
      </c>
      <c r="I1056">
        <v>2</v>
      </c>
      <c r="J1056">
        <v>4</v>
      </c>
      <c r="K1056" t="s">
        <v>72</v>
      </c>
      <c r="L1056">
        <v>1</v>
      </c>
      <c r="M1056">
        <v>477</v>
      </c>
      <c r="N1056">
        <v>1</v>
      </c>
      <c r="O1056" t="s">
        <v>43</v>
      </c>
      <c r="P1056">
        <v>98</v>
      </c>
      <c r="Q1056">
        <v>2</v>
      </c>
      <c r="R1056">
        <v>2</v>
      </c>
      <c r="S1056" t="s">
        <v>160</v>
      </c>
      <c r="T1056">
        <v>4</v>
      </c>
      <c r="U1056" t="s">
        <v>45</v>
      </c>
      <c r="V1056">
        <v>6781</v>
      </c>
      <c r="W1056" t="s">
        <v>162</v>
      </c>
      <c r="X1056">
        <v>17078</v>
      </c>
      <c r="Y1056">
        <v>3</v>
      </c>
      <c r="Z1056" t="s">
        <v>47</v>
      </c>
      <c r="AA1056" t="s">
        <v>48</v>
      </c>
      <c r="AB1056">
        <v>23</v>
      </c>
      <c r="AC1056">
        <v>4</v>
      </c>
      <c r="AD1056">
        <v>2</v>
      </c>
      <c r="AE1056">
        <v>80</v>
      </c>
      <c r="AF1056">
        <v>0</v>
      </c>
      <c r="AG1056">
        <v>14</v>
      </c>
      <c r="AH1056">
        <v>6</v>
      </c>
      <c r="AI1056">
        <v>3</v>
      </c>
      <c r="AJ1056">
        <v>1</v>
      </c>
      <c r="AK1056">
        <v>0</v>
      </c>
      <c r="AL1056">
        <v>0</v>
      </c>
    </row>
    <row r="1057" spans="1:38" x14ac:dyDescent="0.3">
      <c r="A1057" t="s">
        <v>1126</v>
      </c>
      <c r="B1057">
        <v>42</v>
      </c>
      <c r="C1057" t="s">
        <v>800</v>
      </c>
      <c r="D1057" t="s">
        <v>48</v>
      </c>
      <c r="E1057">
        <f t="shared" si="16"/>
        <v>0</v>
      </c>
      <c r="F1057" t="s">
        <v>40</v>
      </c>
      <c r="G1057">
        <v>201</v>
      </c>
      <c r="H1057" t="s">
        <v>41</v>
      </c>
      <c r="I1057">
        <v>1</v>
      </c>
      <c r="J1057">
        <v>4</v>
      </c>
      <c r="K1057" t="s">
        <v>42</v>
      </c>
      <c r="L1057">
        <v>1</v>
      </c>
      <c r="M1057">
        <v>517</v>
      </c>
      <c r="N1057">
        <v>2</v>
      </c>
      <c r="O1057" t="s">
        <v>52</v>
      </c>
      <c r="P1057">
        <v>95</v>
      </c>
      <c r="Q1057">
        <v>3</v>
      </c>
      <c r="R1057">
        <v>1</v>
      </c>
      <c r="S1057" t="s">
        <v>44</v>
      </c>
      <c r="T1057">
        <v>1</v>
      </c>
      <c r="U1057" t="s">
        <v>101</v>
      </c>
      <c r="V1057">
        <v>2576</v>
      </c>
      <c r="W1057" t="s">
        <v>46</v>
      </c>
      <c r="X1057">
        <v>20490</v>
      </c>
      <c r="Y1057">
        <v>3</v>
      </c>
      <c r="Z1057" t="s">
        <v>47</v>
      </c>
      <c r="AA1057" t="s">
        <v>48</v>
      </c>
      <c r="AB1057">
        <v>16</v>
      </c>
      <c r="AC1057">
        <v>3</v>
      </c>
      <c r="AD1057">
        <v>2</v>
      </c>
      <c r="AE1057">
        <v>80</v>
      </c>
      <c r="AF1057">
        <v>1</v>
      </c>
      <c r="AG1057">
        <v>8</v>
      </c>
      <c r="AH1057">
        <v>5</v>
      </c>
      <c r="AI1057">
        <v>3</v>
      </c>
      <c r="AJ1057">
        <v>5</v>
      </c>
      <c r="AK1057">
        <v>2</v>
      </c>
      <c r="AL1057">
        <v>1</v>
      </c>
    </row>
    <row r="1058" spans="1:38" x14ac:dyDescent="0.3">
      <c r="A1058" t="s">
        <v>1127</v>
      </c>
      <c r="B1058">
        <v>42</v>
      </c>
      <c r="C1058" t="s">
        <v>800</v>
      </c>
      <c r="D1058" t="s">
        <v>48</v>
      </c>
      <c r="E1058">
        <f t="shared" si="16"/>
        <v>0</v>
      </c>
      <c r="F1058" t="s">
        <v>55</v>
      </c>
      <c r="G1058">
        <v>532</v>
      </c>
      <c r="H1058" t="s">
        <v>41</v>
      </c>
      <c r="I1058">
        <v>29</v>
      </c>
      <c r="J1058">
        <v>2</v>
      </c>
      <c r="K1058" t="s">
        <v>42</v>
      </c>
      <c r="L1058">
        <v>1</v>
      </c>
      <c r="M1058">
        <v>547</v>
      </c>
      <c r="N1058">
        <v>1</v>
      </c>
      <c r="O1058" t="s">
        <v>52</v>
      </c>
      <c r="P1058">
        <v>92</v>
      </c>
      <c r="Q1058">
        <v>3</v>
      </c>
      <c r="R1058">
        <v>2</v>
      </c>
      <c r="S1058" t="s">
        <v>59</v>
      </c>
      <c r="T1058">
        <v>3</v>
      </c>
      <c r="U1058" t="s">
        <v>101</v>
      </c>
      <c r="V1058">
        <v>4556</v>
      </c>
      <c r="W1058" t="s">
        <v>46</v>
      </c>
      <c r="X1058">
        <v>12932</v>
      </c>
      <c r="Y1058">
        <v>2</v>
      </c>
      <c r="Z1058" t="s">
        <v>47</v>
      </c>
      <c r="AA1058" t="s">
        <v>48</v>
      </c>
      <c r="AB1058">
        <v>11</v>
      </c>
      <c r="AC1058">
        <v>3</v>
      </c>
      <c r="AD1058">
        <v>2</v>
      </c>
      <c r="AE1058">
        <v>80</v>
      </c>
      <c r="AF1058">
        <v>1</v>
      </c>
      <c r="AG1058">
        <v>19</v>
      </c>
      <c r="AH1058">
        <v>3</v>
      </c>
      <c r="AI1058">
        <v>3</v>
      </c>
      <c r="AJ1058">
        <v>5</v>
      </c>
      <c r="AK1058">
        <v>4</v>
      </c>
      <c r="AL1058">
        <v>0</v>
      </c>
    </row>
    <row r="1059" spans="1:38" x14ac:dyDescent="0.3">
      <c r="A1059" t="s">
        <v>1128</v>
      </c>
      <c r="B1059">
        <v>42</v>
      </c>
      <c r="C1059" t="s">
        <v>800</v>
      </c>
      <c r="D1059" t="s">
        <v>48</v>
      </c>
      <c r="E1059">
        <f t="shared" si="16"/>
        <v>0</v>
      </c>
      <c r="F1059" t="s">
        <v>55</v>
      </c>
      <c r="G1059">
        <v>1368</v>
      </c>
      <c r="H1059" t="s">
        <v>41</v>
      </c>
      <c r="I1059">
        <v>28</v>
      </c>
      <c r="J1059">
        <v>4</v>
      </c>
      <c r="K1059" t="s">
        <v>67</v>
      </c>
      <c r="L1059">
        <v>1</v>
      </c>
      <c r="M1059">
        <v>551</v>
      </c>
      <c r="N1059">
        <v>4</v>
      </c>
      <c r="O1059" t="s">
        <v>52</v>
      </c>
      <c r="P1059">
        <v>88</v>
      </c>
      <c r="Q1059">
        <v>2</v>
      </c>
      <c r="R1059">
        <v>2</v>
      </c>
      <c r="S1059" t="s">
        <v>160</v>
      </c>
      <c r="T1059">
        <v>4</v>
      </c>
      <c r="U1059" t="s">
        <v>104</v>
      </c>
      <c r="V1059">
        <v>4523</v>
      </c>
      <c r="W1059" t="s">
        <v>46</v>
      </c>
      <c r="X1059">
        <v>4386</v>
      </c>
      <c r="Y1059">
        <v>0</v>
      </c>
      <c r="Z1059" t="s">
        <v>47</v>
      </c>
      <c r="AA1059" t="s">
        <v>48</v>
      </c>
      <c r="AB1059">
        <v>11</v>
      </c>
      <c r="AC1059">
        <v>3</v>
      </c>
      <c r="AD1059">
        <v>4</v>
      </c>
      <c r="AE1059">
        <v>80</v>
      </c>
      <c r="AF1059">
        <v>3</v>
      </c>
      <c r="AG1059">
        <v>7</v>
      </c>
      <c r="AH1059">
        <v>4</v>
      </c>
      <c r="AI1059">
        <v>4</v>
      </c>
      <c r="AJ1059">
        <v>6</v>
      </c>
      <c r="AK1059">
        <v>5</v>
      </c>
      <c r="AL1059">
        <v>0</v>
      </c>
    </row>
    <row r="1060" spans="1:38" x14ac:dyDescent="0.3">
      <c r="A1060" t="s">
        <v>1129</v>
      </c>
      <c r="B1060">
        <v>42</v>
      </c>
      <c r="C1060" t="s">
        <v>800</v>
      </c>
      <c r="D1060" t="s">
        <v>48</v>
      </c>
      <c r="E1060">
        <f t="shared" si="16"/>
        <v>0</v>
      </c>
      <c r="F1060" t="s">
        <v>55</v>
      </c>
      <c r="G1060">
        <v>1474</v>
      </c>
      <c r="H1060" t="s">
        <v>41</v>
      </c>
      <c r="I1060">
        <v>5</v>
      </c>
      <c r="J1060">
        <v>2</v>
      </c>
      <c r="K1060" t="s">
        <v>72</v>
      </c>
      <c r="L1060">
        <v>1</v>
      </c>
      <c r="M1060">
        <v>591</v>
      </c>
      <c r="N1060">
        <v>2</v>
      </c>
      <c r="O1060" t="s">
        <v>43</v>
      </c>
      <c r="P1060">
        <v>97</v>
      </c>
      <c r="Q1060">
        <v>3</v>
      </c>
      <c r="R1060">
        <v>1</v>
      </c>
      <c r="S1060" t="s">
        <v>44</v>
      </c>
      <c r="T1060">
        <v>3</v>
      </c>
      <c r="U1060" t="s">
        <v>104</v>
      </c>
      <c r="V1060">
        <v>2093</v>
      </c>
      <c r="W1060" t="s">
        <v>46</v>
      </c>
      <c r="X1060">
        <v>9260</v>
      </c>
      <c r="Y1060">
        <v>4</v>
      </c>
      <c r="Z1060" t="s">
        <v>47</v>
      </c>
      <c r="AA1060" t="s">
        <v>48</v>
      </c>
      <c r="AB1060">
        <v>17</v>
      </c>
      <c r="AC1060">
        <v>3</v>
      </c>
      <c r="AD1060">
        <v>4</v>
      </c>
      <c r="AE1060">
        <v>80</v>
      </c>
      <c r="AF1060">
        <v>1</v>
      </c>
      <c r="AG1060">
        <v>8</v>
      </c>
      <c r="AH1060">
        <v>4</v>
      </c>
      <c r="AI1060">
        <v>3</v>
      </c>
      <c r="AJ1060">
        <v>2</v>
      </c>
      <c r="AK1060">
        <v>2</v>
      </c>
      <c r="AL1060">
        <v>2</v>
      </c>
    </row>
    <row r="1061" spans="1:38" x14ac:dyDescent="0.3">
      <c r="A1061" t="s">
        <v>1130</v>
      </c>
      <c r="B1061">
        <v>42</v>
      </c>
      <c r="C1061" t="s">
        <v>800</v>
      </c>
      <c r="D1061" t="s">
        <v>48</v>
      </c>
      <c r="E1061">
        <f t="shared" si="16"/>
        <v>0</v>
      </c>
      <c r="F1061" t="s">
        <v>40</v>
      </c>
      <c r="G1061">
        <v>319</v>
      </c>
      <c r="H1061" t="s">
        <v>41</v>
      </c>
      <c r="I1061">
        <v>24</v>
      </c>
      <c r="J1061">
        <v>3</v>
      </c>
      <c r="K1061" t="s">
        <v>51</v>
      </c>
      <c r="L1061">
        <v>1</v>
      </c>
      <c r="M1061">
        <v>605</v>
      </c>
      <c r="N1061">
        <v>4</v>
      </c>
      <c r="O1061" t="s">
        <v>43</v>
      </c>
      <c r="P1061">
        <v>56</v>
      </c>
      <c r="Q1061">
        <v>3</v>
      </c>
      <c r="R1061">
        <v>3</v>
      </c>
      <c r="S1061" t="s">
        <v>111</v>
      </c>
      <c r="T1061">
        <v>1</v>
      </c>
      <c r="U1061" t="s">
        <v>104</v>
      </c>
      <c r="V1061">
        <v>7406</v>
      </c>
      <c r="W1061" t="s">
        <v>162</v>
      </c>
      <c r="X1061">
        <v>6950</v>
      </c>
      <c r="Y1061">
        <v>1</v>
      </c>
      <c r="Z1061" t="s">
        <v>47</v>
      </c>
      <c r="AA1061" t="s">
        <v>39</v>
      </c>
      <c r="AB1061">
        <v>21</v>
      </c>
      <c r="AC1061">
        <v>4</v>
      </c>
      <c r="AD1061">
        <v>4</v>
      </c>
      <c r="AE1061">
        <v>80</v>
      </c>
      <c r="AF1061">
        <v>1</v>
      </c>
      <c r="AG1061">
        <v>10</v>
      </c>
      <c r="AH1061">
        <v>5</v>
      </c>
      <c r="AI1061">
        <v>2</v>
      </c>
      <c r="AJ1061">
        <v>10</v>
      </c>
      <c r="AK1061">
        <v>9</v>
      </c>
      <c r="AL1061">
        <v>5</v>
      </c>
    </row>
    <row r="1062" spans="1:38" x14ac:dyDescent="0.3">
      <c r="A1062" t="s">
        <v>1131</v>
      </c>
      <c r="B1062">
        <v>42</v>
      </c>
      <c r="C1062" t="s">
        <v>800</v>
      </c>
      <c r="D1062" t="s">
        <v>48</v>
      </c>
      <c r="E1062">
        <f t="shared" si="16"/>
        <v>0</v>
      </c>
      <c r="F1062" t="s">
        <v>40</v>
      </c>
      <c r="G1062">
        <v>622</v>
      </c>
      <c r="H1062" t="s">
        <v>41</v>
      </c>
      <c r="I1062">
        <v>2</v>
      </c>
      <c r="J1062">
        <v>4</v>
      </c>
      <c r="K1062" t="s">
        <v>42</v>
      </c>
      <c r="L1062">
        <v>1</v>
      </c>
      <c r="M1062">
        <v>659</v>
      </c>
      <c r="N1062">
        <v>3</v>
      </c>
      <c r="O1062" t="s">
        <v>52</v>
      </c>
      <c r="P1062">
        <v>81</v>
      </c>
      <c r="Q1062">
        <v>3</v>
      </c>
      <c r="R1062">
        <v>2</v>
      </c>
      <c r="S1062" t="s">
        <v>160</v>
      </c>
      <c r="T1062">
        <v>4</v>
      </c>
      <c r="U1062" t="s">
        <v>104</v>
      </c>
      <c r="V1062">
        <v>4089</v>
      </c>
      <c r="W1062" t="s">
        <v>46</v>
      </c>
      <c r="X1062">
        <v>5718</v>
      </c>
      <c r="Y1062">
        <v>1</v>
      </c>
      <c r="Z1062" t="s">
        <v>47</v>
      </c>
      <c r="AA1062" t="s">
        <v>48</v>
      </c>
      <c r="AB1062">
        <v>13</v>
      </c>
      <c r="AC1062">
        <v>3</v>
      </c>
      <c r="AD1062">
        <v>2</v>
      </c>
      <c r="AE1062">
        <v>80</v>
      </c>
      <c r="AF1062">
        <v>2</v>
      </c>
      <c r="AG1062">
        <v>10</v>
      </c>
      <c r="AH1062">
        <v>4</v>
      </c>
      <c r="AI1062">
        <v>3</v>
      </c>
      <c r="AJ1062">
        <v>10</v>
      </c>
      <c r="AK1062">
        <v>2</v>
      </c>
      <c r="AL1062">
        <v>2</v>
      </c>
    </row>
    <row r="1063" spans="1:38" x14ac:dyDescent="0.3">
      <c r="A1063" t="s">
        <v>1132</v>
      </c>
      <c r="B1063">
        <v>42</v>
      </c>
      <c r="C1063" t="s">
        <v>800</v>
      </c>
      <c r="D1063" t="s">
        <v>39</v>
      </c>
      <c r="E1063">
        <f t="shared" si="16"/>
        <v>1</v>
      </c>
      <c r="F1063" t="s">
        <v>55</v>
      </c>
      <c r="G1063">
        <v>933</v>
      </c>
      <c r="H1063" t="s">
        <v>41</v>
      </c>
      <c r="I1063">
        <v>19</v>
      </c>
      <c r="J1063">
        <v>3</v>
      </c>
      <c r="K1063" t="s">
        <v>51</v>
      </c>
      <c r="L1063">
        <v>1</v>
      </c>
      <c r="M1063">
        <v>752</v>
      </c>
      <c r="N1063">
        <v>3</v>
      </c>
      <c r="O1063" t="s">
        <v>43</v>
      </c>
      <c r="P1063">
        <v>57</v>
      </c>
      <c r="Q1063">
        <v>4</v>
      </c>
      <c r="R1063">
        <v>1</v>
      </c>
      <c r="S1063" t="s">
        <v>59</v>
      </c>
      <c r="T1063">
        <v>3</v>
      </c>
      <c r="U1063" t="s">
        <v>101</v>
      </c>
      <c r="V1063">
        <v>2759</v>
      </c>
      <c r="W1063" t="s">
        <v>46</v>
      </c>
      <c r="X1063">
        <v>20366</v>
      </c>
      <c r="Y1063">
        <v>6</v>
      </c>
      <c r="Z1063" t="s">
        <v>47</v>
      </c>
      <c r="AA1063" t="s">
        <v>39</v>
      </c>
      <c r="AB1063">
        <v>12</v>
      </c>
      <c r="AC1063">
        <v>3</v>
      </c>
      <c r="AD1063">
        <v>4</v>
      </c>
      <c r="AE1063">
        <v>80</v>
      </c>
      <c r="AF1063">
        <v>0</v>
      </c>
      <c r="AG1063">
        <v>7</v>
      </c>
      <c r="AH1063">
        <v>2</v>
      </c>
      <c r="AI1063">
        <v>3</v>
      </c>
      <c r="AJ1063">
        <v>2</v>
      </c>
      <c r="AK1063">
        <v>2</v>
      </c>
      <c r="AL1063">
        <v>2</v>
      </c>
    </row>
    <row r="1064" spans="1:38" x14ac:dyDescent="0.3">
      <c r="A1064" t="s">
        <v>1133</v>
      </c>
      <c r="B1064">
        <v>42</v>
      </c>
      <c r="C1064" t="s">
        <v>800</v>
      </c>
      <c r="D1064" t="s">
        <v>48</v>
      </c>
      <c r="E1064">
        <f t="shared" si="16"/>
        <v>0</v>
      </c>
      <c r="F1064" t="s">
        <v>55</v>
      </c>
      <c r="G1064">
        <v>570</v>
      </c>
      <c r="H1064" t="s">
        <v>41</v>
      </c>
      <c r="I1064">
        <v>8</v>
      </c>
      <c r="J1064">
        <v>3</v>
      </c>
      <c r="K1064" t="s">
        <v>42</v>
      </c>
      <c r="L1064">
        <v>1</v>
      </c>
      <c r="M1064">
        <v>809</v>
      </c>
      <c r="N1064">
        <v>2</v>
      </c>
      <c r="O1064" t="s">
        <v>43</v>
      </c>
      <c r="P1064">
        <v>66</v>
      </c>
      <c r="Q1064">
        <v>3</v>
      </c>
      <c r="R1064">
        <v>5</v>
      </c>
      <c r="S1064" t="s">
        <v>440</v>
      </c>
      <c r="T1064">
        <v>4</v>
      </c>
      <c r="U1064" t="s">
        <v>101</v>
      </c>
      <c r="V1064">
        <v>18430</v>
      </c>
      <c r="W1064" t="s">
        <v>366</v>
      </c>
      <c r="X1064">
        <v>16225</v>
      </c>
      <c r="Y1064">
        <v>1</v>
      </c>
      <c r="Z1064" t="s">
        <v>47</v>
      </c>
      <c r="AA1064" t="s">
        <v>48</v>
      </c>
      <c r="AB1064">
        <v>13</v>
      </c>
      <c r="AC1064">
        <v>3</v>
      </c>
      <c r="AD1064">
        <v>2</v>
      </c>
      <c r="AE1064">
        <v>80</v>
      </c>
      <c r="AF1064">
        <v>1</v>
      </c>
      <c r="AG1064">
        <v>24</v>
      </c>
      <c r="AH1064">
        <v>4</v>
      </c>
      <c r="AI1064">
        <v>2</v>
      </c>
      <c r="AJ1064">
        <v>24</v>
      </c>
      <c r="AK1064">
        <v>7</v>
      </c>
      <c r="AL1064">
        <v>14</v>
      </c>
    </row>
    <row r="1065" spans="1:38" x14ac:dyDescent="0.3">
      <c r="A1065" t="s">
        <v>1134</v>
      </c>
      <c r="B1065">
        <v>42</v>
      </c>
      <c r="C1065" t="s">
        <v>800</v>
      </c>
      <c r="D1065" t="s">
        <v>48</v>
      </c>
      <c r="E1065">
        <f t="shared" si="16"/>
        <v>0</v>
      </c>
      <c r="F1065" t="s">
        <v>40</v>
      </c>
      <c r="G1065">
        <v>932</v>
      </c>
      <c r="H1065" t="s">
        <v>41</v>
      </c>
      <c r="I1065">
        <v>1</v>
      </c>
      <c r="J1065">
        <v>2</v>
      </c>
      <c r="K1065" t="s">
        <v>42</v>
      </c>
      <c r="L1065">
        <v>1</v>
      </c>
      <c r="M1065">
        <v>827</v>
      </c>
      <c r="N1065">
        <v>4</v>
      </c>
      <c r="O1065" t="s">
        <v>52</v>
      </c>
      <c r="P1065">
        <v>43</v>
      </c>
      <c r="Q1065">
        <v>2</v>
      </c>
      <c r="R1065">
        <v>2</v>
      </c>
      <c r="S1065" t="s">
        <v>111</v>
      </c>
      <c r="T1065">
        <v>4</v>
      </c>
      <c r="U1065" t="s">
        <v>104</v>
      </c>
      <c r="V1065">
        <v>6062</v>
      </c>
      <c r="W1065" t="s">
        <v>162</v>
      </c>
      <c r="X1065">
        <v>4051</v>
      </c>
      <c r="Y1065">
        <v>9</v>
      </c>
      <c r="Z1065" t="s">
        <v>47</v>
      </c>
      <c r="AA1065" t="s">
        <v>39</v>
      </c>
      <c r="AB1065">
        <v>13</v>
      </c>
      <c r="AC1065">
        <v>3</v>
      </c>
      <c r="AD1065">
        <v>4</v>
      </c>
      <c r="AE1065">
        <v>80</v>
      </c>
      <c r="AF1065">
        <v>1</v>
      </c>
      <c r="AG1065">
        <v>8</v>
      </c>
      <c r="AH1065">
        <v>4</v>
      </c>
      <c r="AI1065">
        <v>3</v>
      </c>
      <c r="AJ1065">
        <v>4</v>
      </c>
      <c r="AK1065">
        <v>3</v>
      </c>
      <c r="AL1065">
        <v>0</v>
      </c>
    </row>
    <row r="1066" spans="1:38" x14ac:dyDescent="0.3">
      <c r="A1066" t="s">
        <v>1135</v>
      </c>
      <c r="B1066">
        <v>42</v>
      </c>
      <c r="C1066" t="s">
        <v>800</v>
      </c>
      <c r="D1066" t="s">
        <v>48</v>
      </c>
      <c r="E1066">
        <f t="shared" si="16"/>
        <v>0</v>
      </c>
      <c r="F1066" t="s">
        <v>40</v>
      </c>
      <c r="G1066">
        <v>933</v>
      </c>
      <c r="H1066" t="s">
        <v>41</v>
      </c>
      <c r="I1066">
        <v>29</v>
      </c>
      <c r="J1066">
        <v>3</v>
      </c>
      <c r="K1066" t="s">
        <v>42</v>
      </c>
      <c r="L1066">
        <v>1</v>
      </c>
      <c r="M1066">
        <v>836</v>
      </c>
      <c r="N1066">
        <v>2</v>
      </c>
      <c r="O1066" t="s">
        <v>43</v>
      </c>
      <c r="P1066">
        <v>98</v>
      </c>
      <c r="Q1066">
        <v>3</v>
      </c>
      <c r="R1066">
        <v>2</v>
      </c>
      <c r="S1066" t="s">
        <v>111</v>
      </c>
      <c r="T1066">
        <v>2</v>
      </c>
      <c r="U1066" t="s">
        <v>104</v>
      </c>
      <c r="V1066">
        <v>4434</v>
      </c>
      <c r="W1066" t="s">
        <v>46</v>
      </c>
      <c r="X1066">
        <v>11806</v>
      </c>
      <c r="Y1066">
        <v>1</v>
      </c>
      <c r="Z1066" t="s">
        <v>47</v>
      </c>
      <c r="AA1066" t="s">
        <v>48</v>
      </c>
      <c r="AB1066">
        <v>13</v>
      </c>
      <c r="AC1066">
        <v>3</v>
      </c>
      <c r="AD1066">
        <v>4</v>
      </c>
      <c r="AE1066">
        <v>80</v>
      </c>
      <c r="AF1066">
        <v>1</v>
      </c>
      <c r="AG1066">
        <v>10</v>
      </c>
      <c r="AH1066">
        <v>3</v>
      </c>
      <c r="AI1066">
        <v>2</v>
      </c>
      <c r="AJ1066">
        <v>9</v>
      </c>
      <c r="AK1066">
        <v>8</v>
      </c>
      <c r="AL1066">
        <v>7</v>
      </c>
    </row>
    <row r="1067" spans="1:38" x14ac:dyDescent="0.3">
      <c r="A1067" t="s">
        <v>1136</v>
      </c>
      <c r="B1067">
        <v>42</v>
      </c>
      <c r="C1067" t="s">
        <v>800</v>
      </c>
      <c r="D1067" t="s">
        <v>48</v>
      </c>
      <c r="E1067">
        <f t="shared" si="16"/>
        <v>0</v>
      </c>
      <c r="F1067" t="s">
        <v>55</v>
      </c>
      <c r="G1067">
        <v>1271</v>
      </c>
      <c r="H1067" t="s">
        <v>41</v>
      </c>
      <c r="I1067">
        <v>2</v>
      </c>
      <c r="J1067">
        <v>1</v>
      </c>
      <c r="K1067" t="s">
        <v>51</v>
      </c>
      <c r="L1067">
        <v>1</v>
      </c>
      <c r="M1067">
        <v>875</v>
      </c>
      <c r="N1067">
        <v>2</v>
      </c>
      <c r="O1067" t="s">
        <v>43</v>
      </c>
      <c r="P1067">
        <v>35</v>
      </c>
      <c r="Q1067">
        <v>3</v>
      </c>
      <c r="R1067">
        <v>1</v>
      </c>
      <c r="S1067" t="s">
        <v>59</v>
      </c>
      <c r="T1067">
        <v>4</v>
      </c>
      <c r="U1067" t="s">
        <v>45</v>
      </c>
      <c r="V1067">
        <v>2515</v>
      </c>
      <c r="W1067" t="s">
        <v>46</v>
      </c>
      <c r="X1067">
        <v>9068</v>
      </c>
      <c r="Y1067">
        <v>5</v>
      </c>
      <c r="Z1067" t="s">
        <v>47</v>
      </c>
      <c r="AA1067" t="s">
        <v>39</v>
      </c>
      <c r="AB1067">
        <v>14</v>
      </c>
      <c r="AC1067">
        <v>3</v>
      </c>
      <c r="AD1067">
        <v>4</v>
      </c>
      <c r="AE1067">
        <v>80</v>
      </c>
      <c r="AF1067">
        <v>0</v>
      </c>
      <c r="AG1067">
        <v>8</v>
      </c>
      <c r="AH1067">
        <v>2</v>
      </c>
      <c r="AI1067">
        <v>3</v>
      </c>
      <c r="AJ1067">
        <v>2</v>
      </c>
      <c r="AK1067">
        <v>1</v>
      </c>
      <c r="AL1067">
        <v>2</v>
      </c>
    </row>
    <row r="1068" spans="1:38" x14ac:dyDescent="0.3">
      <c r="A1068" t="s">
        <v>1137</v>
      </c>
      <c r="B1068">
        <v>42</v>
      </c>
      <c r="C1068" t="s">
        <v>800</v>
      </c>
      <c r="D1068" t="s">
        <v>48</v>
      </c>
      <c r="E1068">
        <f t="shared" si="16"/>
        <v>0</v>
      </c>
      <c r="F1068" t="s">
        <v>40</v>
      </c>
      <c r="G1068">
        <v>1265</v>
      </c>
      <c r="H1068" t="s">
        <v>41</v>
      </c>
      <c r="I1068">
        <v>3</v>
      </c>
      <c r="J1068">
        <v>3</v>
      </c>
      <c r="K1068" t="s">
        <v>42</v>
      </c>
      <c r="L1068">
        <v>1</v>
      </c>
      <c r="M1068">
        <v>894</v>
      </c>
      <c r="N1068">
        <v>3</v>
      </c>
      <c r="O1068" t="s">
        <v>52</v>
      </c>
      <c r="P1068">
        <v>95</v>
      </c>
      <c r="Q1068">
        <v>4</v>
      </c>
      <c r="R1068">
        <v>2</v>
      </c>
      <c r="S1068" t="s">
        <v>44</v>
      </c>
      <c r="T1068">
        <v>4</v>
      </c>
      <c r="U1068" t="s">
        <v>104</v>
      </c>
      <c r="V1068">
        <v>5231</v>
      </c>
      <c r="W1068" t="s">
        <v>162</v>
      </c>
      <c r="X1068">
        <v>23726</v>
      </c>
      <c r="Y1068">
        <v>2</v>
      </c>
      <c r="Z1068" t="s">
        <v>47</v>
      </c>
      <c r="AA1068" t="s">
        <v>39</v>
      </c>
      <c r="AB1068">
        <v>13</v>
      </c>
      <c r="AC1068">
        <v>3</v>
      </c>
      <c r="AD1068">
        <v>2</v>
      </c>
      <c r="AE1068">
        <v>80</v>
      </c>
      <c r="AF1068">
        <v>1</v>
      </c>
      <c r="AG1068">
        <v>17</v>
      </c>
      <c r="AH1068">
        <v>1</v>
      </c>
      <c r="AI1068">
        <v>2</v>
      </c>
      <c r="AJ1068">
        <v>5</v>
      </c>
      <c r="AK1068">
        <v>3</v>
      </c>
      <c r="AL1068">
        <v>1</v>
      </c>
    </row>
    <row r="1069" spans="1:38" x14ac:dyDescent="0.3">
      <c r="A1069" t="s">
        <v>1138</v>
      </c>
      <c r="B1069">
        <v>42</v>
      </c>
      <c r="C1069" t="s">
        <v>800</v>
      </c>
      <c r="D1069" t="s">
        <v>48</v>
      </c>
      <c r="E1069">
        <f t="shared" si="16"/>
        <v>0</v>
      </c>
      <c r="F1069" t="s">
        <v>40</v>
      </c>
      <c r="G1069">
        <v>462</v>
      </c>
      <c r="H1069" t="s">
        <v>50</v>
      </c>
      <c r="I1069">
        <v>14</v>
      </c>
      <c r="J1069">
        <v>2</v>
      </c>
      <c r="K1069" t="s">
        <v>51</v>
      </c>
      <c r="L1069">
        <v>1</v>
      </c>
      <c r="M1069">
        <v>936</v>
      </c>
      <c r="N1069">
        <v>3</v>
      </c>
      <c r="O1069" t="s">
        <v>52</v>
      </c>
      <c r="P1069">
        <v>68</v>
      </c>
      <c r="Q1069">
        <v>2</v>
      </c>
      <c r="R1069">
        <v>2</v>
      </c>
      <c r="S1069" t="s">
        <v>136</v>
      </c>
      <c r="T1069">
        <v>3</v>
      </c>
      <c r="U1069" t="s">
        <v>45</v>
      </c>
      <c r="V1069">
        <v>6244</v>
      </c>
      <c r="W1069" t="s">
        <v>162</v>
      </c>
      <c r="X1069">
        <v>7824</v>
      </c>
      <c r="Y1069">
        <v>7</v>
      </c>
      <c r="Z1069" t="s">
        <v>47</v>
      </c>
      <c r="AA1069" t="s">
        <v>48</v>
      </c>
      <c r="AB1069">
        <v>17</v>
      </c>
      <c r="AC1069">
        <v>3</v>
      </c>
      <c r="AD1069">
        <v>1</v>
      </c>
      <c r="AE1069">
        <v>80</v>
      </c>
      <c r="AF1069">
        <v>0</v>
      </c>
      <c r="AG1069">
        <v>10</v>
      </c>
      <c r="AH1069">
        <v>6</v>
      </c>
      <c r="AI1069">
        <v>3</v>
      </c>
      <c r="AJ1069">
        <v>5</v>
      </c>
      <c r="AK1069">
        <v>4</v>
      </c>
      <c r="AL1069">
        <v>0</v>
      </c>
    </row>
    <row r="1070" spans="1:38" x14ac:dyDescent="0.3">
      <c r="A1070" t="s">
        <v>1139</v>
      </c>
      <c r="B1070">
        <v>42</v>
      </c>
      <c r="C1070" t="s">
        <v>800</v>
      </c>
      <c r="D1070" t="s">
        <v>48</v>
      </c>
      <c r="E1070">
        <f t="shared" si="16"/>
        <v>0</v>
      </c>
      <c r="F1070" t="s">
        <v>40</v>
      </c>
      <c r="G1070">
        <v>265</v>
      </c>
      <c r="H1070" t="s">
        <v>50</v>
      </c>
      <c r="I1070">
        <v>5</v>
      </c>
      <c r="J1070">
        <v>2</v>
      </c>
      <c r="K1070" t="s">
        <v>56</v>
      </c>
      <c r="L1070">
        <v>1</v>
      </c>
      <c r="M1070">
        <v>1029</v>
      </c>
      <c r="N1070">
        <v>4</v>
      </c>
      <c r="O1070" t="s">
        <v>43</v>
      </c>
      <c r="P1070">
        <v>90</v>
      </c>
      <c r="Q1070">
        <v>3</v>
      </c>
      <c r="R1070">
        <v>5</v>
      </c>
      <c r="S1070" t="s">
        <v>440</v>
      </c>
      <c r="T1070">
        <v>3</v>
      </c>
      <c r="U1070" t="s">
        <v>104</v>
      </c>
      <c r="V1070">
        <v>18303</v>
      </c>
      <c r="W1070" t="s">
        <v>366</v>
      </c>
      <c r="X1070">
        <v>7770</v>
      </c>
      <c r="Y1070">
        <v>6</v>
      </c>
      <c r="Z1070" t="s">
        <v>47</v>
      </c>
      <c r="AA1070" t="s">
        <v>48</v>
      </c>
      <c r="AB1070">
        <v>13</v>
      </c>
      <c r="AC1070">
        <v>3</v>
      </c>
      <c r="AD1070">
        <v>2</v>
      </c>
      <c r="AE1070">
        <v>80</v>
      </c>
      <c r="AF1070">
        <v>0</v>
      </c>
      <c r="AG1070">
        <v>21</v>
      </c>
      <c r="AH1070">
        <v>3</v>
      </c>
      <c r="AI1070">
        <v>4</v>
      </c>
      <c r="AJ1070">
        <v>1</v>
      </c>
      <c r="AK1070">
        <v>0</v>
      </c>
      <c r="AL1070">
        <v>0</v>
      </c>
    </row>
    <row r="1071" spans="1:38" x14ac:dyDescent="0.3">
      <c r="A1071" t="s">
        <v>1140</v>
      </c>
      <c r="B1071">
        <v>42</v>
      </c>
      <c r="C1071" t="s">
        <v>800</v>
      </c>
      <c r="D1071" t="s">
        <v>48</v>
      </c>
      <c r="E1071">
        <f t="shared" si="16"/>
        <v>0</v>
      </c>
      <c r="F1071" t="s">
        <v>40</v>
      </c>
      <c r="G1071">
        <v>469</v>
      </c>
      <c r="H1071" t="s">
        <v>41</v>
      </c>
      <c r="I1071">
        <v>2</v>
      </c>
      <c r="J1071">
        <v>2</v>
      </c>
      <c r="K1071" t="s">
        <v>51</v>
      </c>
      <c r="L1071">
        <v>1</v>
      </c>
      <c r="M1071">
        <v>1109</v>
      </c>
      <c r="N1071">
        <v>4</v>
      </c>
      <c r="O1071" t="s">
        <v>43</v>
      </c>
      <c r="P1071">
        <v>35</v>
      </c>
      <c r="Q1071">
        <v>3</v>
      </c>
      <c r="R1071">
        <v>4</v>
      </c>
      <c r="S1071" t="s">
        <v>440</v>
      </c>
      <c r="T1071">
        <v>1</v>
      </c>
      <c r="U1071" t="s">
        <v>104</v>
      </c>
      <c r="V1071">
        <v>17665</v>
      </c>
      <c r="W1071" t="s">
        <v>366</v>
      </c>
      <c r="X1071">
        <v>14399</v>
      </c>
      <c r="Y1071">
        <v>0</v>
      </c>
      <c r="Z1071" t="s">
        <v>47</v>
      </c>
      <c r="AA1071" t="s">
        <v>48</v>
      </c>
      <c r="AB1071">
        <v>17</v>
      </c>
      <c r="AC1071">
        <v>3</v>
      </c>
      <c r="AD1071">
        <v>4</v>
      </c>
      <c r="AE1071">
        <v>80</v>
      </c>
      <c r="AF1071">
        <v>1</v>
      </c>
      <c r="AG1071">
        <v>23</v>
      </c>
      <c r="AH1071">
        <v>3</v>
      </c>
      <c r="AI1071">
        <v>3</v>
      </c>
      <c r="AJ1071">
        <v>22</v>
      </c>
      <c r="AK1071">
        <v>6</v>
      </c>
      <c r="AL1071">
        <v>13</v>
      </c>
    </row>
    <row r="1072" spans="1:38" x14ac:dyDescent="0.3">
      <c r="A1072" t="s">
        <v>1141</v>
      </c>
      <c r="B1072">
        <v>42</v>
      </c>
      <c r="C1072" t="s">
        <v>800</v>
      </c>
      <c r="D1072" t="s">
        <v>48</v>
      </c>
      <c r="E1072">
        <f t="shared" si="16"/>
        <v>0</v>
      </c>
      <c r="F1072" t="s">
        <v>40</v>
      </c>
      <c r="G1072">
        <v>188</v>
      </c>
      <c r="H1072" t="s">
        <v>41</v>
      </c>
      <c r="I1072">
        <v>29</v>
      </c>
      <c r="J1072">
        <v>3</v>
      </c>
      <c r="K1072" t="s">
        <v>51</v>
      </c>
      <c r="L1072">
        <v>1</v>
      </c>
      <c r="M1072">
        <v>1148</v>
      </c>
      <c r="N1072">
        <v>2</v>
      </c>
      <c r="O1072" t="s">
        <v>43</v>
      </c>
      <c r="P1072">
        <v>56</v>
      </c>
      <c r="Q1072">
        <v>1</v>
      </c>
      <c r="R1072">
        <v>2</v>
      </c>
      <c r="S1072" t="s">
        <v>44</v>
      </c>
      <c r="T1072">
        <v>4</v>
      </c>
      <c r="U1072" t="s">
        <v>45</v>
      </c>
      <c r="V1072">
        <v>4272</v>
      </c>
      <c r="W1072" t="s">
        <v>46</v>
      </c>
      <c r="X1072">
        <v>9558</v>
      </c>
      <c r="Y1072">
        <v>4</v>
      </c>
      <c r="Z1072" t="s">
        <v>47</v>
      </c>
      <c r="AA1072" t="s">
        <v>48</v>
      </c>
      <c r="AB1072">
        <v>19</v>
      </c>
      <c r="AC1072">
        <v>3</v>
      </c>
      <c r="AD1072">
        <v>1</v>
      </c>
      <c r="AE1072">
        <v>80</v>
      </c>
      <c r="AF1072">
        <v>0</v>
      </c>
      <c r="AG1072">
        <v>16</v>
      </c>
      <c r="AH1072">
        <v>3</v>
      </c>
      <c r="AI1072">
        <v>3</v>
      </c>
      <c r="AJ1072">
        <v>1</v>
      </c>
      <c r="AK1072">
        <v>0</v>
      </c>
      <c r="AL1072">
        <v>0</v>
      </c>
    </row>
    <row r="1073" spans="1:38" x14ac:dyDescent="0.3">
      <c r="A1073" t="s">
        <v>1142</v>
      </c>
      <c r="B1073">
        <v>42</v>
      </c>
      <c r="C1073" t="s">
        <v>800</v>
      </c>
      <c r="D1073" t="s">
        <v>39</v>
      </c>
      <c r="E1073">
        <f t="shared" si="16"/>
        <v>1</v>
      </c>
      <c r="F1073" t="s">
        <v>55</v>
      </c>
      <c r="G1073">
        <v>481</v>
      </c>
      <c r="H1073" t="s">
        <v>50</v>
      </c>
      <c r="I1073">
        <v>12</v>
      </c>
      <c r="J1073">
        <v>3</v>
      </c>
      <c r="K1073" t="s">
        <v>42</v>
      </c>
      <c r="L1073">
        <v>1</v>
      </c>
      <c r="M1073">
        <v>1167</v>
      </c>
      <c r="N1073">
        <v>3</v>
      </c>
      <c r="O1073" t="s">
        <v>43</v>
      </c>
      <c r="P1073">
        <v>44</v>
      </c>
      <c r="Q1073">
        <v>3</v>
      </c>
      <c r="R1073">
        <v>4</v>
      </c>
      <c r="S1073" t="s">
        <v>136</v>
      </c>
      <c r="T1073">
        <v>1</v>
      </c>
      <c r="U1073" t="s">
        <v>45</v>
      </c>
      <c r="V1073">
        <v>13758</v>
      </c>
      <c r="W1073" t="s">
        <v>252</v>
      </c>
      <c r="X1073">
        <v>2447</v>
      </c>
      <c r="Y1073">
        <v>0</v>
      </c>
      <c r="Z1073" t="s">
        <v>47</v>
      </c>
      <c r="AA1073" t="s">
        <v>39</v>
      </c>
      <c r="AB1073">
        <v>12</v>
      </c>
      <c r="AC1073">
        <v>3</v>
      </c>
      <c r="AD1073">
        <v>2</v>
      </c>
      <c r="AE1073">
        <v>80</v>
      </c>
      <c r="AF1073">
        <v>0</v>
      </c>
      <c r="AG1073">
        <v>22</v>
      </c>
      <c r="AH1073">
        <v>2</v>
      </c>
      <c r="AI1073">
        <v>2</v>
      </c>
      <c r="AJ1073">
        <v>21</v>
      </c>
      <c r="AK1073">
        <v>9</v>
      </c>
      <c r="AL1073">
        <v>13</v>
      </c>
    </row>
    <row r="1074" spans="1:38" x14ac:dyDescent="0.3">
      <c r="A1074" t="s">
        <v>1143</v>
      </c>
      <c r="B1074">
        <v>42</v>
      </c>
      <c r="C1074" t="s">
        <v>800</v>
      </c>
      <c r="D1074" t="s">
        <v>48</v>
      </c>
      <c r="E1074">
        <f t="shared" si="16"/>
        <v>0</v>
      </c>
      <c r="F1074" t="s">
        <v>40</v>
      </c>
      <c r="G1074">
        <v>647</v>
      </c>
      <c r="H1074" t="s">
        <v>50</v>
      </c>
      <c r="I1074">
        <v>4</v>
      </c>
      <c r="J1074">
        <v>4</v>
      </c>
      <c r="K1074" t="s">
        <v>56</v>
      </c>
      <c r="L1074">
        <v>1</v>
      </c>
      <c r="M1074">
        <v>1171</v>
      </c>
      <c r="N1074">
        <v>2</v>
      </c>
      <c r="O1074" t="s">
        <v>43</v>
      </c>
      <c r="P1074">
        <v>45</v>
      </c>
      <c r="Q1074">
        <v>3</v>
      </c>
      <c r="R1074">
        <v>2</v>
      </c>
      <c r="S1074" t="s">
        <v>136</v>
      </c>
      <c r="T1074">
        <v>1</v>
      </c>
      <c r="U1074" t="s">
        <v>45</v>
      </c>
      <c r="V1074">
        <v>5155</v>
      </c>
      <c r="W1074" t="s">
        <v>162</v>
      </c>
      <c r="X1074">
        <v>2253</v>
      </c>
      <c r="Y1074">
        <v>7</v>
      </c>
      <c r="Z1074" t="s">
        <v>47</v>
      </c>
      <c r="AA1074" t="s">
        <v>48</v>
      </c>
      <c r="AB1074">
        <v>13</v>
      </c>
      <c r="AC1074">
        <v>3</v>
      </c>
      <c r="AD1074">
        <v>4</v>
      </c>
      <c r="AE1074">
        <v>80</v>
      </c>
      <c r="AF1074">
        <v>0</v>
      </c>
      <c r="AG1074">
        <v>9</v>
      </c>
      <c r="AH1074">
        <v>3</v>
      </c>
      <c r="AI1074">
        <v>4</v>
      </c>
      <c r="AJ1074">
        <v>6</v>
      </c>
      <c r="AK1074">
        <v>4</v>
      </c>
      <c r="AL1074">
        <v>1</v>
      </c>
    </row>
    <row r="1075" spans="1:38" x14ac:dyDescent="0.3">
      <c r="A1075" t="s">
        <v>1144</v>
      </c>
      <c r="B1075">
        <v>42</v>
      </c>
      <c r="C1075" t="s">
        <v>800</v>
      </c>
      <c r="D1075" t="s">
        <v>48</v>
      </c>
      <c r="E1075">
        <f t="shared" si="16"/>
        <v>0</v>
      </c>
      <c r="F1075" t="s">
        <v>58</v>
      </c>
      <c r="G1075">
        <v>179</v>
      </c>
      <c r="H1075" t="s">
        <v>70</v>
      </c>
      <c r="I1075">
        <v>2</v>
      </c>
      <c r="J1075">
        <v>5</v>
      </c>
      <c r="K1075" t="s">
        <v>51</v>
      </c>
      <c r="L1075">
        <v>1</v>
      </c>
      <c r="M1075">
        <v>1231</v>
      </c>
      <c r="N1075">
        <v>4</v>
      </c>
      <c r="O1075" t="s">
        <v>43</v>
      </c>
      <c r="P1075">
        <v>79</v>
      </c>
      <c r="Q1075">
        <v>4</v>
      </c>
      <c r="R1075">
        <v>2</v>
      </c>
      <c r="S1075" t="s">
        <v>70</v>
      </c>
      <c r="T1075">
        <v>1</v>
      </c>
      <c r="U1075" t="s">
        <v>104</v>
      </c>
      <c r="V1075">
        <v>6272</v>
      </c>
      <c r="W1075" t="s">
        <v>162</v>
      </c>
      <c r="X1075">
        <v>12858</v>
      </c>
      <c r="Y1075">
        <v>7</v>
      </c>
      <c r="Z1075" t="s">
        <v>47</v>
      </c>
      <c r="AA1075" t="s">
        <v>48</v>
      </c>
      <c r="AB1075">
        <v>16</v>
      </c>
      <c r="AC1075">
        <v>3</v>
      </c>
      <c r="AD1075">
        <v>1</v>
      </c>
      <c r="AE1075">
        <v>80</v>
      </c>
      <c r="AF1075">
        <v>1</v>
      </c>
      <c r="AG1075">
        <v>10</v>
      </c>
      <c r="AH1075">
        <v>3</v>
      </c>
      <c r="AI1075">
        <v>4</v>
      </c>
      <c r="AJ1075">
        <v>4</v>
      </c>
      <c r="AK1075">
        <v>3</v>
      </c>
      <c r="AL1075">
        <v>0</v>
      </c>
    </row>
    <row r="1076" spans="1:38" x14ac:dyDescent="0.3">
      <c r="A1076" t="s">
        <v>1145</v>
      </c>
      <c r="B1076">
        <v>42</v>
      </c>
      <c r="C1076" t="s">
        <v>800</v>
      </c>
      <c r="D1076" t="s">
        <v>48</v>
      </c>
      <c r="E1076">
        <f t="shared" si="16"/>
        <v>0</v>
      </c>
      <c r="F1076" t="s">
        <v>55</v>
      </c>
      <c r="G1076">
        <v>458</v>
      </c>
      <c r="H1076" t="s">
        <v>41</v>
      </c>
      <c r="I1076">
        <v>26</v>
      </c>
      <c r="J1076">
        <v>5</v>
      </c>
      <c r="K1076" t="s">
        <v>51</v>
      </c>
      <c r="L1076">
        <v>1</v>
      </c>
      <c r="M1076">
        <v>1242</v>
      </c>
      <c r="N1076">
        <v>1</v>
      </c>
      <c r="O1076" t="s">
        <v>52</v>
      </c>
      <c r="P1076">
        <v>60</v>
      </c>
      <c r="Q1076">
        <v>3</v>
      </c>
      <c r="R1076">
        <v>3</v>
      </c>
      <c r="S1076" t="s">
        <v>251</v>
      </c>
      <c r="T1076">
        <v>1</v>
      </c>
      <c r="U1076" t="s">
        <v>104</v>
      </c>
      <c r="V1076">
        <v>13191</v>
      </c>
      <c r="W1076" t="s">
        <v>252</v>
      </c>
      <c r="X1076">
        <v>23281</v>
      </c>
      <c r="Y1076">
        <v>3</v>
      </c>
      <c r="Z1076" t="s">
        <v>47</v>
      </c>
      <c r="AA1076" t="s">
        <v>39</v>
      </c>
      <c r="AB1076">
        <v>17</v>
      </c>
      <c r="AC1076">
        <v>3</v>
      </c>
      <c r="AD1076">
        <v>3</v>
      </c>
      <c r="AE1076">
        <v>80</v>
      </c>
      <c r="AF1076">
        <v>0</v>
      </c>
      <c r="AG1076">
        <v>20</v>
      </c>
      <c r="AH1076">
        <v>6</v>
      </c>
      <c r="AI1076">
        <v>3</v>
      </c>
      <c r="AJ1076">
        <v>1</v>
      </c>
      <c r="AK1076">
        <v>0</v>
      </c>
      <c r="AL1076">
        <v>0</v>
      </c>
    </row>
    <row r="1077" spans="1:38" x14ac:dyDescent="0.3">
      <c r="A1077" t="s">
        <v>1146</v>
      </c>
      <c r="B1077">
        <v>42</v>
      </c>
      <c r="C1077" t="s">
        <v>800</v>
      </c>
      <c r="D1077" t="s">
        <v>48</v>
      </c>
      <c r="E1077">
        <f t="shared" si="16"/>
        <v>0</v>
      </c>
      <c r="F1077" t="s">
        <v>40</v>
      </c>
      <c r="G1077">
        <v>603</v>
      </c>
      <c r="H1077" t="s">
        <v>41</v>
      </c>
      <c r="I1077">
        <v>7</v>
      </c>
      <c r="J1077">
        <v>4</v>
      </c>
      <c r="K1077" t="s">
        <v>51</v>
      </c>
      <c r="L1077">
        <v>1</v>
      </c>
      <c r="M1077">
        <v>1292</v>
      </c>
      <c r="N1077">
        <v>2</v>
      </c>
      <c r="O1077" t="s">
        <v>52</v>
      </c>
      <c r="P1077">
        <v>78</v>
      </c>
      <c r="Q1077">
        <v>4</v>
      </c>
      <c r="R1077">
        <v>2</v>
      </c>
      <c r="S1077" t="s">
        <v>59</v>
      </c>
      <c r="T1077">
        <v>2</v>
      </c>
      <c r="U1077" t="s">
        <v>104</v>
      </c>
      <c r="V1077">
        <v>2372</v>
      </c>
      <c r="W1077" t="s">
        <v>46</v>
      </c>
      <c r="X1077">
        <v>5628</v>
      </c>
      <c r="Y1077">
        <v>6</v>
      </c>
      <c r="Z1077" t="s">
        <v>47</v>
      </c>
      <c r="AA1077" t="s">
        <v>39</v>
      </c>
      <c r="AB1077">
        <v>16</v>
      </c>
      <c r="AC1077">
        <v>3</v>
      </c>
      <c r="AD1077">
        <v>4</v>
      </c>
      <c r="AE1077">
        <v>80</v>
      </c>
      <c r="AF1077">
        <v>0</v>
      </c>
      <c r="AG1077">
        <v>18</v>
      </c>
      <c r="AH1077">
        <v>2</v>
      </c>
      <c r="AI1077">
        <v>3</v>
      </c>
      <c r="AJ1077">
        <v>1</v>
      </c>
      <c r="AK1077">
        <v>0</v>
      </c>
      <c r="AL1077">
        <v>0</v>
      </c>
    </row>
    <row r="1078" spans="1:38" x14ac:dyDescent="0.3">
      <c r="A1078" t="s">
        <v>1147</v>
      </c>
      <c r="B1078">
        <v>42</v>
      </c>
      <c r="C1078" t="s">
        <v>800</v>
      </c>
      <c r="D1078" t="s">
        <v>48</v>
      </c>
      <c r="E1078">
        <f t="shared" si="16"/>
        <v>0</v>
      </c>
      <c r="F1078" t="s">
        <v>58</v>
      </c>
      <c r="G1078">
        <v>495</v>
      </c>
      <c r="H1078" t="s">
        <v>41</v>
      </c>
      <c r="I1078">
        <v>2</v>
      </c>
      <c r="J1078">
        <v>1</v>
      </c>
      <c r="K1078" t="s">
        <v>42</v>
      </c>
      <c r="L1078">
        <v>1</v>
      </c>
      <c r="M1078">
        <v>1334</v>
      </c>
      <c r="N1078">
        <v>3</v>
      </c>
      <c r="O1078" t="s">
        <v>43</v>
      </c>
      <c r="P1078">
        <v>37</v>
      </c>
      <c r="Q1078">
        <v>3</v>
      </c>
      <c r="R1078">
        <v>4</v>
      </c>
      <c r="S1078" t="s">
        <v>440</v>
      </c>
      <c r="T1078">
        <v>3</v>
      </c>
      <c r="U1078" t="s">
        <v>104</v>
      </c>
      <c r="V1078">
        <v>17861</v>
      </c>
      <c r="W1078" t="s">
        <v>366</v>
      </c>
      <c r="X1078">
        <v>26582</v>
      </c>
      <c r="Y1078">
        <v>0</v>
      </c>
      <c r="Z1078" t="s">
        <v>47</v>
      </c>
      <c r="AA1078" t="s">
        <v>39</v>
      </c>
      <c r="AB1078">
        <v>13</v>
      </c>
      <c r="AC1078">
        <v>3</v>
      </c>
      <c r="AD1078">
        <v>4</v>
      </c>
      <c r="AE1078">
        <v>80</v>
      </c>
      <c r="AF1078">
        <v>0</v>
      </c>
      <c r="AG1078">
        <v>21</v>
      </c>
      <c r="AH1078">
        <v>3</v>
      </c>
      <c r="AI1078">
        <v>2</v>
      </c>
      <c r="AJ1078">
        <v>20</v>
      </c>
      <c r="AK1078">
        <v>8</v>
      </c>
      <c r="AL1078">
        <v>2</v>
      </c>
    </row>
    <row r="1079" spans="1:38" x14ac:dyDescent="0.3">
      <c r="A1079" t="s">
        <v>1148</v>
      </c>
      <c r="B1079">
        <v>42</v>
      </c>
      <c r="C1079" t="s">
        <v>800</v>
      </c>
      <c r="D1079" t="s">
        <v>48</v>
      </c>
      <c r="E1079">
        <f t="shared" si="16"/>
        <v>0</v>
      </c>
      <c r="F1079" t="s">
        <v>40</v>
      </c>
      <c r="G1079">
        <v>1147</v>
      </c>
      <c r="H1079" t="s">
        <v>70</v>
      </c>
      <c r="I1079">
        <v>10</v>
      </c>
      <c r="J1079">
        <v>3</v>
      </c>
      <c r="K1079" t="s">
        <v>70</v>
      </c>
      <c r="L1079">
        <v>1</v>
      </c>
      <c r="M1079">
        <v>1408</v>
      </c>
      <c r="N1079">
        <v>3</v>
      </c>
      <c r="O1079" t="s">
        <v>52</v>
      </c>
      <c r="P1079">
        <v>31</v>
      </c>
      <c r="Q1079">
        <v>3</v>
      </c>
      <c r="R1079">
        <v>4</v>
      </c>
      <c r="S1079" t="s">
        <v>440</v>
      </c>
      <c r="T1079">
        <v>1</v>
      </c>
      <c r="U1079" t="s">
        <v>104</v>
      </c>
      <c r="V1079">
        <v>16799</v>
      </c>
      <c r="W1079" t="s">
        <v>366</v>
      </c>
      <c r="X1079">
        <v>16616</v>
      </c>
      <c r="Y1079">
        <v>0</v>
      </c>
      <c r="Z1079" t="s">
        <v>47</v>
      </c>
      <c r="AA1079" t="s">
        <v>48</v>
      </c>
      <c r="AB1079">
        <v>14</v>
      </c>
      <c r="AC1079">
        <v>3</v>
      </c>
      <c r="AD1079">
        <v>3</v>
      </c>
      <c r="AE1079">
        <v>80</v>
      </c>
      <c r="AF1079">
        <v>1</v>
      </c>
      <c r="AG1079">
        <v>21</v>
      </c>
      <c r="AH1079">
        <v>5</v>
      </c>
      <c r="AI1079">
        <v>3</v>
      </c>
      <c r="AJ1079">
        <v>20</v>
      </c>
      <c r="AK1079">
        <v>7</v>
      </c>
      <c r="AL1079">
        <v>0</v>
      </c>
    </row>
    <row r="1080" spans="1:38" x14ac:dyDescent="0.3">
      <c r="A1080" t="s">
        <v>1149</v>
      </c>
      <c r="B1080">
        <v>42</v>
      </c>
      <c r="C1080" t="s">
        <v>800</v>
      </c>
      <c r="D1080" t="s">
        <v>48</v>
      </c>
      <c r="E1080">
        <f t="shared" si="16"/>
        <v>0</v>
      </c>
      <c r="F1080" t="s">
        <v>55</v>
      </c>
      <c r="G1080">
        <v>748</v>
      </c>
      <c r="H1080" t="s">
        <v>41</v>
      </c>
      <c r="I1080">
        <v>9</v>
      </c>
      <c r="J1080">
        <v>2</v>
      </c>
      <c r="K1080" t="s">
        <v>51</v>
      </c>
      <c r="L1080">
        <v>1</v>
      </c>
      <c r="M1080">
        <v>1480</v>
      </c>
      <c r="N1080">
        <v>1</v>
      </c>
      <c r="O1080" t="s">
        <v>52</v>
      </c>
      <c r="P1080">
        <v>74</v>
      </c>
      <c r="Q1080">
        <v>3</v>
      </c>
      <c r="R1080">
        <v>1</v>
      </c>
      <c r="S1080" t="s">
        <v>44</v>
      </c>
      <c r="T1080">
        <v>4</v>
      </c>
      <c r="U1080" t="s">
        <v>45</v>
      </c>
      <c r="V1080">
        <v>3673</v>
      </c>
      <c r="W1080" t="s">
        <v>46</v>
      </c>
      <c r="X1080">
        <v>16458</v>
      </c>
      <c r="Y1080">
        <v>1</v>
      </c>
      <c r="Z1080" t="s">
        <v>47</v>
      </c>
      <c r="AA1080" t="s">
        <v>48</v>
      </c>
      <c r="AB1080">
        <v>13</v>
      </c>
      <c r="AC1080">
        <v>3</v>
      </c>
      <c r="AD1080">
        <v>3</v>
      </c>
      <c r="AE1080">
        <v>80</v>
      </c>
      <c r="AF1080">
        <v>0</v>
      </c>
      <c r="AG1080">
        <v>12</v>
      </c>
      <c r="AH1080">
        <v>3</v>
      </c>
      <c r="AI1080">
        <v>3</v>
      </c>
      <c r="AJ1080">
        <v>12</v>
      </c>
      <c r="AK1080">
        <v>9</v>
      </c>
      <c r="AL1080">
        <v>5</v>
      </c>
    </row>
    <row r="1081" spans="1:38" x14ac:dyDescent="0.3">
      <c r="A1081" t="s">
        <v>1150</v>
      </c>
      <c r="B1081">
        <v>42</v>
      </c>
      <c r="C1081" t="s">
        <v>800</v>
      </c>
      <c r="D1081" t="s">
        <v>48</v>
      </c>
      <c r="E1081">
        <f t="shared" si="16"/>
        <v>0</v>
      </c>
      <c r="F1081" t="s">
        <v>40</v>
      </c>
      <c r="G1081">
        <v>1210</v>
      </c>
      <c r="H1081" t="s">
        <v>41</v>
      </c>
      <c r="I1081">
        <v>2</v>
      </c>
      <c r="J1081">
        <v>3</v>
      </c>
      <c r="K1081" t="s">
        <v>51</v>
      </c>
      <c r="L1081">
        <v>1</v>
      </c>
      <c r="M1081">
        <v>1542</v>
      </c>
      <c r="N1081">
        <v>3</v>
      </c>
      <c r="O1081" t="s">
        <v>43</v>
      </c>
      <c r="P1081">
        <v>68</v>
      </c>
      <c r="Q1081">
        <v>2</v>
      </c>
      <c r="R1081">
        <v>1</v>
      </c>
      <c r="S1081" t="s">
        <v>44</v>
      </c>
      <c r="T1081">
        <v>2</v>
      </c>
      <c r="U1081" t="s">
        <v>104</v>
      </c>
      <c r="V1081">
        <v>4841</v>
      </c>
      <c r="W1081" t="s">
        <v>46</v>
      </c>
      <c r="X1081">
        <v>24052</v>
      </c>
      <c r="Y1081">
        <v>4</v>
      </c>
      <c r="Z1081" t="s">
        <v>47</v>
      </c>
      <c r="AA1081" t="s">
        <v>48</v>
      </c>
      <c r="AB1081">
        <v>14</v>
      </c>
      <c r="AC1081">
        <v>3</v>
      </c>
      <c r="AD1081">
        <v>2</v>
      </c>
      <c r="AE1081">
        <v>80</v>
      </c>
      <c r="AF1081">
        <v>1</v>
      </c>
      <c r="AG1081">
        <v>4</v>
      </c>
      <c r="AH1081">
        <v>3</v>
      </c>
      <c r="AI1081">
        <v>3</v>
      </c>
      <c r="AJ1081">
        <v>1</v>
      </c>
      <c r="AK1081">
        <v>0</v>
      </c>
      <c r="AL1081">
        <v>0</v>
      </c>
    </row>
    <row r="1082" spans="1:38" x14ac:dyDescent="0.3">
      <c r="A1082" t="s">
        <v>1151</v>
      </c>
      <c r="B1082">
        <v>42</v>
      </c>
      <c r="C1082" t="s">
        <v>800</v>
      </c>
      <c r="D1082" t="s">
        <v>48</v>
      </c>
      <c r="E1082">
        <f t="shared" si="16"/>
        <v>0</v>
      </c>
      <c r="F1082" t="s">
        <v>55</v>
      </c>
      <c r="G1082">
        <v>288</v>
      </c>
      <c r="H1082" t="s">
        <v>41</v>
      </c>
      <c r="I1082">
        <v>2</v>
      </c>
      <c r="J1082">
        <v>3</v>
      </c>
      <c r="K1082" t="s">
        <v>42</v>
      </c>
      <c r="L1082">
        <v>1</v>
      </c>
      <c r="M1082">
        <v>1547</v>
      </c>
      <c r="N1082">
        <v>4</v>
      </c>
      <c r="O1082" t="s">
        <v>43</v>
      </c>
      <c r="P1082">
        <v>40</v>
      </c>
      <c r="Q1082">
        <v>3</v>
      </c>
      <c r="R1082">
        <v>3</v>
      </c>
      <c r="S1082" t="s">
        <v>160</v>
      </c>
      <c r="T1082">
        <v>4</v>
      </c>
      <c r="U1082" t="s">
        <v>104</v>
      </c>
      <c r="V1082">
        <v>10124</v>
      </c>
      <c r="W1082" t="s">
        <v>252</v>
      </c>
      <c r="X1082">
        <v>18611</v>
      </c>
      <c r="Y1082">
        <v>2</v>
      </c>
      <c r="Z1082" t="s">
        <v>47</v>
      </c>
      <c r="AA1082" t="s">
        <v>39</v>
      </c>
      <c r="AB1082">
        <v>14</v>
      </c>
      <c r="AC1082">
        <v>3</v>
      </c>
      <c r="AD1082">
        <v>3</v>
      </c>
      <c r="AE1082">
        <v>80</v>
      </c>
      <c r="AF1082">
        <v>1</v>
      </c>
      <c r="AG1082">
        <v>24</v>
      </c>
      <c r="AH1082">
        <v>3</v>
      </c>
      <c r="AI1082">
        <v>1</v>
      </c>
      <c r="AJ1082">
        <v>20</v>
      </c>
      <c r="AK1082">
        <v>8</v>
      </c>
      <c r="AL1082">
        <v>13</v>
      </c>
    </row>
    <row r="1083" spans="1:38" x14ac:dyDescent="0.3">
      <c r="A1083" t="s">
        <v>1152</v>
      </c>
      <c r="B1083">
        <v>42</v>
      </c>
      <c r="C1083" t="s">
        <v>800</v>
      </c>
      <c r="D1083" t="s">
        <v>48</v>
      </c>
      <c r="E1083">
        <f t="shared" si="16"/>
        <v>0</v>
      </c>
      <c r="F1083" t="s">
        <v>40</v>
      </c>
      <c r="G1083">
        <v>1059</v>
      </c>
      <c r="H1083" t="s">
        <v>41</v>
      </c>
      <c r="I1083">
        <v>9</v>
      </c>
      <c r="J1083">
        <v>2</v>
      </c>
      <c r="K1083" t="s">
        <v>72</v>
      </c>
      <c r="L1083">
        <v>1</v>
      </c>
      <c r="M1083">
        <v>1595</v>
      </c>
      <c r="N1083">
        <v>4</v>
      </c>
      <c r="O1083" t="s">
        <v>43</v>
      </c>
      <c r="P1083">
        <v>93</v>
      </c>
      <c r="Q1083">
        <v>2</v>
      </c>
      <c r="R1083">
        <v>5</v>
      </c>
      <c r="S1083" t="s">
        <v>440</v>
      </c>
      <c r="T1083">
        <v>4</v>
      </c>
      <c r="U1083" t="s">
        <v>45</v>
      </c>
      <c r="V1083">
        <v>19613</v>
      </c>
      <c r="W1083" t="s">
        <v>366</v>
      </c>
      <c r="X1083">
        <v>26362</v>
      </c>
      <c r="Y1083">
        <v>8</v>
      </c>
      <c r="Z1083" t="s">
        <v>47</v>
      </c>
      <c r="AA1083" t="s">
        <v>48</v>
      </c>
      <c r="AB1083">
        <v>22</v>
      </c>
      <c r="AC1083">
        <v>4</v>
      </c>
      <c r="AD1083">
        <v>4</v>
      </c>
      <c r="AE1083">
        <v>80</v>
      </c>
      <c r="AF1083">
        <v>0</v>
      </c>
      <c r="AG1083">
        <v>24</v>
      </c>
      <c r="AH1083">
        <v>2</v>
      </c>
      <c r="AI1083">
        <v>3</v>
      </c>
      <c r="AJ1083">
        <v>1</v>
      </c>
      <c r="AK1083">
        <v>0</v>
      </c>
      <c r="AL1083">
        <v>0</v>
      </c>
    </row>
    <row r="1084" spans="1:38" x14ac:dyDescent="0.3">
      <c r="A1084" t="s">
        <v>1153</v>
      </c>
      <c r="B1084">
        <v>42</v>
      </c>
      <c r="C1084" t="s">
        <v>800</v>
      </c>
      <c r="D1084" t="s">
        <v>48</v>
      </c>
      <c r="E1084">
        <f t="shared" si="16"/>
        <v>0</v>
      </c>
      <c r="F1084" t="s">
        <v>40</v>
      </c>
      <c r="G1084">
        <v>855</v>
      </c>
      <c r="H1084" t="s">
        <v>41</v>
      </c>
      <c r="I1084">
        <v>12</v>
      </c>
      <c r="J1084">
        <v>3</v>
      </c>
      <c r="K1084" t="s">
        <v>51</v>
      </c>
      <c r="L1084">
        <v>1</v>
      </c>
      <c r="M1084">
        <v>1768</v>
      </c>
      <c r="N1084">
        <v>2</v>
      </c>
      <c r="O1084" t="s">
        <v>43</v>
      </c>
      <c r="P1084">
        <v>57</v>
      </c>
      <c r="Q1084">
        <v>3</v>
      </c>
      <c r="R1084">
        <v>1</v>
      </c>
      <c r="S1084" t="s">
        <v>44</v>
      </c>
      <c r="T1084">
        <v>2</v>
      </c>
      <c r="U1084" t="s">
        <v>101</v>
      </c>
      <c r="V1084">
        <v>2766</v>
      </c>
      <c r="W1084" t="s">
        <v>46</v>
      </c>
      <c r="X1084">
        <v>8952</v>
      </c>
      <c r="Y1084">
        <v>8</v>
      </c>
      <c r="Z1084" t="s">
        <v>47</v>
      </c>
      <c r="AA1084" t="s">
        <v>48</v>
      </c>
      <c r="AB1084">
        <v>22</v>
      </c>
      <c r="AC1084">
        <v>4</v>
      </c>
      <c r="AD1084">
        <v>2</v>
      </c>
      <c r="AE1084">
        <v>80</v>
      </c>
      <c r="AF1084">
        <v>3</v>
      </c>
      <c r="AG1084">
        <v>7</v>
      </c>
      <c r="AH1084">
        <v>6</v>
      </c>
      <c r="AI1084">
        <v>2</v>
      </c>
      <c r="AJ1084">
        <v>5</v>
      </c>
      <c r="AK1084">
        <v>3</v>
      </c>
      <c r="AL1084">
        <v>0</v>
      </c>
    </row>
    <row r="1085" spans="1:38" x14ac:dyDescent="0.3">
      <c r="A1085" t="s">
        <v>1154</v>
      </c>
      <c r="B1085">
        <v>42</v>
      </c>
      <c r="C1085" t="s">
        <v>800</v>
      </c>
      <c r="D1085" t="s">
        <v>48</v>
      </c>
      <c r="E1085">
        <f t="shared" si="16"/>
        <v>0</v>
      </c>
      <c r="F1085" t="s">
        <v>40</v>
      </c>
      <c r="G1085">
        <v>1128</v>
      </c>
      <c r="H1085" t="s">
        <v>41</v>
      </c>
      <c r="I1085">
        <v>13</v>
      </c>
      <c r="J1085">
        <v>3</v>
      </c>
      <c r="K1085" t="s">
        <v>51</v>
      </c>
      <c r="L1085">
        <v>1</v>
      </c>
      <c r="M1085">
        <v>1803</v>
      </c>
      <c r="N1085">
        <v>2</v>
      </c>
      <c r="O1085" t="s">
        <v>43</v>
      </c>
      <c r="P1085">
        <v>95</v>
      </c>
      <c r="Q1085">
        <v>4</v>
      </c>
      <c r="R1085">
        <v>2</v>
      </c>
      <c r="S1085" t="s">
        <v>160</v>
      </c>
      <c r="T1085">
        <v>1</v>
      </c>
      <c r="U1085" t="s">
        <v>104</v>
      </c>
      <c r="V1085">
        <v>5538</v>
      </c>
      <c r="W1085" t="s">
        <v>162</v>
      </c>
      <c r="X1085">
        <v>5696</v>
      </c>
      <c r="Y1085">
        <v>5</v>
      </c>
      <c r="Z1085" t="s">
        <v>47</v>
      </c>
      <c r="AA1085" t="s">
        <v>48</v>
      </c>
      <c r="AB1085">
        <v>18</v>
      </c>
      <c r="AC1085">
        <v>3</v>
      </c>
      <c r="AD1085">
        <v>3</v>
      </c>
      <c r="AE1085">
        <v>80</v>
      </c>
      <c r="AF1085">
        <v>2</v>
      </c>
      <c r="AG1085">
        <v>10</v>
      </c>
      <c r="AH1085">
        <v>2</v>
      </c>
      <c r="AI1085">
        <v>2</v>
      </c>
      <c r="AJ1085">
        <v>0</v>
      </c>
      <c r="AK1085">
        <v>0</v>
      </c>
      <c r="AL1085">
        <v>0</v>
      </c>
    </row>
    <row r="1086" spans="1:38" x14ac:dyDescent="0.3">
      <c r="A1086" t="s">
        <v>1155</v>
      </c>
      <c r="B1086">
        <v>42</v>
      </c>
      <c r="C1086" t="s">
        <v>800</v>
      </c>
      <c r="D1086" t="s">
        <v>48</v>
      </c>
      <c r="E1086">
        <f t="shared" si="16"/>
        <v>0</v>
      </c>
      <c r="F1086" t="s">
        <v>58</v>
      </c>
      <c r="G1086">
        <v>355</v>
      </c>
      <c r="H1086" t="s">
        <v>41</v>
      </c>
      <c r="I1086">
        <v>10</v>
      </c>
      <c r="J1086">
        <v>4</v>
      </c>
      <c r="K1086" t="s">
        <v>67</v>
      </c>
      <c r="L1086">
        <v>1</v>
      </c>
      <c r="M1086">
        <v>1854</v>
      </c>
      <c r="N1086">
        <v>3</v>
      </c>
      <c r="O1086" t="s">
        <v>43</v>
      </c>
      <c r="P1086">
        <v>38</v>
      </c>
      <c r="Q1086">
        <v>3</v>
      </c>
      <c r="R1086">
        <v>1</v>
      </c>
      <c r="S1086" t="s">
        <v>59</v>
      </c>
      <c r="T1086">
        <v>3</v>
      </c>
      <c r="U1086" t="s">
        <v>104</v>
      </c>
      <c r="V1086">
        <v>2936</v>
      </c>
      <c r="W1086" t="s">
        <v>46</v>
      </c>
      <c r="X1086">
        <v>6161</v>
      </c>
      <c r="Y1086">
        <v>3</v>
      </c>
      <c r="Z1086" t="s">
        <v>47</v>
      </c>
      <c r="AA1086" t="s">
        <v>48</v>
      </c>
      <c r="AB1086">
        <v>22</v>
      </c>
      <c r="AC1086">
        <v>4</v>
      </c>
      <c r="AD1086">
        <v>2</v>
      </c>
      <c r="AE1086">
        <v>80</v>
      </c>
      <c r="AF1086">
        <v>2</v>
      </c>
      <c r="AG1086">
        <v>10</v>
      </c>
      <c r="AH1086">
        <v>1</v>
      </c>
      <c r="AI1086">
        <v>2</v>
      </c>
      <c r="AJ1086">
        <v>6</v>
      </c>
      <c r="AK1086">
        <v>3</v>
      </c>
      <c r="AL1086">
        <v>3</v>
      </c>
    </row>
    <row r="1087" spans="1:38" x14ac:dyDescent="0.3">
      <c r="A1087" t="s">
        <v>1156</v>
      </c>
      <c r="B1087">
        <v>42</v>
      </c>
      <c r="C1087" t="s">
        <v>800</v>
      </c>
      <c r="D1087" t="s">
        <v>48</v>
      </c>
      <c r="E1087">
        <f t="shared" si="16"/>
        <v>0</v>
      </c>
      <c r="F1087" t="s">
        <v>40</v>
      </c>
      <c r="G1087">
        <v>1142</v>
      </c>
      <c r="H1087" t="s">
        <v>41</v>
      </c>
      <c r="I1087">
        <v>8</v>
      </c>
      <c r="J1087">
        <v>3</v>
      </c>
      <c r="K1087" t="s">
        <v>42</v>
      </c>
      <c r="L1087">
        <v>1</v>
      </c>
      <c r="M1087">
        <v>1860</v>
      </c>
      <c r="N1087">
        <v>4</v>
      </c>
      <c r="O1087" t="s">
        <v>43</v>
      </c>
      <c r="P1087">
        <v>81</v>
      </c>
      <c r="Q1087">
        <v>3</v>
      </c>
      <c r="R1087">
        <v>1</v>
      </c>
      <c r="S1087" t="s">
        <v>44</v>
      </c>
      <c r="T1087">
        <v>3</v>
      </c>
      <c r="U1087" t="s">
        <v>45</v>
      </c>
      <c r="V1087">
        <v>3968</v>
      </c>
      <c r="W1087" t="s">
        <v>46</v>
      </c>
      <c r="X1087">
        <v>13624</v>
      </c>
      <c r="Y1087">
        <v>4</v>
      </c>
      <c r="Z1087" t="s">
        <v>47</v>
      </c>
      <c r="AA1087" t="s">
        <v>48</v>
      </c>
      <c r="AB1087">
        <v>13</v>
      </c>
      <c r="AC1087">
        <v>3</v>
      </c>
      <c r="AD1087">
        <v>4</v>
      </c>
      <c r="AE1087">
        <v>80</v>
      </c>
      <c r="AF1087">
        <v>0</v>
      </c>
      <c r="AG1087">
        <v>8</v>
      </c>
      <c r="AH1087">
        <v>3</v>
      </c>
      <c r="AI1087">
        <v>3</v>
      </c>
      <c r="AJ1087">
        <v>0</v>
      </c>
      <c r="AK1087">
        <v>0</v>
      </c>
      <c r="AL1087">
        <v>0</v>
      </c>
    </row>
    <row r="1088" spans="1:38" x14ac:dyDescent="0.3">
      <c r="A1088" t="s">
        <v>1157</v>
      </c>
      <c r="B1088">
        <v>42</v>
      </c>
      <c r="C1088" t="s">
        <v>800</v>
      </c>
      <c r="D1088" t="s">
        <v>48</v>
      </c>
      <c r="E1088">
        <f t="shared" si="16"/>
        <v>0</v>
      </c>
      <c r="F1088" t="s">
        <v>40</v>
      </c>
      <c r="G1088">
        <v>1396</v>
      </c>
      <c r="H1088" t="s">
        <v>41</v>
      </c>
      <c r="I1088">
        <v>6</v>
      </c>
      <c r="J1088">
        <v>3</v>
      </c>
      <c r="K1088" t="s">
        <v>51</v>
      </c>
      <c r="L1088">
        <v>1</v>
      </c>
      <c r="M1088">
        <v>1911</v>
      </c>
      <c r="N1088">
        <v>3</v>
      </c>
      <c r="O1088" t="s">
        <v>43</v>
      </c>
      <c r="P1088">
        <v>83</v>
      </c>
      <c r="Q1088">
        <v>3</v>
      </c>
      <c r="R1088">
        <v>3</v>
      </c>
      <c r="S1088" t="s">
        <v>251</v>
      </c>
      <c r="T1088">
        <v>1</v>
      </c>
      <c r="U1088" t="s">
        <v>104</v>
      </c>
      <c r="V1088">
        <v>13348</v>
      </c>
      <c r="W1088" t="s">
        <v>252</v>
      </c>
      <c r="X1088">
        <v>14842</v>
      </c>
      <c r="Y1088">
        <v>9</v>
      </c>
      <c r="Z1088" t="s">
        <v>47</v>
      </c>
      <c r="AA1088" t="s">
        <v>48</v>
      </c>
      <c r="AB1088">
        <v>13</v>
      </c>
      <c r="AC1088">
        <v>3</v>
      </c>
      <c r="AD1088">
        <v>2</v>
      </c>
      <c r="AE1088">
        <v>80</v>
      </c>
      <c r="AF1088">
        <v>1</v>
      </c>
      <c r="AG1088">
        <v>18</v>
      </c>
      <c r="AH1088">
        <v>3</v>
      </c>
      <c r="AI1088">
        <v>4</v>
      </c>
      <c r="AJ1088">
        <v>13</v>
      </c>
      <c r="AK1088">
        <v>7</v>
      </c>
      <c r="AL1088">
        <v>5</v>
      </c>
    </row>
    <row r="1089" spans="1:38" x14ac:dyDescent="0.3">
      <c r="A1089" t="s">
        <v>1158</v>
      </c>
      <c r="B1089">
        <v>42</v>
      </c>
      <c r="C1089" t="s">
        <v>800</v>
      </c>
      <c r="D1089" t="s">
        <v>48</v>
      </c>
      <c r="E1089">
        <f t="shared" si="16"/>
        <v>0</v>
      </c>
      <c r="F1089" t="s">
        <v>40</v>
      </c>
      <c r="G1089">
        <v>419</v>
      </c>
      <c r="H1089" t="s">
        <v>50</v>
      </c>
      <c r="I1089">
        <v>12</v>
      </c>
      <c r="J1089">
        <v>4</v>
      </c>
      <c r="K1089" t="s">
        <v>56</v>
      </c>
      <c r="L1089">
        <v>1</v>
      </c>
      <c r="M1089">
        <v>1943</v>
      </c>
      <c r="N1089">
        <v>2</v>
      </c>
      <c r="O1089" t="s">
        <v>43</v>
      </c>
      <c r="P1089">
        <v>77</v>
      </c>
      <c r="Q1089">
        <v>3</v>
      </c>
      <c r="R1089">
        <v>2</v>
      </c>
      <c r="S1089" t="s">
        <v>136</v>
      </c>
      <c r="T1089">
        <v>4</v>
      </c>
      <c r="U1089" t="s">
        <v>101</v>
      </c>
      <c r="V1089">
        <v>5087</v>
      </c>
      <c r="W1089" t="s">
        <v>162</v>
      </c>
      <c r="X1089">
        <v>2900</v>
      </c>
      <c r="Y1089">
        <v>3</v>
      </c>
      <c r="Z1089" t="s">
        <v>47</v>
      </c>
      <c r="AA1089" t="s">
        <v>39</v>
      </c>
      <c r="AB1089">
        <v>12</v>
      </c>
      <c r="AC1089">
        <v>3</v>
      </c>
      <c r="AD1089">
        <v>3</v>
      </c>
      <c r="AE1089">
        <v>80</v>
      </c>
      <c r="AF1089">
        <v>2</v>
      </c>
      <c r="AG1089">
        <v>14</v>
      </c>
      <c r="AH1089">
        <v>4</v>
      </c>
      <c r="AI1089">
        <v>3</v>
      </c>
      <c r="AJ1089">
        <v>0</v>
      </c>
      <c r="AK1089">
        <v>0</v>
      </c>
      <c r="AL1089">
        <v>0</v>
      </c>
    </row>
    <row r="1090" spans="1:38" x14ac:dyDescent="0.3">
      <c r="A1090" t="s">
        <v>1159</v>
      </c>
      <c r="B1090">
        <v>42</v>
      </c>
      <c r="C1090" t="s">
        <v>800</v>
      </c>
      <c r="D1090" t="s">
        <v>48</v>
      </c>
      <c r="E1090">
        <f t="shared" si="16"/>
        <v>0</v>
      </c>
      <c r="F1090" t="s">
        <v>58</v>
      </c>
      <c r="G1090">
        <v>335</v>
      </c>
      <c r="H1090" t="s">
        <v>41</v>
      </c>
      <c r="I1090">
        <v>23</v>
      </c>
      <c r="J1090">
        <v>2</v>
      </c>
      <c r="K1090" t="s">
        <v>42</v>
      </c>
      <c r="L1090">
        <v>1</v>
      </c>
      <c r="M1090">
        <v>1976</v>
      </c>
      <c r="N1090">
        <v>4</v>
      </c>
      <c r="O1090" t="s">
        <v>43</v>
      </c>
      <c r="P1090">
        <v>37</v>
      </c>
      <c r="Q1090">
        <v>2</v>
      </c>
      <c r="R1090">
        <v>2</v>
      </c>
      <c r="S1090" t="s">
        <v>59</v>
      </c>
      <c r="T1090">
        <v>3</v>
      </c>
      <c r="U1090" t="s">
        <v>45</v>
      </c>
      <c r="V1090">
        <v>4332</v>
      </c>
      <c r="W1090" t="s">
        <v>46</v>
      </c>
      <c r="X1090">
        <v>14811</v>
      </c>
      <c r="Y1090">
        <v>1</v>
      </c>
      <c r="Z1090" t="s">
        <v>47</v>
      </c>
      <c r="AA1090" t="s">
        <v>48</v>
      </c>
      <c r="AB1090">
        <v>12</v>
      </c>
      <c r="AC1090">
        <v>3</v>
      </c>
      <c r="AD1090">
        <v>4</v>
      </c>
      <c r="AE1090">
        <v>80</v>
      </c>
      <c r="AF1090">
        <v>0</v>
      </c>
      <c r="AG1090">
        <v>20</v>
      </c>
      <c r="AH1090">
        <v>2</v>
      </c>
      <c r="AI1090">
        <v>3</v>
      </c>
      <c r="AJ1090">
        <v>20</v>
      </c>
      <c r="AK1090">
        <v>9</v>
      </c>
      <c r="AL1090">
        <v>3</v>
      </c>
    </row>
    <row r="1091" spans="1:38" x14ac:dyDescent="0.3">
      <c r="A1091" t="s">
        <v>1160</v>
      </c>
      <c r="B1091">
        <v>42</v>
      </c>
      <c r="C1091" t="s">
        <v>800</v>
      </c>
      <c r="D1091" t="s">
        <v>48</v>
      </c>
      <c r="E1091">
        <f t="shared" ref="E1091:E1154" si="17">IF(D1091="Yes",1,0)</f>
        <v>0</v>
      </c>
      <c r="F1091" t="s">
        <v>40</v>
      </c>
      <c r="G1091">
        <v>557</v>
      </c>
      <c r="H1091" t="s">
        <v>41</v>
      </c>
      <c r="I1091">
        <v>18</v>
      </c>
      <c r="J1091">
        <v>4</v>
      </c>
      <c r="K1091" t="s">
        <v>42</v>
      </c>
      <c r="L1091">
        <v>1</v>
      </c>
      <c r="M1091">
        <v>1998</v>
      </c>
      <c r="N1091">
        <v>4</v>
      </c>
      <c r="O1091" t="s">
        <v>43</v>
      </c>
      <c r="P1091">
        <v>35</v>
      </c>
      <c r="Q1091">
        <v>3</v>
      </c>
      <c r="R1091">
        <v>2</v>
      </c>
      <c r="S1091" t="s">
        <v>59</v>
      </c>
      <c r="T1091">
        <v>1</v>
      </c>
      <c r="U1091" t="s">
        <v>101</v>
      </c>
      <c r="V1091">
        <v>5410</v>
      </c>
      <c r="W1091" t="s">
        <v>162</v>
      </c>
      <c r="X1091">
        <v>11189</v>
      </c>
      <c r="Y1091">
        <v>6</v>
      </c>
      <c r="Z1091" t="s">
        <v>47</v>
      </c>
      <c r="AA1091" t="s">
        <v>39</v>
      </c>
      <c r="AB1091">
        <v>17</v>
      </c>
      <c r="AC1091">
        <v>3</v>
      </c>
      <c r="AD1091">
        <v>3</v>
      </c>
      <c r="AE1091">
        <v>80</v>
      </c>
      <c r="AF1091">
        <v>1</v>
      </c>
      <c r="AG1091">
        <v>9</v>
      </c>
      <c r="AH1091">
        <v>3</v>
      </c>
      <c r="AI1091">
        <v>2</v>
      </c>
      <c r="AJ1091">
        <v>4</v>
      </c>
      <c r="AK1091">
        <v>3</v>
      </c>
      <c r="AL1091">
        <v>1</v>
      </c>
    </row>
    <row r="1092" spans="1:38" x14ac:dyDescent="0.3">
      <c r="A1092" t="s">
        <v>1161</v>
      </c>
      <c r="B1092">
        <v>42</v>
      </c>
      <c r="C1092" t="s">
        <v>800</v>
      </c>
      <c r="D1092" t="s">
        <v>48</v>
      </c>
      <c r="E1092">
        <f t="shared" si="17"/>
        <v>0</v>
      </c>
      <c r="F1092" t="s">
        <v>40</v>
      </c>
      <c r="G1092">
        <v>300</v>
      </c>
      <c r="H1092" t="s">
        <v>41</v>
      </c>
      <c r="I1092">
        <v>2</v>
      </c>
      <c r="J1092">
        <v>3</v>
      </c>
      <c r="K1092" t="s">
        <v>42</v>
      </c>
      <c r="L1092">
        <v>1</v>
      </c>
      <c r="M1092">
        <v>2031</v>
      </c>
      <c r="N1092">
        <v>1</v>
      </c>
      <c r="O1092" t="s">
        <v>43</v>
      </c>
      <c r="P1092">
        <v>56</v>
      </c>
      <c r="Q1092">
        <v>3</v>
      </c>
      <c r="R1092">
        <v>5</v>
      </c>
      <c r="S1092" t="s">
        <v>440</v>
      </c>
      <c r="T1092">
        <v>3</v>
      </c>
      <c r="U1092" t="s">
        <v>104</v>
      </c>
      <c r="V1092">
        <v>18880</v>
      </c>
      <c r="W1092" t="s">
        <v>366</v>
      </c>
      <c r="X1092">
        <v>17312</v>
      </c>
      <c r="Y1092">
        <v>5</v>
      </c>
      <c r="Z1092" t="s">
        <v>47</v>
      </c>
      <c r="AA1092" t="s">
        <v>48</v>
      </c>
      <c r="AB1092">
        <v>11</v>
      </c>
      <c r="AC1092">
        <v>3</v>
      </c>
      <c r="AD1092">
        <v>1</v>
      </c>
      <c r="AE1092">
        <v>80</v>
      </c>
      <c r="AF1092">
        <v>0</v>
      </c>
      <c r="AG1092">
        <v>24</v>
      </c>
      <c r="AH1092">
        <v>2</v>
      </c>
      <c r="AI1092">
        <v>2</v>
      </c>
      <c r="AJ1092">
        <v>22</v>
      </c>
      <c r="AK1092">
        <v>6</v>
      </c>
      <c r="AL1092">
        <v>4</v>
      </c>
    </row>
    <row r="1093" spans="1:38" x14ac:dyDescent="0.3">
      <c r="A1093" t="s">
        <v>1162</v>
      </c>
      <c r="B1093">
        <v>43</v>
      </c>
      <c r="C1093" t="s">
        <v>800</v>
      </c>
      <c r="D1093" t="s">
        <v>48</v>
      </c>
      <c r="E1093">
        <f t="shared" si="17"/>
        <v>0</v>
      </c>
      <c r="F1093" t="s">
        <v>40</v>
      </c>
      <c r="G1093">
        <v>1273</v>
      </c>
      <c r="H1093" t="s">
        <v>41</v>
      </c>
      <c r="I1093">
        <v>2</v>
      </c>
      <c r="J1093">
        <v>2</v>
      </c>
      <c r="K1093" t="s">
        <v>51</v>
      </c>
      <c r="L1093">
        <v>1</v>
      </c>
      <c r="M1093">
        <v>46</v>
      </c>
      <c r="N1093">
        <v>4</v>
      </c>
      <c r="O1093" t="s">
        <v>52</v>
      </c>
      <c r="P1093">
        <v>72</v>
      </c>
      <c r="Q1093">
        <v>4</v>
      </c>
      <c r="R1093">
        <v>1</v>
      </c>
      <c r="S1093" t="s">
        <v>59</v>
      </c>
      <c r="T1093">
        <v>3</v>
      </c>
      <c r="U1093" t="s">
        <v>101</v>
      </c>
      <c r="V1093">
        <v>2645</v>
      </c>
      <c r="W1093" t="s">
        <v>46</v>
      </c>
      <c r="X1093">
        <v>21923</v>
      </c>
      <c r="Y1093">
        <v>1</v>
      </c>
      <c r="Z1093" t="s">
        <v>47</v>
      </c>
      <c r="AA1093" t="s">
        <v>48</v>
      </c>
      <c r="AB1093">
        <v>12</v>
      </c>
      <c r="AC1093">
        <v>3</v>
      </c>
      <c r="AD1093">
        <v>4</v>
      </c>
      <c r="AE1093">
        <v>80</v>
      </c>
      <c r="AF1093">
        <v>2</v>
      </c>
      <c r="AG1093">
        <v>6</v>
      </c>
      <c r="AH1093">
        <v>3</v>
      </c>
      <c r="AI1093">
        <v>2</v>
      </c>
      <c r="AJ1093">
        <v>5</v>
      </c>
      <c r="AK1093">
        <v>3</v>
      </c>
      <c r="AL1093">
        <v>1</v>
      </c>
    </row>
    <row r="1094" spans="1:38" x14ac:dyDescent="0.3">
      <c r="A1094" t="s">
        <v>1163</v>
      </c>
      <c r="B1094">
        <v>43</v>
      </c>
      <c r="C1094" t="s">
        <v>800</v>
      </c>
      <c r="D1094" t="s">
        <v>48</v>
      </c>
      <c r="E1094">
        <f t="shared" si="17"/>
        <v>0</v>
      </c>
      <c r="F1094" t="s">
        <v>55</v>
      </c>
      <c r="G1094">
        <v>394</v>
      </c>
      <c r="H1094" t="s">
        <v>50</v>
      </c>
      <c r="I1094">
        <v>26</v>
      </c>
      <c r="J1094">
        <v>2</v>
      </c>
      <c r="K1094" t="s">
        <v>42</v>
      </c>
      <c r="L1094">
        <v>1</v>
      </c>
      <c r="M1094">
        <v>158</v>
      </c>
      <c r="N1094">
        <v>3</v>
      </c>
      <c r="O1094" t="s">
        <v>43</v>
      </c>
      <c r="P1094">
        <v>92</v>
      </c>
      <c r="Q1094">
        <v>3</v>
      </c>
      <c r="R1094">
        <v>4</v>
      </c>
      <c r="S1094" t="s">
        <v>440</v>
      </c>
      <c r="T1094">
        <v>4</v>
      </c>
      <c r="U1094" t="s">
        <v>104</v>
      </c>
      <c r="V1094">
        <v>16959</v>
      </c>
      <c r="W1094" t="s">
        <v>366</v>
      </c>
      <c r="X1094">
        <v>19494</v>
      </c>
      <c r="Y1094">
        <v>1</v>
      </c>
      <c r="Z1094" t="s">
        <v>47</v>
      </c>
      <c r="AA1094" t="s">
        <v>39</v>
      </c>
      <c r="AB1094">
        <v>12</v>
      </c>
      <c r="AC1094">
        <v>3</v>
      </c>
      <c r="AD1094">
        <v>4</v>
      </c>
      <c r="AE1094">
        <v>80</v>
      </c>
      <c r="AF1094">
        <v>2</v>
      </c>
      <c r="AG1094">
        <v>25</v>
      </c>
      <c r="AH1094">
        <v>3</v>
      </c>
      <c r="AI1094">
        <v>4</v>
      </c>
      <c r="AJ1094">
        <v>25</v>
      </c>
      <c r="AK1094">
        <v>12</v>
      </c>
      <c r="AL1094">
        <v>4</v>
      </c>
    </row>
    <row r="1095" spans="1:38" x14ac:dyDescent="0.3">
      <c r="A1095" t="s">
        <v>1164</v>
      </c>
      <c r="B1095">
        <v>43</v>
      </c>
      <c r="C1095" t="s">
        <v>800</v>
      </c>
      <c r="D1095" t="s">
        <v>48</v>
      </c>
      <c r="E1095">
        <f t="shared" si="17"/>
        <v>0</v>
      </c>
      <c r="F1095" t="s">
        <v>55</v>
      </c>
      <c r="G1095">
        <v>957</v>
      </c>
      <c r="H1095" t="s">
        <v>41</v>
      </c>
      <c r="I1095">
        <v>28</v>
      </c>
      <c r="J1095">
        <v>3</v>
      </c>
      <c r="K1095" t="s">
        <v>51</v>
      </c>
      <c r="L1095">
        <v>1</v>
      </c>
      <c r="M1095">
        <v>171</v>
      </c>
      <c r="N1095">
        <v>2</v>
      </c>
      <c r="O1095" t="s">
        <v>52</v>
      </c>
      <c r="P1095">
        <v>72</v>
      </c>
      <c r="Q1095">
        <v>4</v>
      </c>
      <c r="R1095">
        <v>1</v>
      </c>
      <c r="S1095" t="s">
        <v>59</v>
      </c>
      <c r="T1095">
        <v>3</v>
      </c>
      <c r="U1095" t="s">
        <v>45</v>
      </c>
      <c r="V1095">
        <v>4739</v>
      </c>
      <c r="W1095" t="s">
        <v>46</v>
      </c>
      <c r="X1095">
        <v>16090</v>
      </c>
      <c r="Y1095">
        <v>4</v>
      </c>
      <c r="Z1095" t="s">
        <v>47</v>
      </c>
      <c r="AA1095" t="s">
        <v>48</v>
      </c>
      <c r="AB1095">
        <v>12</v>
      </c>
      <c r="AC1095">
        <v>3</v>
      </c>
      <c r="AD1095">
        <v>4</v>
      </c>
      <c r="AE1095">
        <v>80</v>
      </c>
      <c r="AF1095">
        <v>0</v>
      </c>
      <c r="AG1095">
        <v>18</v>
      </c>
      <c r="AH1095">
        <v>2</v>
      </c>
      <c r="AI1095">
        <v>3</v>
      </c>
      <c r="AJ1095">
        <v>3</v>
      </c>
      <c r="AK1095">
        <v>2</v>
      </c>
      <c r="AL1095">
        <v>1</v>
      </c>
    </row>
    <row r="1096" spans="1:38" x14ac:dyDescent="0.3">
      <c r="A1096" t="s">
        <v>1165</v>
      </c>
      <c r="B1096">
        <v>43</v>
      </c>
      <c r="C1096" t="s">
        <v>800</v>
      </c>
      <c r="D1096" t="s">
        <v>48</v>
      </c>
      <c r="E1096">
        <f t="shared" si="17"/>
        <v>0</v>
      </c>
      <c r="F1096" t="s">
        <v>58</v>
      </c>
      <c r="G1096">
        <v>1344</v>
      </c>
      <c r="H1096" t="s">
        <v>41</v>
      </c>
      <c r="I1096">
        <v>7</v>
      </c>
      <c r="J1096">
        <v>3</v>
      </c>
      <c r="K1096" t="s">
        <v>51</v>
      </c>
      <c r="L1096">
        <v>1</v>
      </c>
      <c r="M1096">
        <v>262</v>
      </c>
      <c r="N1096">
        <v>4</v>
      </c>
      <c r="O1096" t="s">
        <v>43</v>
      </c>
      <c r="P1096">
        <v>37</v>
      </c>
      <c r="Q1096">
        <v>4</v>
      </c>
      <c r="R1096">
        <v>1</v>
      </c>
      <c r="S1096" t="s">
        <v>59</v>
      </c>
      <c r="T1096">
        <v>4</v>
      </c>
      <c r="U1096" t="s">
        <v>101</v>
      </c>
      <c r="V1096">
        <v>2089</v>
      </c>
      <c r="W1096" t="s">
        <v>46</v>
      </c>
      <c r="X1096">
        <v>5228</v>
      </c>
      <c r="Y1096">
        <v>4</v>
      </c>
      <c r="Z1096" t="s">
        <v>47</v>
      </c>
      <c r="AA1096" t="s">
        <v>48</v>
      </c>
      <c r="AB1096">
        <v>14</v>
      </c>
      <c r="AC1096">
        <v>3</v>
      </c>
      <c r="AD1096">
        <v>4</v>
      </c>
      <c r="AE1096">
        <v>80</v>
      </c>
      <c r="AF1096">
        <v>3</v>
      </c>
      <c r="AG1096">
        <v>7</v>
      </c>
      <c r="AH1096">
        <v>3</v>
      </c>
      <c r="AI1096">
        <v>4</v>
      </c>
      <c r="AJ1096">
        <v>5</v>
      </c>
      <c r="AK1096">
        <v>4</v>
      </c>
      <c r="AL1096">
        <v>2</v>
      </c>
    </row>
    <row r="1097" spans="1:38" x14ac:dyDescent="0.3">
      <c r="A1097" t="s">
        <v>1166</v>
      </c>
      <c r="B1097">
        <v>43</v>
      </c>
      <c r="C1097" t="s">
        <v>800</v>
      </c>
      <c r="D1097" t="s">
        <v>48</v>
      </c>
      <c r="E1097">
        <f t="shared" si="17"/>
        <v>0</v>
      </c>
      <c r="F1097" t="s">
        <v>40</v>
      </c>
      <c r="G1097">
        <v>1034</v>
      </c>
      <c r="H1097" t="s">
        <v>50</v>
      </c>
      <c r="I1097">
        <v>16</v>
      </c>
      <c r="J1097">
        <v>3</v>
      </c>
      <c r="K1097" t="s">
        <v>56</v>
      </c>
      <c r="L1097">
        <v>1</v>
      </c>
      <c r="M1097">
        <v>327</v>
      </c>
      <c r="N1097">
        <v>4</v>
      </c>
      <c r="O1097" t="s">
        <v>52</v>
      </c>
      <c r="P1097">
        <v>80</v>
      </c>
      <c r="Q1097">
        <v>3</v>
      </c>
      <c r="R1097">
        <v>4</v>
      </c>
      <c r="S1097" t="s">
        <v>440</v>
      </c>
      <c r="T1097">
        <v>4</v>
      </c>
      <c r="U1097" t="s">
        <v>104</v>
      </c>
      <c r="V1097">
        <v>16064</v>
      </c>
      <c r="W1097" t="s">
        <v>366</v>
      </c>
      <c r="X1097">
        <v>7744</v>
      </c>
      <c r="Y1097">
        <v>5</v>
      </c>
      <c r="Z1097" t="s">
        <v>47</v>
      </c>
      <c r="AA1097" t="s">
        <v>39</v>
      </c>
      <c r="AB1097">
        <v>22</v>
      </c>
      <c r="AC1097">
        <v>4</v>
      </c>
      <c r="AD1097">
        <v>3</v>
      </c>
      <c r="AE1097">
        <v>80</v>
      </c>
      <c r="AF1097">
        <v>1</v>
      </c>
      <c r="AG1097">
        <v>22</v>
      </c>
      <c r="AH1097">
        <v>3</v>
      </c>
      <c r="AI1097">
        <v>3</v>
      </c>
      <c r="AJ1097">
        <v>17</v>
      </c>
      <c r="AK1097">
        <v>13</v>
      </c>
      <c r="AL1097">
        <v>1</v>
      </c>
    </row>
    <row r="1098" spans="1:38" x14ac:dyDescent="0.3">
      <c r="A1098" t="s">
        <v>1167</v>
      </c>
      <c r="B1098">
        <v>43</v>
      </c>
      <c r="C1098" t="s">
        <v>800</v>
      </c>
      <c r="D1098" t="s">
        <v>48</v>
      </c>
      <c r="E1098">
        <f t="shared" si="17"/>
        <v>0</v>
      </c>
      <c r="F1098" t="s">
        <v>55</v>
      </c>
      <c r="G1098">
        <v>185</v>
      </c>
      <c r="H1098" t="s">
        <v>41</v>
      </c>
      <c r="I1098">
        <v>10</v>
      </c>
      <c r="J1098">
        <v>4</v>
      </c>
      <c r="K1098" t="s">
        <v>42</v>
      </c>
      <c r="L1098">
        <v>1</v>
      </c>
      <c r="M1098">
        <v>430</v>
      </c>
      <c r="N1098">
        <v>3</v>
      </c>
      <c r="O1098" t="s">
        <v>52</v>
      </c>
      <c r="P1098">
        <v>33</v>
      </c>
      <c r="Q1098">
        <v>3</v>
      </c>
      <c r="R1098">
        <v>1</v>
      </c>
      <c r="S1098" t="s">
        <v>44</v>
      </c>
      <c r="T1098">
        <v>4</v>
      </c>
      <c r="U1098" t="s">
        <v>45</v>
      </c>
      <c r="V1098">
        <v>2455</v>
      </c>
      <c r="W1098" t="s">
        <v>46</v>
      </c>
      <c r="X1098">
        <v>10675</v>
      </c>
      <c r="Y1098">
        <v>0</v>
      </c>
      <c r="Z1098" t="s">
        <v>47</v>
      </c>
      <c r="AA1098" t="s">
        <v>48</v>
      </c>
      <c r="AB1098">
        <v>19</v>
      </c>
      <c r="AC1098">
        <v>3</v>
      </c>
      <c r="AD1098">
        <v>1</v>
      </c>
      <c r="AE1098">
        <v>80</v>
      </c>
      <c r="AF1098">
        <v>0</v>
      </c>
      <c r="AG1098">
        <v>9</v>
      </c>
      <c r="AH1098">
        <v>5</v>
      </c>
      <c r="AI1098">
        <v>3</v>
      </c>
      <c r="AJ1098">
        <v>8</v>
      </c>
      <c r="AK1098">
        <v>7</v>
      </c>
      <c r="AL1098">
        <v>1</v>
      </c>
    </row>
    <row r="1099" spans="1:38" x14ac:dyDescent="0.3">
      <c r="A1099" t="s">
        <v>1168</v>
      </c>
      <c r="B1099">
        <v>43</v>
      </c>
      <c r="C1099" t="s">
        <v>800</v>
      </c>
      <c r="D1099" t="s">
        <v>48</v>
      </c>
      <c r="E1099">
        <f t="shared" si="17"/>
        <v>0</v>
      </c>
      <c r="F1099" t="s">
        <v>55</v>
      </c>
      <c r="G1099">
        <v>559</v>
      </c>
      <c r="H1099" t="s">
        <v>41</v>
      </c>
      <c r="I1099">
        <v>10</v>
      </c>
      <c r="J1099">
        <v>4</v>
      </c>
      <c r="K1099" t="s">
        <v>42</v>
      </c>
      <c r="L1099">
        <v>1</v>
      </c>
      <c r="M1099">
        <v>448</v>
      </c>
      <c r="N1099">
        <v>3</v>
      </c>
      <c r="O1099" t="s">
        <v>52</v>
      </c>
      <c r="P1099">
        <v>82</v>
      </c>
      <c r="Q1099">
        <v>2</v>
      </c>
      <c r="R1099">
        <v>2</v>
      </c>
      <c r="S1099" t="s">
        <v>44</v>
      </c>
      <c r="T1099">
        <v>3</v>
      </c>
      <c r="U1099" t="s">
        <v>101</v>
      </c>
      <c r="V1099">
        <v>5257</v>
      </c>
      <c r="W1099" t="s">
        <v>162</v>
      </c>
      <c r="X1099">
        <v>6227</v>
      </c>
      <c r="Y1099">
        <v>1</v>
      </c>
      <c r="Z1099" t="s">
        <v>47</v>
      </c>
      <c r="AA1099" t="s">
        <v>48</v>
      </c>
      <c r="AB1099">
        <v>11</v>
      </c>
      <c r="AC1099">
        <v>3</v>
      </c>
      <c r="AD1099">
        <v>2</v>
      </c>
      <c r="AE1099">
        <v>80</v>
      </c>
      <c r="AF1099">
        <v>1</v>
      </c>
      <c r="AG1099">
        <v>9</v>
      </c>
      <c r="AH1099">
        <v>3</v>
      </c>
      <c r="AI1099">
        <v>4</v>
      </c>
      <c r="AJ1099">
        <v>9</v>
      </c>
      <c r="AK1099">
        <v>7</v>
      </c>
      <c r="AL1099">
        <v>0</v>
      </c>
    </row>
    <row r="1100" spans="1:38" x14ac:dyDescent="0.3">
      <c r="A1100" t="s">
        <v>1169</v>
      </c>
      <c r="B1100">
        <v>43</v>
      </c>
      <c r="C1100" t="s">
        <v>800</v>
      </c>
      <c r="D1100" t="s">
        <v>48</v>
      </c>
      <c r="E1100">
        <f t="shared" si="17"/>
        <v>0</v>
      </c>
      <c r="F1100" t="s">
        <v>40</v>
      </c>
      <c r="G1100">
        <v>1001</v>
      </c>
      <c r="H1100" t="s">
        <v>41</v>
      </c>
      <c r="I1100">
        <v>7</v>
      </c>
      <c r="J1100">
        <v>3</v>
      </c>
      <c r="K1100" t="s">
        <v>42</v>
      </c>
      <c r="L1100">
        <v>1</v>
      </c>
      <c r="M1100">
        <v>451</v>
      </c>
      <c r="N1100">
        <v>3</v>
      </c>
      <c r="O1100" t="s">
        <v>52</v>
      </c>
      <c r="P1100">
        <v>43</v>
      </c>
      <c r="Q1100">
        <v>3</v>
      </c>
      <c r="R1100">
        <v>3</v>
      </c>
      <c r="S1100" t="s">
        <v>160</v>
      </c>
      <c r="T1100">
        <v>1</v>
      </c>
      <c r="U1100" t="s">
        <v>104</v>
      </c>
      <c r="V1100">
        <v>9985</v>
      </c>
      <c r="W1100" t="s">
        <v>162</v>
      </c>
      <c r="X1100">
        <v>9262</v>
      </c>
      <c r="Y1100">
        <v>8</v>
      </c>
      <c r="Z1100" t="s">
        <v>47</v>
      </c>
      <c r="AA1100" t="s">
        <v>48</v>
      </c>
      <c r="AB1100">
        <v>16</v>
      </c>
      <c r="AC1100">
        <v>3</v>
      </c>
      <c r="AD1100">
        <v>1</v>
      </c>
      <c r="AE1100">
        <v>80</v>
      </c>
      <c r="AF1100">
        <v>1</v>
      </c>
      <c r="AG1100">
        <v>10</v>
      </c>
      <c r="AH1100">
        <v>1</v>
      </c>
      <c r="AI1100">
        <v>2</v>
      </c>
      <c r="AJ1100">
        <v>1</v>
      </c>
      <c r="AK1100">
        <v>0</v>
      </c>
      <c r="AL1100">
        <v>0</v>
      </c>
    </row>
    <row r="1101" spans="1:38" x14ac:dyDescent="0.3">
      <c r="A1101" t="s">
        <v>1170</v>
      </c>
      <c r="B1101">
        <v>43</v>
      </c>
      <c r="C1101" t="s">
        <v>800</v>
      </c>
      <c r="D1101" t="s">
        <v>48</v>
      </c>
      <c r="E1101">
        <f t="shared" si="17"/>
        <v>0</v>
      </c>
      <c r="F1101" t="s">
        <v>40</v>
      </c>
      <c r="G1101">
        <v>982</v>
      </c>
      <c r="H1101" t="s">
        <v>41</v>
      </c>
      <c r="I1101">
        <v>12</v>
      </c>
      <c r="J1101">
        <v>3</v>
      </c>
      <c r="K1101" t="s">
        <v>42</v>
      </c>
      <c r="L1101">
        <v>1</v>
      </c>
      <c r="M1101">
        <v>520</v>
      </c>
      <c r="N1101">
        <v>1</v>
      </c>
      <c r="O1101" t="s">
        <v>43</v>
      </c>
      <c r="P1101">
        <v>59</v>
      </c>
      <c r="Q1101">
        <v>2</v>
      </c>
      <c r="R1101">
        <v>4</v>
      </c>
      <c r="S1101" t="s">
        <v>251</v>
      </c>
      <c r="T1101">
        <v>2</v>
      </c>
      <c r="U1101" t="s">
        <v>101</v>
      </c>
      <c r="V1101">
        <v>14336</v>
      </c>
      <c r="W1101" t="s">
        <v>252</v>
      </c>
      <c r="X1101">
        <v>4345</v>
      </c>
      <c r="Y1101">
        <v>1</v>
      </c>
      <c r="Z1101" t="s">
        <v>47</v>
      </c>
      <c r="AA1101" t="s">
        <v>48</v>
      </c>
      <c r="AB1101">
        <v>11</v>
      </c>
      <c r="AC1101">
        <v>3</v>
      </c>
      <c r="AD1101">
        <v>3</v>
      </c>
      <c r="AE1101">
        <v>80</v>
      </c>
      <c r="AF1101">
        <v>1</v>
      </c>
      <c r="AG1101">
        <v>25</v>
      </c>
      <c r="AH1101">
        <v>3</v>
      </c>
      <c r="AI1101">
        <v>3</v>
      </c>
      <c r="AJ1101">
        <v>25</v>
      </c>
      <c r="AK1101">
        <v>10</v>
      </c>
      <c r="AL1101">
        <v>3</v>
      </c>
    </row>
    <row r="1102" spans="1:38" x14ac:dyDescent="0.3">
      <c r="A1102" t="s">
        <v>1171</v>
      </c>
      <c r="B1102">
        <v>43</v>
      </c>
      <c r="C1102" t="s">
        <v>800</v>
      </c>
      <c r="D1102" t="s">
        <v>48</v>
      </c>
      <c r="E1102">
        <f t="shared" si="17"/>
        <v>0</v>
      </c>
      <c r="F1102" t="s">
        <v>55</v>
      </c>
      <c r="G1102">
        <v>313</v>
      </c>
      <c r="H1102" t="s">
        <v>41</v>
      </c>
      <c r="I1102">
        <v>21</v>
      </c>
      <c r="J1102">
        <v>3</v>
      </c>
      <c r="K1102" t="s">
        <v>51</v>
      </c>
      <c r="L1102">
        <v>1</v>
      </c>
      <c r="M1102">
        <v>525</v>
      </c>
      <c r="N1102">
        <v>4</v>
      </c>
      <c r="O1102" t="s">
        <v>43</v>
      </c>
      <c r="P1102">
        <v>61</v>
      </c>
      <c r="Q1102">
        <v>3</v>
      </c>
      <c r="R1102">
        <v>1</v>
      </c>
      <c r="S1102" t="s">
        <v>44</v>
      </c>
      <c r="T1102">
        <v>4</v>
      </c>
      <c r="U1102" t="s">
        <v>104</v>
      </c>
      <c r="V1102">
        <v>2258</v>
      </c>
      <c r="W1102" t="s">
        <v>46</v>
      </c>
      <c r="X1102">
        <v>15238</v>
      </c>
      <c r="Y1102">
        <v>7</v>
      </c>
      <c r="Z1102" t="s">
        <v>47</v>
      </c>
      <c r="AA1102" t="s">
        <v>48</v>
      </c>
      <c r="AB1102">
        <v>20</v>
      </c>
      <c r="AC1102">
        <v>4</v>
      </c>
      <c r="AD1102">
        <v>1</v>
      </c>
      <c r="AE1102">
        <v>80</v>
      </c>
      <c r="AF1102">
        <v>1</v>
      </c>
      <c r="AG1102">
        <v>8</v>
      </c>
      <c r="AH1102">
        <v>1</v>
      </c>
      <c r="AI1102">
        <v>3</v>
      </c>
      <c r="AJ1102">
        <v>3</v>
      </c>
      <c r="AK1102">
        <v>2</v>
      </c>
      <c r="AL1102">
        <v>1</v>
      </c>
    </row>
    <row r="1103" spans="1:38" x14ac:dyDescent="0.3">
      <c r="A1103" t="s">
        <v>1172</v>
      </c>
      <c r="B1103">
        <v>43</v>
      </c>
      <c r="C1103" t="s">
        <v>800</v>
      </c>
      <c r="D1103" t="s">
        <v>48</v>
      </c>
      <c r="E1103">
        <f t="shared" si="17"/>
        <v>0</v>
      </c>
      <c r="F1103" t="s">
        <v>40</v>
      </c>
      <c r="G1103">
        <v>1473</v>
      </c>
      <c r="H1103" t="s">
        <v>41</v>
      </c>
      <c r="I1103">
        <v>8</v>
      </c>
      <c r="J1103">
        <v>4</v>
      </c>
      <c r="K1103" t="s">
        <v>72</v>
      </c>
      <c r="L1103">
        <v>1</v>
      </c>
      <c r="M1103">
        <v>526</v>
      </c>
      <c r="N1103">
        <v>3</v>
      </c>
      <c r="O1103" t="s">
        <v>52</v>
      </c>
      <c r="P1103">
        <v>74</v>
      </c>
      <c r="Q1103">
        <v>3</v>
      </c>
      <c r="R1103">
        <v>2</v>
      </c>
      <c r="S1103" t="s">
        <v>160</v>
      </c>
      <c r="T1103">
        <v>3</v>
      </c>
      <c r="U1103" t="s">
        <v>101</v>
      </c>
      <c r="V1103">
        <v>4522</v>
      </c>
      <c r="W1103" t="s">
        <v>46</v>
      </c>
      <c r="X1103">
        <v>2227</v>
      </c>
      <c r="Y1103">
        <v>4</v>
      </c>
      <c r="Z1103" t="s">
        <v>47</v>
      </c>
      <c r="AA1103" t="s">
        <v>39</v>
      </c>
      <c r="AB1103">
        <v>14</v>
      </c>
      <c r="AC1103">
        <v>3</v>
      </c>
      <c r="AD1103">
        <v>4</v>
      </c>
      <c r="AE1103">
        <v>80</v>
      </c>
      <c r="AF1103">
        <v>0</v>
      </c>
      <c r="AG1103">
        <v>8</v>
      </c>
      <c r="AH1103">
        <v>3</v>
      </c>
      <c r="AI1103">
        <v>3</v>
      </c>
      <c r="AJ1103">
        <v>5</v>
      </c>
      <c r="AK1103">
        <v>2</v>
      </c>
      <c r="AL1103">
        <v>0</v>
      </c>
    </row>
    <row r="1104" spans="1:38" x14ac:dyDescent="0.3">
      <c r="A1104" t="s">
        <v>1173</v>
      </c>
      <c r="B1104">
        <v>43</v>
      </c>
      <c r="C1104" t="s">
        <v>800</v>
      </c>
      <c r="D1104" t="s">
        <v>48</v>
      </c>
      <c r="E1104">
        <f t="shared" si="17"/>
        <v>0</v>
      </c>
      <c r="F1104" t="s">
        <v>40</v>
      </c>
      <c r="G1104">
        <v>782</v>
      </c>
      <c r="H1104" t="s">
        <v>41</v>
      </c>
      <c r="I1104">
        <v>6</v>
      </c>
      <c r="J1104">
        <v>4</v>
      </c>
      <c r="K1104" t="s">
        <v>72</v>
      </c>
      <c r="L1104">
        <v>1</v>
      </c>
      <c r="M1104">
        <v>661</v>
      </c>
      <c r="N1104">
        <v>2</v>
      </c>
      <c r="O1104" t="s">
        <v>43</v>
      </c>
      <c r="P1104">
        <v>50</v>
      </c>
      <c r="Q1104">
        <v>2</v>
      </c>
      <c r="R1104">
        <v>4</v>
      </c>
      <c r="S1104" t="s">
        <v>251</v>
      </c>
      <c r="T1104">
        <v>4</v>
      </c>
      <c r="U1104" t="s">
        <v>101</v>
      </c>
      <c r="V1104">
        <v>16627</v>
      </c>
      <c r="W1104" t="s">
        <v>366</v>
      </c>
      <c r="X1104">
        <v>2671</v>
      </c>
      <c r="Y1104">
        <v>4</v>
      </c>
      <c r="Z1104" t="s">
        <v>47</v>
      </c>
      <c r="AA1104" t="s">
        <v>39</v>
      </c>
      <c r="AB1104">
        <v>14</v>
      </c>
      <c r="AC1104">
        <v>3</v>
      </c>
      <c r="AD1104">
        <v>3</v>
      </c>
      <c r="AE1104">
        <v>80</v>
      </c>
      <c r="AF1104">
        <v>1</v>
      </c>
      <c r="AG1104">
        <v>21</v>
      </c>
      <c r="AH1104">
        <v>3</v>
      </c>
      <c r="AI1104">
        <v>2</v>
      </c>
      <c r="AJ1104">
        <v>1</v>
      </c>
      <c r="AK1104">
        <v>0</v>
      </c>
      <c r="AL1104">
        <v>0</v>
      </c>
    </row>
    <row r="1105" spans="1:38" x14ac:dyDescent="0.3">
      <c r="A1105" t="s">
        <v>1174</v>
      </c>
      <c r="B1105">
        <v>43</v>
      </c>
      <c r="C1105" t="s">
        <v>800</v>
      </c>
      <c r="D1105" t="s">
        <v>48</v>
      </c>
      <c r="E1105">
        <f t="shared" si="17"/>
        <v>0</v>
      </c>
      <c r="F1105" t="s">
        <v>55</v>
      </c>
      <c r="G1105">
        <v>1001</v>
      </c>
      <c r="H1105" t="s">
        <v>41</v>
      </c>
      <c r="I1105">
        <v>9</v>
      </c>
      <c r="J1105">
        <v>5</v>
      </c>
      <c r="K1105" t="s">
        <v>51</v>
      </c>
      <c r="L1105">
        <v>1</v>
      </c>
      <c r="M1105">
        <v>663</v>
      </c>
      <c r="N1105">
        <v>4</v>
      </c>
      <c r="O1105" t="s">
        <v>43</v>
      </c>
      <c r="P1105">
        <v>72</v>
      </c>
      <c r="Q1105">
        <v>3</v>
      </c>
      <c r="R1105">
        <v>2</v>
      </c>
      <c r="S1105" t="s">
        <v>44</v>
      </c>
      <c r="T1105">
        <v>3</v>
      </c>
      <c r="U1105" t="s">
        <v>101</v>
      </c>
      <c r="V1105">
        <v>5679</v>
      </c>
      <c r="W1105" t="s">
        <v>162</v>
      </c>
      <c r="X1105">
        <v>19627</v>
      </c>
      <c r="Y1105">
        <v>3</v>
      </c>
      <c r="Z1105" t="s">
        <v>47</v>
      </c>
      <c r="AA1105" t="s">
        <v>39</v>
      </c>
      <c r="AB1105">
        <v>13</v>
      </c>
      <c r="AC1105">
        <v>3</v>
      </c>
      <c r="AD1105">
        <v>2</v>
      </c>
      <c r="AE1105">
        <v>80</v>
      </c>
      <c r="AF1105">
        <v>1</v>
      </c>
      <c r="AG1105">
        <v>10</v>
      </c>
      <c r="AH1105">
        <v>3</v>
      </c>
      <c r="AI1105">
        <v>3</v>
      </c>
      <c r="AJ1105">
        <v>8</v>
      </c>
      <c r="AK1105">
        <v>7</v>
      </c>
      <c r="AL1105">
        <v>4</v>
      </c>
    </row>
    <row r="1106" spans="1:38" x14ac:dyDescent="0.3">
      <c r="A1106" t="s">
        <v>1175</v>
      </c>
      <c r="B1106">
        <v>43</v>
      </c>
      <c r="C1106" t="s">
        <v>800</v>
      </c>
      <c r="D1106" t="s">
        <v>48</v>
      </c>
      <c r="E1106">
        <f t="shared" si="17"/>
        <v>0</v>
      </c>
      <c r="F1106" t="s">
        <v>55</v>
      </c>
      <c r="G1106">
        <v>775</v>
      </c>
      <c r="H1106" t="s">
        <v>50</v>
      </c>
      <c r="I1106">
        <v>15</v>
      </c>
      <c r="J1106">
        <v>3</v>
      </c>
      <c r="K1106" t="s">
        <v>42</v>
      </c>
      <c r="L1106">
        <v>1</v>
      </c>
      <c r="M1106">
        <v>754</v>
      </c>
      <c r="N1106">
        <v>4</v>
      </c>
      <c r="O1106" t="s">
        <v>43</v>
      </c>
      <c r="P1106">
        <v>47</v>
      </c>
      <c r="Q1106">
        <v>2</v>
      </c>
      <c r="R1106">
        <v>2</v>
      </c>
      <c r="S1106" t="s">
        <v>136</v>
      </c>
      <c r="T1106">
        <v>4</v>
      </c>
      <c r="U1106" t="s">
        <v>104</v>
      </c>
      <c r="V1106">
        <v>6804</v>
      </c>
      <c r="W1106" t="s">
        <v>162</v>
      </c>
      <c r="X1106">
        <v>23683</v>
      </c>
      <c r="Y1106">
        <v>3</v>
      </c>
      <c r="Z1106" t="s">
        <v>47</v>
      </c>
      <c r="AA1106" t="s">
        <v>48</v>
      </c>
      <c r="AB1106">
        <v>18</v>
      </c>
      <c r="AC1106">
        <v>3</v>
      </c>
      <c r="AD1106">
        <v>3</v>
      </c>
      <c r="AE1106">
        <v>80</v>
      </c>
      <c r="AF1106">
        <v>1</v>
      </c>
      <c r="AG1106">
        <v>7</v>
      </c>
      <c r="AH1106">
        <v>5</v>
      </c>
      <c r="AI1106">
        <v>3</v>
      </c>
      <c r="AJ1106">
        <v>2</v>
      </c>
      <c r="AK1106">
        <v>2</v>
      </c>
      <c r="AL1106">
        <v>2</v>
      </c>
    </row>
    <row r="1107" spans="1:38" x14ac:dyDescent="0.3">
      <c r="A1107" t="s">
        <v>1176</v>
      </c>
      <c r="B1107">
        <v>43</v>
      </c>
      <c r="C1107" t="s">
        <v>800</v>
      </c>
      <c r="D1107" t="s">
        <v>48</v>
      </c>
      <c r="E1107">
        <f t="shared" si="17"/>
        <v>0</v>
      </c>
      <c r="F1107" t="s">
        <v>40</v>
      </c>
      <c r="G1107">
        <v>589</v>
      </c>
      <c r="H1107" t="s">
        <v>41</v>
      </c>
      <c r="I1107">
        <v>14</v>
      </c>
      <c r="J1107">
        <v>2</v>
      </c>
      <c r="K1107" t="s">
        <v>42</v>
      </c>
      <c r="L1107">
        <v>1</v>
      </c>
      <c r="M1107">
        <v>843</v>
      </c>
      <c r="N1107">
        <v>2</v>
      </c>
      <c r="O1107" t="s">
        <v>43</v>
      </c>
      <c r="P1107">
        <v>94</v>
      </c>
      <c r="Q1107">
        <v>3</v>
      </c>
      <c r="R1107">
        <v>4</v>
      </c>
      <c r="S1107" t="s">
        <v>251</v>
      </c>
      <c r="T1107">
        <v>1</v>
      </c>
      <c r="U1107" t="s">
        <v>104</v>
      </c>
      <c r="V1107">
        <v>17159</v>
      </c>
      <c r="W1107" t="s">
        <v>366</v>
      </c>
      <c r="X1107">
        <v>5200</v>
      </c>
      <c r="Y1107">
        <v>6</v>
      </c>
      <c r="Z1107" t="s">
        <v>47</v>
      </c>
      <c r="AA1107" t="s">
        <v>48</v>
      </c>
      <c r="AB1107">
        <v>24</v>
      </c>
      <c r="AC1107">
        <v>4</v>
      </c>
      <c r="AD1107">
        <v>3</v>
      </c>
      <c r="AE1107">
        <v>80</v>
      </c>
      <c r="AF1107">
        <v>1</v>
      </c>
      <c r="AG1107">
        <v>22</v>
      </c>
      <c r="AH1107">
        <v>3</v>
      </c>
      <c r="AI1107">
        <v>3</v>
      </c>
      <c r="AJ1107">
        <v>4</v>
      </c>
      <c r="AK1107">
        <v>1</v>
      </c>
      <c r="AL1107">
        <v>1</v>
      </c>
    </row>
    <row r="1108" spans="1:38" x14ac:dyDescent="0.3">
      <c r="A1108" t="s">
        <v>1177</v>
      </c>
      <c r="B1108">
        <v>43</v>
      </c>
      <c r="C1108" t="s">
        <v>800</v>
      </c>
      <c r="D1108" t="s">
        <v>48</v>
      </c>
      <c r="E1108">
        <f t="shared" si="17"/>
        <v>0</v>
      </c>
      <c r="F1108" t="s">
        <v>55</v>
      </c>
      <c r="G1108">
        <v>422</v>
      </c>
      <c r="H1108" t="s">
        <v>41</v>
      </c>
      <c r="I1108">
        <v>1</v>
      </c>
      <c r="J1108">
        <v>3</v>
      </c>
      <c r="K1108" t="s">
        <v>42</v>
      </c>
      <c r="L1108">
        <v>1</v>
      </c>
      <c r="M1108">
        <v>902</v>
      </c>
      <c r="N1108">
        <v>4</v>
      </c>
      <c r="O1108" t="s">
        <v>52</v>
      </c>
      <c r="P1108">
        <v>33</v>
      </c>
      <c r="Q1108">
        <v>3</v>
      </c>
      <c r="R1108">
        <v>2</v>
      </c>
      <c r="S1108" t="s">
        <v>160</v>
      </c>
      <c r="T1108">
        <v>4</v>
      </c>
      <c r="U1108" t="s">
        <v>104</v>
      </c>
      <c r="V1108">
        <v>5562</v>
      </c>
      <c r="W1108" t="s">
        <v>162</v>
      </c>
      <c r="X1108">
        <v>21782</v>
      </c>
      <c r="Y1108">
        <v>4</v>
      </c>
      <c r="Z1108" t="s">
        <v>47</v>
      </c>
      <c r="AA1108" t="s">
        <v>48</v>
      </c>
      <c r="AB1108">
        <v>13</v>
      </c>
      <c r="AC1108">
        <v>3</v>
      </c>
      <c r="AD1108">
        <v>2</v>
      </c>
      <c r="AE1108">
        <v>80</v>
      </c>
      <c r="AF1108">
        <v>1</v>
      </c>
      <c r="AG1108">
        <v>12</v>
      </c>
      <c r="AH1108">
        <v>2</v>
      </c>
      <c r="AI1108">
        <v>2</v>
      </c>
      <c r="AJ1108">
        <v>5</v>
      </c>
      <c r="AK1108">
        <v>2</v>
      </c>
      <c r="AL1108">
        <v>2</v>
      </c>
    </row>
    <row r="1109" spans="1:38" x14ac:dyDescent="0.3">
      <c r="A1109" t="s">
        <v>1178</v>
      </c>
      <c r="B1109">
        <v>43</v>
      </c>
      <c r="C1109" t="s">
        <v>800</v>
      </c>
      <c r="D1109" t="s">
        <v>48</v>
      </c>
      <c r="E1109">
        <f t="shared" si="17"/>
        <v>0</v>
      </c>
      <c r="F1109" t="s">
        <v>40</v>
      </c>
      <c r="G1109">
        <v>177</v>
      </c>
      <c r="H1109" t="s">
        <v>41</v>
      </c>
      <c r="I1109">
        <v>8</v>
      </c>
      <c r="J1109">
        <v>3</v>
      </c>
      <c r="K1109" t="s">
        <v>42</v>
      </c>
      <c r="L1109">
        <v>1</v>
      </c>
      <c r="M1109">
        <v>920</v>
      </c>
      <c r="N1109">
        <v>1</v>
      </c>
      <c r="O1109" t="s">
        <v>52</v>
      </c>
      <c r="P1109">
        <v>55</v>
      </c>
      <c r="Q1109">
        <v>3</v>
      </c>
      <c r="R1109">
        <v>2</v>
      </c>
      <c r="S1109" t="s">
        <v>111</v>
      </c>
      <c r="T1109">
        <v>2</v>
      </c>
      <c r="U1109" t="s">
        <v>101</v>
      </c>
      <c r="V1109">
        <v>4765</v>
      </c>
      <c r="W1109" t="s">
        <v>46</v>
      </c>
      <c r="X1109">
        <v>23814</v>
      </c>
      <c r="Y1109">
        <v>4</v>
      </c>
      <c r="Z1109" t="s">
        <v>47</v>
      </c>
      <c r="AA1109" t="s">
        <v>48</v>
      </c>
      <c r="AB1109">
        <v>21</v>
      </c>
      <c r="AC1109">
        <v>4</v>
      </c>
      <c r="AD1109">
        <v>3</v>
      </c>
      <c r="AE1109">
        <v>80</v>
      </c>
      <c r="AF1109">
        <v>1</v>
      </c>
      <c r="AG1109">
        <v>4</v>
      </c>
      <c r="AH1109">
        <v>2</v>
      </c>
      <c r="AI1109">
        <v>4</v>
      </c>
      <c r="AJ1109">
        <v>1</v>
      </c>
      <c r="AK1109">
        <v>0</v>
      </c>
      <c r="AL1109">
        <v>0</v>
      </c>
    </row>
    <row r="1110" spans="1:38" x14ac:dyDescent="0.3">
      <c r="A1110" t="s">
        <v>1179</v>
      </c>
      <c r="B1110">
        <v>43</v>
      </c>
      <c r="C1110" t="s">
        <v>800</v>
      </c>
      <c r="D1110" t="s">
        <v>48</v>
      </c>
      <c r="E1110">
        <f t="shared" si="17"/>
        <v>0</v>
      </c>
      <c r="F1110" t="s">
        <v>40</v>
      </c>
      <c r="G1110">
        <v>415</v>
      </c>
      <c r="H1110" t="s">
        <v>50</v>
      </c>
      <c r="I1110">
        <v>25</v>
      </c>
      <c r="J1110">
        <v>3</v>
      </c>
      <c r="K1110" t="s">
        <v>51</v>
      </c>
      <c r="L1110">
        <v>1</v>
      </c>
      <c r="M1110">
        <v>1076</v>
      </c>
      <c r="N1110">
        <v>3</v>
      </c>
      <c r="O1110" t="s">
        <v>43</v>
      </c>
      <c r="P1110">
        <v>79</v>
      </c>
      <c r="Q1110">
        <v>2</v>
      </c>
      <c r="R1110">
        <v>3</v>
      </c>
      <c r="S1110" t="s">
        <v>136</v>
      </c>
      <c r="T1110">
        <v>4</v>
      </c>
      <c r="U1110" t="s">
        <v>101</v>
      </c>
      <c r="V1110">
        <v>10798</v>
      </c>
      <c r="W1110" t="s">
        <v>252</v>
      </c>
      <c r="X1110">
        <v>5268</v>
      </c>
      <c r="Y1110">
        <v>5</v>
      </c>
      <c r="Z1110" t="s">
        <v>47</v>
      </c>
      <c r="AA1110" t="s">
        <v>48</v>
      </c>
      <c r="AB1110">
        <v>13</v>
      </c>
      <c r="AC1110">
        <v>3</v>
      </c>
      <c r="AD1110">
        <v>3</v>
      </c>
      <c r="AE1110">
        <v>80</v>
      </c>
      <c r="AF1110">
        <v>1</v>
      </c>
      <c r="AG1110">
        <v>18</v>
      </c>
      <c r="AH1110">
        <v>5</v>
      </c>
      <c r="AI1110">
        <v>3</v>
      </c>
      <c r="AJ1110">
        <v>1</v>
      </c>
      <c r="AK1110">
        <v>0</v>
      </c>
      <c r="AL1110">
        <v>0</v>
      </c>
    </row>
    <row r="1111" spans="1:38" x14ac:dyDescent="0.3">
      <c r="A1111" t="s">
        <v>1180</v>
      </c>
      <c r="B1111">
        <v>43</v>
      </c>
      <c r="C1111" t="s">
        <v>800</v>
      </c>
      <c r="D1111" t="s">
        <v>48</v>
      </c>
      <c r="E1111">
        <f t="shared" si="17"/>
        <v>0</v>
      </c>
      <c r="F1111" t="s">
        <v>55</v>
      </c>
      <c r="G1111">
        <v>1082</v>
      </c>
      <c r="H1111" t="s">
        <v>41</v>
      </c>
      <c r="I1111">
        <v>27</v>
      </c>
      <c r="J1111">
        <v>3</v>
      </c>
      <c r="K1111" t="s">
        <v>42</v>
      </c>
      <c r="L1111">
        <v>1</v>
      </c>
      <c r="M1111">
        <v>1126</v>
      </c>
      <c r="N1111">
        <v>3</v>
      </c>
      <c r="O1111" t="s">
        <v>52</v>
      </c>
      <c r="P1111">
        <v>83</v>
      </c>
      <c r="Q1111">
        <v>3</v>
      </c>
      <c r="R1111">
        <v>3</v>
      </c>
      <c r="S1111" t="s">
        <v>111</v>
      </c>
      <c r="T1111">
        <v>1</v>
      </c>
      <c r="U1111" t="s">
        <v>104</v>
      </c>
      <c r="V1111">
        <v>10820</v>
      </c>
      <c r="W1111" t="s">
        <v>252</v>
      </c>
      <c r="X1111">
        <v>11535</v>
      </c>
      <c r="Y1111">
        <v>8</v>
      </c>
      <c r="Z1111" t="s">
        <v>47</v>
      </c>
      <c r="AA1111" t="s">
        <v>48</v>
      </c>
      <c r="AB1111">
        <v>11</v>
      </c>
      <c r="AC1111">
        <v>3</v>
      </c>
      <c r="AD1111">
        <v>3</v>
      </c>
      <c r="AE1111">
        <v>80</v>
      </c>
      <c r="AF1111">
        <v>1</v>
      </c>
      <c r="AG1111">
        <v>18</v>
      </c>
      <c r="AH1111">
        <v>1</v>
      </c>
      <c r="AI1111">
        <v>3</v>
      </c>
      <c r="AJ1111">
        <v>8</v>
      </c>
      <c r="AK1111">
        <v>7</v>
      </c>
      <c r="AL1111">
        <v>0</v>
      </c>
    </row>
    <row r="1112" spans="1:38" x14ac:dyDescent="0.3">
      <c r="A1112" t="s">
        <v>1181</v>
      </c>
      <c r="B1112">
        <v>43</v>
      </c>
      <c r="C1112" t="s">
        <v>800</v>
      </c>
      <c r="D1112" t="s">
        <v>39</v>
      </c>
      <c r="E1112">
        <f t="shared" si="17"/>
        <v>1</v>
      </c>
      <c r="F1112" t="s">
        <v>40</v>
      </c>
      <c r="G1112">
        <v>1372</v>
      </c>
      <c r="H1112" t="s">
        <v>50</v>
      </c>
      <c r="I1112">
        <v>9</v>
      </c>
      <c r="J1112">
        <v>3</v>
      </c>
      <c r="K1112" t="s">
        <v>56</v>
      </c>
      <c r="L1112">
        <v>1</v>
      </c>
      <c r="M1112">
        <v>1188</v>
      </c>
      <c r="N1112">
        <v>1</v>
      </c>
      <c r="O1112" t="s">
        <v>52</v>
      </c>
      <c r="P1112">
        <v>85</v>
      </c>
      <c r="Q1112">
        <v>1</v>
      </c>
      <c r="R1112">
        <v>2</v>
      </c>
      <c r="S1112" t="s">
        <v>136</v>
      </c>
      <c r="T1112">
        <v>3</v>
      </c>
      <c r="U1112" t="s">
        <v>45</v>
      </c>
      <c r="V1112">
        <v>5346</v>
      </c>
      <c r="W1112" t="s">
        <v>162</v>
      </c>
      <c r="X1112">
        <v>9489</v>
      </c>
      <c r="Y1112">
        <v>8</v>
      </c>
      <c r="Z1112" t="s">
        <v>47</v>
      </c>
      <c r="AA1112" t="s">
        <v>48</v>
      </c>
      <c r="AB1112">
        <v>13</v>
      </c>
      <c r="AC1112">
        <v>3</v>
      </c>
      <c r="AD1112">
        <v>2</v>
      </c>
      <c r="AE1112">
        <v>80</v>
      </c>
      <c r="AF1112">
        <v>0</v>
      </c>
      <c r="AG1112">
        <v>7</v>
      </c>
      <c r="AH1112">
        <v>2</v>
      </c>
      <c r="AI1112">
        <v>2</v>
      </c>
      <c r="AJ1112">
        <v>4</v>
      </c>
      <c r="AK1112">
        <v>3</v>
      </c>
      <c r="AL1112">
        <v>1</v>
      </c>
    </row>
    <row r="1113" spans="1:38" x14ac:dyDescent="0.3">
      <c r="A1113" t="s">
        <v>1182</v>
      </c>
      <c r="B1113">
        <v>43</v>
      </c>
      <c r="C1113" t="s">
        <v>800</v>
      </c>
      <c r="D1113" t="s">
        <v>48</v>
      </c>
      <c r="E1113">
        <f t="shared" si="17"/>
        <v>0</v>
      </c>
      <c r="F1113" t="s">
        <v>40</v>
      </c>
      <c r="G1113">
        <v>920</v>
      </c>
      <c r="H1113" t="s">
        <v>41</v>
      </c>
      <c r="I1113">
        <v>3</v>
      </c>
      <c r="J1113">
        <v>3</v>
      </c>
      <c r="K1113" t="s">
        <v>42</v>
      </c>
      <c r="L1113">
        <v>1</v>
      </c>
      <c r="M1113">
        <v>1255</v>
      </c>
      <c r="N1113">
        <v>3</v>
      </c>
      <c r="O1113" t="s">
        <v>43</v>
      </c>
      <c r="P1113">
        <v>96</v>
      </c>
      <c r="Q1113">
        <v>1</v>
      </c>
      <c r="R1113">
        <v>5</v>
      </c>
      <c r="S1113" t="s">
        <v>251</v>
      </c>
      <c r="T1113">
        <v>4</v>
      </c>
      <c r="U1113" t="s">
        <v>104</v>
      </c>
      <c r="V1113">
        <v>19740</v>
      </c>
      <c r="W1113" t="s">
        <v>366</v>
      </c>
      <c r="X1113">
        <v>18625</v>
      </c>
      <c r="Y1113">
        <v>3</v>
      </c>
      <c r="Z1113" t="s">
        <v>47</v>
      </c>
      <c r="AA1113" t="s">
        <v>48</v>
      </c>
      <c r="AB1113">
        <v>14</v>
      </c>
      <c r="AC1113">
        <v>3</v>
      </c>
      <c r="AD1113">
        <v>2</v>
      </c>
      <c r="AE1113">
        <v>80</v>
      </c>
      <c r="AF1113">
        <v>1</v>
      </c>
      <c r="AG1113">
        <v>25</v>
      </c>
      <c r="AH1113">
        <v>2</v>
      </c>
      <c r="AI1113">
        <v>3</v>
      </c>
      <c r="AJ1113">
        <v>8</v>
      </c>
      <c r="AK1113">
        <v>7</v>
      </c>
      <c r="AL1113">
        <v>0</v>
      </c>
    </row>
    <row r="1114" spans="1:38" x14ac:dyDescent="0.3">
      <c r="A1114" t="s">
        <v>1183</v>
      </c>
      <c r="B1114">
        <v>43</v>
      </c>
      <c r="C1114" t="s">
        <v>800</v>
      </c>
      <c r="D1114" t="s">
        <v>48</v>
      </c>
      <c r="E1114">
        <f t="shared" si="17"/>
        <v>0</v>
      </c>
      <c r="F1114" t="s">
        <v>40</v>
      </c>
      <c r="G1114">
        <v>531</v>
      </c>
      <c r="H1114" t="s">
        <v>50</v>
      </c>
      <c r="I1114">
        <v>4</v>
      </c>
      <c r="J1114">
        <v>4</v>
      </c>
      <c r="K1114" t="s">
        <v>56</v>
      </c>
      <c r="L1114">
        <v>1</v>
      </c>
      <c r="M1114">
        <v>1293</v>
      </c>
      <c r="N1114">
        <v>4</v>
      </c>
      <c r="O1114" t="s">
        <v>52</v>
      </c>
      <c r="P1114">
        <v>56</v>
      </c>
      <c r="Q1114">
        <v>2</v>
      </c>
      <c r="R1114">
        <v>3</v>
      </c>
      <c r="S1114" t="s">
        <v>136</v>
      </c>
      <c r="T1114">
        <v>4</v>
      </c>
      <c r="U1114" t="s">
        <v>45</v>
      </c>
      <c r="V1114">
        <v>10231</v>
      </c>
      <c r="W1114" t="s">
        <v>252</v>
      </c>
      <c r="X1114">
        <v>20364</v>
      </c>
      <c r="Y1114">
        <v>3</v>
      </c>
      <c r="Z1114" t="s">
        <v>47</v>
      </c>
      <c r="AA1114" t="s">
        <v>48</v>
      </c>
      <c r="AB1114">
        <v>14</v>
      </c>
      <c r="AC1114">
        <v>3</v>
      </c>
      <c r="AD1114">
        <v>4</v>
      </c>
      <c r="AE1114">
        <v>80</v>
      </c>
      <c r="AF1114">
        <v>0</v>
      </c>
      <c r="AG1114">
        <v>23</v>
      </c>
      <c r="AH1114">
        <v>3</v>
      </c>
      <c r="AI1114">
        <v>4</v>
      </c>
      <c r="AJ1114">
        <v>21</v>
      </c>
      <c r="AK1114">
        <v>7</v>
      </c>
      <c r="AL1114">
        <v>15</v>
      </c>
    </row>
    <row r="1115" spans="1:38" x14ac:dyDescent="0.3">
      <c r="A1115" t="s">
        <v>1184</v>
      </c>
      <c r="B1115">
        <v>43</v>
      </c>
      <c r="C1115" t="s">
        <v>800</v>
      </c>
      <c r="D1115" t="s">
        <v>48</v>
      </c>
      <c r="E1115">
        <f t="shared" si="17"/>
        <v>0</v>
      </c>
      <c r="F1115" t="s">
        <v>40</v>
      </c>
      <c r="G1115">
        <v>930</v>
      </c>
      <c r="H1115" t="s">
        <v>41</v>
      </c>
      <c r="I1115">
        <v>6</v>
      </c>
      <c r="J1115">
        <v>3</v>
      </c>
      <c r="K1115" t="s">
        <v>51</v>
      </c>
      <c r="L1115">
        <v>1</v>
      </c>
      <c r="M1115">
        <v>1402</v>
      </c>
      <c r="N1115">
        <v>1</v>
      </c>
      <c r="O1115" t="s">
        <v>52</v>
      </c>
      <c r="P1115">
        <v>73</v>
      </c>
      <c r="Q1115">
        <v>2</v>
      </c>
      <c r="R1115">
        <v>2</v>
      </c>
      <c r="S1115" t="s">
        <v>59</v>
      </c>
      <c r="T1115">
        <v>3</v>
      </c>
      <c r="U1115" t="s">
        <v>45</v>
      </c>
      <c r="V1115">
        <v>4081</v>
      </c>
      <c r="W1115" t="s">
        <v>46</v>
      </c>
      <c r="X1115">
        <v>20003</v>
      </c>
      <c r="Y1115">
        <v>1</v>
      </c>
      <c r="Z1115" t="s">
        <v>47</v>
      </c>
      <c r="AA1115" t="s">
        <v>39</v>
      </c>
      <c r="AB1115">
        <v>14</v>
      </c>
      <c r="AC1115">
        <v>3</v>
      </c>
      <c r="AD1115">
        <v>1</v>
      </c>
      <c r="AE1115">
        <v>80</v>
      </c>
      <c r="AF1115">
        <v>0</v>
      </c>
      <c r="AG1115">
        <v>20</v>
      </c>
      <c r="AH1115">
        <v>3</v>
      </c>
      <c r="AI1115">
        <v>1</v>
      </c>
      <c r="AJ1115">
        <v>20</v>
      </c>
      <c r="AK1115">
        <v>7</v>
      </c>
      <c r="AL1115">
        <v>1</v>
      </c>
    </row>
    <row r="1116" spans="1:38" x14ac:dyDescent="0.3">
      <c r="A1116" t="s">
        <v>1185</v>
      </c>
      <c r="B1116">
        <v>43</v>
      </c>
      <c r="C1116" t="s">
        <v>800</v>
      </c>
      <c r="D1116" t="s">
        <v>48</v>
      </c>
      <c r="E1116">
        <f t="shared" si="17"/>
        <v>0</v>
      </c>
      <c r="F1116" t="s">
        <v>40</v>
      </c>
      <c r="G1116">
        <v>990</v>
      </c>
      <c r="H1116" t="s">
        <v>41</v>
      </c>
      <c r="I1116">
        <v>27</v>
      </c>
      <c r="J1116">
        <v>3</v>
      </c>
      <c r="K1116" t="s">
        <v>67</v>
      </c>
      <c r="L1116">
        <v>1</v>
      </c>
      <c r="M1116">
        <v>1599</v>
      </c>
      <c r="N1116">
        <v>4</v>
      </c>
      <c r="O1116" t="s">
        <v>43</v>
      </c>
      <c r="P1116">
        <v>87</v>
      </c>
      <c r="Q1116">
        <v>4</v>
      </c>
      <c r="R1116">
        <v>1</v>
      </c>
      <c r="S1116" t="s">
        <v>44</v>
      </c>
      <c r="T1116">
        <v>2</v>
      </c>
      <c r="U1116" t="s">
        <v>101</v>
      </c>
      <c r="V1116">
        <v>4876</v>
      </c>
      <c r="W1116" t="s">
        <v>46</v>
      </c>
      <c r="X1116">
        <v>5855</v>
      </c>
      <c r="Y1116">
        <v>5</v>
      </c>
      <c r="Z1116" t="s">
        <v>47</v>
      </c>
      <c r="AA1116" t="s">
        <v>48</v>
      </c>
      <c r="AB1116">
        <v>12</v>
      </c>
      <c r="AC1116">
        <v>3</v>
      </c>
      <c r="AD1116">
        <v>3</v>
      </c>
      <c r="AE1116">
        <v>80</v>
      </c>
      <c r="AF1116">
        <v>1</v>
      </c>
      <c r="AG1116">
        <v>8</v>
      </c>
      <c r="AH1116">
        <v>0</v>
      </c>
      <c r="AI1116">
        <v>3</v>
      </c>
      <c r="AJ1116">
        <v>6</v>
      </c>
      <c r="AK1116">
        <v>4</v>
      </c>
      <c r="AL1116">
        <v>0</v>
      </c>
    </row>
    <row r="1117" spans="1:38" x14ac:dyDescent="0.3">
      <c r="A1117" t="s">
        <v>1186</v>
      </c>
      <c r="B1117">
        <v>43</v>
      </c>
      <c r="C1117" t="s">
        <v>800</v>
      </c>
      <c r="D1117" t="s">
        <v>48</v>
      </c>
      <c r="E1117">
        <f t="shared" si="17"/>
        <v>0</v>
      </c>
      <c r="F1117" t="s">
        <v>40</v>
      </c>
      <c r="G1117">
        <v>1291</v>
      </c>
      <c r="H1117" t="s">
        <v>41</v>
      </c>
      <c r="I1117">
        <v>15</v>
      </c>
      <c r="J1117">
        <v>2</v>
      </c>
      <c r="K1117" t="s">
        <v>42</v>
      </c>
      <c r="L1117">
        <v>1</v>
      </c>
      <c r="M1117">
        <v>1666</v>
      </c>
      <c r="N1117">
        <v>3</v>
      </c>
      <c r="O1117" t="s">
        <v>43</v>
      </c>
      <c r="P1117">
        <v>65</v>
      </c>
      <c r="Q1117">
        <v>2</v>
      </c>
      <c r="R1117">
        <v>4</v>
      </c>
      <c r="S1117" t="s">
        <v>251</v>
      </c>
      <c r="T1117">
        <v>3</v>
      </c>
      <c r="U1117" t="s">
        <v>104</v>
      </c>
      <c r="V1117">
        <v>17603</v>
      </c>
      <c r="W1117" t="s">
        <v>366</v>
      </c>
      <c r="X1117">
        <v>3525</v>
      </c>
      <c r="Y1117">
        <v>1</v>
      </c>
      <c r="Z1117" t="s">
        <v>47</v>
      </c>
      <c r="AA1117" t="s">
        <v>48</v>
      </c>
      <c r="AB1117">
        <v>24</v>
      </c>
      <c r="AC1117">
        <v>4</v>
      </c>
      <c r="AD1117">
        <v>1</v>
      </c>
      <c r="AE1117">
        <v>80</v>
      </c>
      <c r="AF1117">
        <v>1</v>
      </c>
      <c r="AG1117">
        <v>14</v>
      </c>
      <c r="AH1117">
        <v>3</v>
      </c>
      <c r="AI1117">
        <v>3</v>
      </c>
      <c r="AJ1117">
        <v>14</v>
      </c>
      <c r="AK1117">
        <v>10</v>
      </c>
      <c r="AL1117">
        <v>6</v>
      </c>
    </row>
    <row r="1118" spans="1:38" x14ac:dyDescent="0.3">
      <c r="A1118" t="s">
        <v>1187</v>
      </c>
      <c r="B1118">
        <v>43</v>
      </c>
      <c r="C1118" t="s">
        <v>800</v>
      </c>
      <c r="D1118" t="s">
        <v>48</v>
      </c>
      <c r="E1118">
        <f t="shared" si="17"/>
        <v>0</v>
      </c>
      <c r="F1118" t="s">
        <v>40</v>
      </c>
      <c r="G1118">
        <v>1179</v>
      </c>
      <c r="H1118" t="s">
        <v>50</v>
      </c>
      <c r="I1118">
        <v>2</v>
      </c>
      <c r="J1118">
        <v>3</v>
      </c>
      <c r="K1118" t="s">
        <v>51</v>
      </c>
      <c r="L1118">
        <v>1</v>
      </c>
      <c r="M1118">
        <v>1706</v>
      </c>
      <c r="N1118">
        <v>4</v>
      </c>
      <c r="O1118" t="s">
        <v>43</v>
      </c>
      <c r="P1118">
        <v>73</v>
      </c>
      <c r="Q1118">
        <v>3</v>
      </c>
      <c r="R1118">
        <v>2</v>
      </c>
      <c r="S1118" t="s">
        <v>136</v>
      </c>
      <c r="T1118">
        <v>4</v>
      </c>
      <c r="U1118" t="s">
        <v>104</v>
      </c>
      <c r="V1118">
        <v>7847</v>
      </c>
      <c r="W1118" t="s">
        <v>162</v>
      </c>
      <c r="X1118">
        <v>6069</v>
      </c>
      <c r="Y1118">
        <v>1</v>
      </c>
      <c r="Z1118" t="s">
        <v>47</v>
      </c>
      <c r="AA1118" t="s">
        <v>39</v>
      </c>
      <c r="AB1118">
        <v>17</v>
      </c>
      <c r="AC1118">
        <v>3</v>
      </c>
      <c r="AD1118">
        <v>1</v>
      </c>
      <c r="AE1118">
        <v>80</v>
      </c>
      <c r="AF1118">
        <v>1</v>
      </c>
      <c r="AG1118">
        <v>10</v>
      </c>
      <c r="AH1118">
        <v>3</v>
      </c>
      <c r="AI1118">
        <v>3</v>
      </c>
      <c r="AJ1118">
        <v>10</v>
      </c>
      <c r="AK1118">
        <v>9</v>
      </c>
      <c r="AL1118">
        <v>8</v>
      </c>
    </row>
    <row r="1119" spans="1:38" x14ac:dyDescent="0.3">
      <c r="A1119" t="s">
        <v>1188</v>
      </c>
      <c r="B1119">
        <v>43</v>
      </c>
      <c r="C1119" t="s">
        <v>800</v>
      </c>
      <c r="D1119" t="s">
        <v>39</v>
      </c>
      <c r="E1119">
        <f t="shared" si="17"/>
        <v>1</v>
      </c>
      <c r="F1119" t="s">
        <v>55</v>
      </c>
      <c r="G1119">
        <v>807</v>
      </c>
      <c r="H1119" t="s">
        <v>41</v>
      </c>
      <c r="I1119">
        <v>17</v>
      </c>
      <c r="J1119">
        <v>3</v>
      </c>
      <c r="K1119" t="s">
        <v>67</v>
      </c>
      <c r="L1119">
        <v>1</v>
      </c>
      <c r="M1119">
        <v>1767</v>
      </c>
      <c r="N1119">
        <v>3</v>
      </c>
      <c r="O1119" t="s">
        <v>43</v>
      </c>
      <c r="P1119">
        <v>38</v>
      </c>
      <c r="Q1119">
        <v>2</v>
      </c>
      <c r="R1119">
        <v>1</v>
      </c>
      <c r="S1119" t="s">
        <v>59</v>
      </c>
      <c r="T1119">
        <v>3</v>
      </c>
      <c r="U1119" t="s">
        <v>104</v>
      </c>
      <c r="V1119">
        <v>2437</v>
      </c>
      <c r="W1119" t="s">
        <v>46</v>
      </c>
      <c r="X1119">
        <v>15587</v>
      </c>
      <c r="Y1119">
        <v>9</v>
      </c>
      <c r="Z1119" t="s">
        <v>47</v>
      </c>
      <c r="AA1119" t="s">
        <v>39</v>
      </c>
      <c r="AB1119">
        <v>16</v>
      </c>
      <c r="AC1119">
        <v>3</v>
      </c>
      <c r="AD1119">
        <v>4</v>
      </c>
      <c r="AE1119">
        <v>80</v>
      </c>
      <c r="AF1119">
        <v>1</v>
      </c>
      <c r="AG1119">
        <v>6</v>
      </c>
      <c r="AH1119">
        <v>4</v>
      </c>
      <c r="AI1119">
        <v>3</v>
      </c>
      <c r="AJ1119">
        <v>1</v>
      </c>
      <c r="AK1119">
        <v>0</v>
      </c>
      <c r="AL1119">
        <v>0</v>
      </c>
    </row>
    <row r="1120" spans="1:38" x14ac:dyDescent="0.3">
      <c r="A1120" t="s">
        <v>1189</v>
      </c>
      <c r="B1120">
        <v>43</v>
      </c>
      <c r="C1120" t="s">
        <v>800</v>
      </c>
      <c r="D1120" t="s">
        <v>48</v>
      </c>
      <c r="E1120">
        <f t="shared" si="17"/>
        <v>0</v>
      </c>
      <c r="F1120" t="s">
        <v>40</v>
      </c>
      <c r="G1120">
        <v>244</v>
      </c>
      <c r="H1120" t="s">
        <v>70</v>
      </c>
      <c r="I1120">
        <v>2</v>
      </c>
      <c r="J1120">
        <v>3</v>
      </c>
      <c r="K1120" t="s">
        <v>42</v>
      </c>
      <c r="L1120">
        <v>1</v>
      </c>
      <c r="M1120">
        <v>1778</v>
      </c>
      <c r="N1120">
        <v>2</v>
      </c>
      <c r="O1120" t="s">
        <v>43</v>
      </c>
      <c r="P1120">
        <v>97</v>
      </c>
      <c r="Q1120">
        <v>3</v>
      </c>
      <c r="R1120">
        <v>1</v>
      </c>
      <c r="S1120" t="s">
        <v>70</v>
      </c>
      <c r="T1120">
        <v>4</v>
      </c>
      <c r="U1120" t="s">
        <v>45</v>
      </c>
      <c r="V1120">
        <v>3539</v>
      </c>
      <c r="W1120" t="s">
        <v>46</v>
      </c>
      <c r="X1120">
        <v>5033</v>
      </c>
      <c r="Y1120">
        <v>0</v>
      </c>
      <c r="Z1120" t="s">
        <v>47</v>
      </c>
      <c r="AA1120" t="s">
        <v>48</v>
      </c>
      <c r="AB1120">
        <v>13</v>
      </c>
      <c r="AC1120">
        <v>3</v>
      </c>
      <c r="AD1120">
        <v>2</v>
      </c>
      <c r="AE1120">
        <v>80</v>
      </c>
      <c r="AF1120">
        <v>0</v>
      </c>
      <c r="AG1120">
        <v>10</v>
      </c>
      <c r="AH1120">
        <v>5</v>
      </c>
      <c r="AI1120">
        <v>3</v>
      </c>
      <c r="AJ1120">
        <v>9</v>
      </c>
      <c r="AK1120">
        <v>7</v>
      </c>
      <c r="AL1120">
        <v>1</v>
      </c>
    </row>
    <row r="1121" spans="1:38" x14ac:dyDescent="0.3">
      <c r="A1121" t="s">
        <v>1190</v>
      </c>
      <c r="B1121">
        <v>43</v>
      </c>
      <c r="C1121" t="s">
        <v>800</v>
      </c>
      <c r="D1121" t="s">
        <v>48</v>
      </c>
      <c r="E1121">
        <f t="shared" si="17"/>
        <v>0</v>
      </c>
      <c r="F1121" t="s">
        <v>58</v>
      </c>
      <c r="G1121">
        <v>343</v>
      </c>
      <c r="H1121" t="s">
        <v>41</v>
      </c>
      <c r="I1121">
        <v>9</v>
      </c>
      <c r="J1121">
        <v>3</v>
      </c>
      <c r="K1121" t="s">
        <v>42</v>
      </c>
      <c r="L1121">
        <v>1</v>
      </c>
      <c r="M1121">
        <v>1813</v>
      </c>
      <c r="N1121">
        <v>1</v>
      </c>
      <c r="O1121" t="s">
        <v>43</v>
      </c>
      <c r="P1121">
        <v>52</v>
      </c>
      <c r="Q1121">
        <v>3</v>
      </c>
      <c r="R1121">
        <v>1</v>
      </c>
      <c r="S1121" t="s">
        <v>59</v>
      </c>
      <c r="T1121">
        <v>3</v>
      </c>
      <c r="U1121" t="s">
        <v>45</v>
      </c>
      <c r="V1121">
        <v>2438</v>
      </c>
      <c r="W1121" t="s">
        <v>46</v>
      </c>
      <c r="X1121">
        <v>24978</v>
      </c>
      <c r="Y1121">
        <v>4</v>
      </c>
      <c r="Z1121" t="s">
        <v>47</v>
      </c>
      <c r="AA1121" t="s">
        <v>48</v>
      </c>
      <c r="AB1121">
        <v>13</v>
      </c>
      <c r="AC1121">
        <v>3</v>
      </c>
      <c r="AD1121">
        <v>3</v>
      </c>
      <c r="AE1121">
        <v>80</v>
      </c>
      <c r="AF1121">
        <v>0</v>
      </c>
      <c r="AG1121">
        <v>7</v>
      </c>
      <c r="AH1121">
        <v>2</v>
      </c>
      <c r="AI1121">
        <v>2</v>
      </c>
      <c r="AJ1121">
        <v>3</v>
      </c>
      <c r="AK1121">
        <v>2</v>
      </c>
      <c r="AL1121">
        <v>1</v>
      </c>
    </row>
    <row r="1122" spans="1:38" x14ac:dyDescent="0.3">
      <c r="A1122" t="s">
        <v>1191</v>
      </c>
      <c r="B1122">
        <v>43</v>
      </c>
      <c r="C1122" t="s">
        <v>800</v>
      </c>
      <c r="D1122" t="s">
        <v>48</v>
      </c>
      <c r="E1122">
        <f t="shared" si="17"/>
        <v>0</v>
      </c>
      <c r="F1122" t="s">
        <v>55</v>
      </c>
      <c r="G1122">
        <v>1422</v>
      </c>
      <c r="H1122" t="s">
        <v>50</v>
      </c>
      <c r="I1122">
        <v>2</v>
      </c>
      <c r="J1122">
        <v>4</v>
      </c>
      <c r="K1122" t="s">
        <v>42</v>
      </c>
      <c r="L1122">
        <v>1</v>
      </c>
      <c r="M1122">
        <v>1849</v>
      </c>
      <c r="N1122">
        <v>1</v>
      </c>
      <c r="O1122" t="s">
        <v>43</v>
      </c>
      <c r="P1122">
        <v>92</v>
      </c>
      <c r="Q1122">
        <v>3</v>
      </c>
      <c r="R1122">
        <v>2</v>
      </c>
      <c r="S1122" t="s">
        <v>136</v>
      </c>
      <c r="T1122">
        <v>4</v>
      </c>
      <c r="U1122" t="s">
        <v>104</v>
      </c>
      <c r="V1122">
        <v>5675</v>
      </c>
      <c r="W1122" t="s">
        <v>162</v>
      </c>
      <c r="X1122">
        <v>19246</v>
      </c>
      <c r="Y1122">
        <v>1</v>
      </c>
      <c r="Z1122" t="s">
        <v>47</v>
      </c>
      <c r="AA1122" t="s">
        <v>48</v>
      </c>
      <c r="AB1122">
        <v>20</v>
      </c>
      <c r="AC1122">
        <v>4</v>
      </c>
      <c r="AD1122">
        <v>3</v>
      </c>
      <c r="AE1122">
        <v>80</v>
      </c>
      <c r="AF1122">
        <v>1</v>
      </c>
      <c r="AG1122">
        <v>7</v>
      </c>
      <c r="AH1122">
        <v>5</v>
      </c>
      <c r="AI1122">
        <v>3</v>
      </c>
      <c r="AJ1122">
        <v>7</v>
      </c>
      <c r="AK1122">
        <v>7</v>
      </c>
      <c r="AL1122">
        <v>7</v>
      </c>
    </row>
    <row r="1123" spans="1:38" x14ac:dyDescent="0.3">
      <c r="A1123" t="s">
        <v>1192</v>
      </c>
      <c r="B1123">
        <v>43</v>
      </c>
      <c r="C1123" t="s">
        <v>800</v>
      </c>
      <c r="D1123" t="s">
        <v>48</v>
      </c>
      <c r="E1123">
        <f t="shared" si="17"/>
        <v>0</v>
      </c>
      <c r="F1123" t="s">
        <v>40</v>
      </c>
      <c r="G1123">
        <v>823</v>
      </c>
      <c r="H1123" t="s">
        <v>41</v>
      </c>
      <c r="I1123">
        <v>6</v>
      </c>
      <c r="J1123">
        <v>3</v>
      </c>
      <c r="K1123" t="s">
        <v>51</v>
      </c>
      <c r="L1123">
        <v>1</v>
      </c>
      <c r="M1123">
        <v>1866</v>
      </c>
      <c r="N1123">
        <v>1</v>
      </c>
      <c r="O1123" t="s">
        <v>52</v>
      </c>
      <c r="P1123">
        <v>81</v>
      </c>
      <c r="Q1123">
        <v>2</v>
      </c>
      <c r="R1123">
        <v>5</v>
      </c>
      <c r="S1123" t="s">
        <v>440</v>
      </c>
      <c r="T1123">
        <v>3</v>
      </c>
      <c r="U1123" t="s">
        <v>104</v>
      </c>
      <c r="V1123">
        <v>19392</v>
      </c>
      <c r="W1123" t="s">
        <v>366</v>
      </c>
      <c r="X1123">
        <v>22539</v>
      </c>
      <c r="Y1123">
        <v>7</v>
      </c>
      <c r="Z1123" t="s">
        <v>47</v>
      </c>
      <c r="AA1123" t="s">
        <v>48</v>
      </c>
      <c r="AB1123">
        <v>13</v>
      </c>
      <c r="AC1123">
        <v>3</v>
      </c>
      <c r="AD1123">
        <v>4</v>
      </c>
      <c r="AE1123">
        <v>80</v>
      </c>
      <c r="AF1123">
        <v>0</v>
      </c>
      <c r="AG1123">
        <v>21</v>
      </c>
      <c r="AH1123">
        <v>2</v>
      </c>
      <c r="AI1123">
        <v>3</v>
      </c>
      <c r="AJ1123">
        <v>16</v>
      </c>
      <c r="AK1123">
        <v>12</v>
      </c>
      <c r="AL1123">
        <v>6</v>
      </c>
    </row>
    <row r="1124" spans="1:38" x14ac:dyDescent="0.3">
      <c r="A1124" t="s">
        <v>1193</v>
      </c>
      <c r="B1124">
        <v>43</v>
      </c>
      <c r="C1124" t="s">
        <v>800</v>
      </c>
      <c r="D1124" t="s">
        <v>48</v>
      </c>
      <c r="E1124">
        <f t="shared" si="17"/>
        <v>0</v>
      </c>
      <c r="F1124" t="s">
        <v>40</v>
      </c>
      <c r="G1124">
        <v>574</v>
      </c>
      <c r="H1124" t="s">
        <v>41</v>
      </c>
      <c r="I1124">
        <v>11</v>
      </c>
      <c r="J1124">
        <v>3</v>
      </c>
      <c r="K1124" t="s">
        <v>42</v>
      </c>
      <c r="L1124">
        <v>1</v>
      </c>
      <c r="M1124">
        <v>1971</v>
      </c>
      <c r="N1124">
        <v>1</v>
      </c>
      <c r="O1124" t="s">
        <v>43</v>
      </c>
      <c r="P1124">
        <v>30</v>
      </c>
      <c r="Q1124">
        <v>3</v>
      </c>
      <c r="R1124">
        <v>3</v>
      </c>
      <c r="S1124" t="s">
        <v>160</v>
      </c>
      <c r="T1124">
        <v>3</v>
      </c>
      <c r="U1124" t="s">
        <v>104</v>
      </c>
      <c r="V1124">
        <v>7510</v>
      </c>
      <c r="W1124" t="s">
        <v>162</v>
      </c>
      <c r="X1124">
        <v>16873</v>
      </c>
      <c r="Y1124">
        <v>1</v>
      </c>
      <c r="Z1124" t="s">
        <v>47</v>
      </c>
      <c r="AA1124" t="s">
        <v>48</v>
      </c>
      <c r="AB1124">
        <v>17</v>
      </c>
      <c r="AC1124">
        <v>3</v>
      </c>
      <c r="AD1124">
        <v>2</v>
      </c>
      <c r="AE1124">
        <v>80</v>
      </c>
      <c r="AF1124">
        <v>1</v>
      </c>
      <c r="AG1124">
        <v>10</v>
      </c>
      <c r="AH1124">
        <v>1</v>
      </c>
      <c r="AI1124">
        <v>3</v>
      </c>
      <c r="AJ1124">
        <v>10</v>
      </c>
      <c r="AK1124">
        <v>9</v>
      </c>
      <c r="AL1124">
        <v>0</v>
      </c>
    </row>
    <row r="1125" spans="1:38" x14ac:dyDescent="0.3">
      <c r="A1125" t="s">
        <v>1194</v>
      </c>
      <c r="B1125">
        <v>44</v>
      </c>
      <c r="C1125" t="s">
        <v>800</v>
      </c>
      <c r="D1125" t="s">
        <v>48</v>
      </c>
      <c r="E1125">
        <f t="shared" si="17"/>
        <v>0</v>
      </c>
      <c r="F1125" t="s">
        <v>40</v>
      </c>
      <c r="G1125">
        <v>477</v>
      </c>
      <c r="H1125" t="s">
        <v>41</v>
      </c>
      <c r="I1125">
        <v>7</v>
      </c>
      <c r="J1125">
        <v>4</v>
      </c>
      <c r="K1125" t="s">
        <v>51</v>
      </c>
      <c r="L1125">
        <v>1</v>
      </c>
      <c r="M1125">
        <v>36</v>
      </c>
      <c r="N1125">
        <v>1</v>
      </c>
      <c r="O1125" t="s">
        <v>52</v>
      </c>
      <c r="P1125">
        <v>42</v>
      </c>
      <c r="Q1125">
        <v>2</v>
      </c>
      <c r="R1125">
        <v>3</v>
      </c>
      <c r="S1125" t="s">
        <v>160</v>
      </c>
      <c r="T1125">
        <v>4</v>
      </c>
      <c r="U1125" t="s">
        <v>104</v>
      </c>
      <c r="V1125">
        <v>10248</v>
      </c>
      <c r="W1125" t="s">
        <v>252</v>
      </c>
      <c r="X1125">
        <v>2094</v>
      </c>
      <c r="Y1125">
        <v>3</v>
      </c>
      <c r="Z1125" t="s">
        <v>47</v>
      </c>
      <c r="AA1125" t="s">
        <v>48</v>
      </c>
      <c r="AB1125">
        <v>14</v>
      </c>
      <c r="AC1125">
        <v>3</v>
      </c>
      <c r="AD1125">
        <v>4</v>
      </c>
      <c r="AE1125">
        <v>80</v>
      </c>
      <c r="AF1125">
        <v>1</v>
      </c>
      <c r="AG1125">
        <v>24</v>
      </c>
      <c r="AH1125">
        <v>4</v>
      </c>
      <c r="AI1125">
        <v>3</v>
      </c>
      <c r="AJ1125">
        <v>22</v>
      </c>
      <c r="AK1125">
        <v>6</v>
      </c>
      <c r="AL1125">
        <v>5</v>
      </c>
    </row>
    <row r="1126" spans="1:38" x14ac:dyDescent="0.3">
      <c r="A1126" t="s">
        <v>1195</v>
      </c>
      <c r="B1126">
        <v>44</v>
      </c>
      <c r="C1126" t="s">
        <v>800</v>
      </c>
      <c r="D1126" t="s">
        <v>48</v>
      </c>
      <c r="E1126">
        <f t="shared" si="17"/>
        <v>0</v>
      </c>
      <c r="F1126" t="s">
        <v>40</v>
      </c>
      <c r="G1126">
        <v>1459</v>
      </c>
      <c r="H1126" t="s">
        <v>41</v>
      </c>
      <c r="I1126">
        <v>10</v>
      </c>
      <c r="J1126">
        <v>4</v>
      </c>
      <c r="K1126" t="s">
        <v>72</v>
      </c>
      <c r="L1126">
        <v>1</v>
      </c>
      <c r="M1126">
        <v>40</v>
      </c>
      <c r="N1126">
        <v>4</v>
      </c>
      <c r="O1126" t="s">
        <v>43</v>
      </c>
      <c r="P1126">
        <v>41</v>
      </c>
      <c r="Q1126">
        <v>3</v>
      </c>
      <c r="R1126">
        <v>2</v>
      </c>
      <c r="S1126" t="s">
        <v>160</v>
      </c>
      <c r="T1126">
        <v>4</v>
      </c>
      <c r="U1126" t="s">
        <v>104</v>
      </c>
      <c r="V1126">
        <v>6465</v>
      </c>
      <c r="W1126" t="s">
        <v>162</v>
      </c>
      <c r="X1126">
        <v>19121</v>
      </c>
      <c r="Y1126">
        <v>2</v>
      </c>
      <c r="Z1126" t="s">
        <v>47</v>
      </c>
      <c r="AA1126" t="s">
        <v>39</v>
      </c>
      <c r="AB1126">
        <v>13</v>
      </c>
      <c r="AC1126">
        <v>3</v>
      </c>
      <c r="AD1126">
        <v>4</v>
      </c>
      <c r="AE1126">
        <v>80</v>
      </c>
      <c r="AF1126">
        <v>0</v>
      </c>
      <c r="AG1126">
        <v>9</v>
      </c>
      <c r="AH1126">
        <v>5</v>
      </c>
      <c r="AI1126">
        <v>4</v>
      </c>
      <c r="AJ1126">
        <v>4</v>
      </c>
      <c r="AK1126">
        <v>2</v>
      </c>
      <c r="AL1126">
        <v>1</v>
      </c>
    </row>
    <row r="1127" spans="1:38" x14ac:dyDescent="0.3">
      <c r="A1127" t="s">
        <v>1196</v>
      </c>
      <c r="B1127">
        <v>44</v>
      </c>
      <c r="C1127" t="s">
        <v>800</v>
      </c>
      <c r="D1127" t="s">
        <v>48</v>
      </c>
      <c r="E1127">
        <f t="shared" si="17"/>
        <v>0</v>
      </c>
      <c r="F1127" t="s">
        <v>40</v>
      </c>
      <c r="G1127">
        <v>1488</v>
      </c>
      <c r="H1127" t="s">
        <v>50</v>
      </c>
      <c r="I1127">
        <v>1</v>
      </c>
      <c r="J1127">
        <v>5</v>
      </c>
      <c r="K1127" t="s">
        <v>56</v>
      </c>
      <c r="L1127">
        <v>1</v>
      </c>
      <c r="M1127">
        <v>68</v>
      </c>
      <c r="N1127">
        <v>2</v>
      </c>
      <c r="O1127" t="s">
        <v>52</v>
      </c>
      <c r="P1127">
        <v>75</v>
      </c>
      <c r="Q1127">
        <v>3</v>
      </c>
      <c r="R1127">
        <v>2</v>
      </c>
      <c r="S1127" t="s">
        <v>136</v>
      </c>
      <c r="T1127">
        <v>1</v>
      </c>
      <c r="U1127" t="s">
        <v>101</v>
      </c>
      <c r="V1127">
        <v>5454</v>
      </c>
      <c r="W1127" t="s">
        <v>162</v>
      </c>
      <c r="X1127">
        <v>4009</v>
      </c>
      <c r="Y1127">
        <v>5</v>
      </c>
      <c r="Z1127" t="s">
        <v>47</v>
      </c>
      <c r="AA1127" t="s">
        <v>39</v>
      </c>
      <c r="AB1127">
        <v>21</v>
      </c>
      <c r="AC1127">
        <v>4</v>
      </c>
      <c r="AD1127">
        <v>3</v>
      </c>
      <c r="AE1127">
        <v>80</v>
      </c>
      <c r="AF1127">
        <v>1</v>
      </c>
      <c r="AG1127">
        <v>9</v>
      </c>
      <c r="AH1127">
        <v>2</v>
      </c>
      <c r="AI1127">
        <v>2</v>
      </c>
      <c r="AJ1127">
        <v>4</v>
      </c>
      <c r="AK1127">
        <v>3</v>
      </c>
      <c r="AL1127">
        <v>1</v>
      </c>
    </row>
    <row r="1128" spans="1:38" x14ac:dyDescent="0.3">
      <c r="A1128" t="s">
        <v>1197</v>
      </c>
      <c r="B1128">
        <v>44</v>
      </c>
      <c r="C1128" t="s">
        <v>800</v>
      </c>
      <c r="D1128" t="s">
        <v>48</v>
      </c>
      <c r="E1128">
        <f t="shared" si="17"/>
        <v>0</v>
      </c>
      <c r="F1128" t="s">
        <v>58</v>
      </c>
      <c r="G1128">
        <v>489</v>
      </c>
      <c r="H1128" t="s">
        <v>41</v>
      </c>
      <c r="I1128">
        <v>23</v>
      </c>
      <c r="J1128">
        <v>3</v>
      </c>
      <c r="K1128" t="s">
        <v>51</v>
      </c>
      <c r="L1128">
        <v>1</v>
      </c>
      <c r="M1128">
        <v>132</v>
      </c>
      <c r="N1128">
        <v>2</v>
      </c>
      <c r="O1128" t="s">
        <v>43</v>
      </c>
      <c r="P1128">
        <v>67</v>
      </c>
      <c r="Q1128">
        <v>3</v>
      </c>
      <c r="R1128">
        <v>2</v>
      </c>
      <c r="S1128" t="s">
        <v>44</v>
      </c>
      <c r="T1128">
        <v>2</v>
      </c>
      <c r="U1128" t="s">
        <v>104</v>
      </c>
      <c r="V1128">
        <v>2042</v>
      </c>
      <c r="W1128" t="s">
        <v>46</v>
      </c>
      <c r="X1128">
        <v>25043</v>
      </c>
      <c r="Y1128">
        <v>4</v>
      </c>
      <c r="Z1128" t="s">
        <v>47</v>
      </c>
      <c r="AA1128" t="s">
        <v>48</v>
      </c>
      <c r="AB1128">
        <v>12</v>
      </c>
      <c r="AC1128">
        <v>3</v>
      </c>
      <c r="AD1128">
        <v>3</v>
      </c>
      <c r="AE1128">
        <v>80</v>
      </c>
      <c r="AF1128">
        <v>1</v>
      </c>
      <c r="AG1128">
        <v>17</v>
      </c>
      <c r="AH1128">
        <v>3</v>
      </c>
      <c r="AI1128">
        <v>4</v>
      </c>
      <c r="AJ1128">
        <v>3</v>
      </c>
      <c r="AK1128">
        <v>2</v>
      </c>
      <c r="AL1128">
        <v>1</v>
      </c>
    </row>
    <row r="1129" spans="1:38" x14ac:dyDescent="0.3">
      <c r="A1129" t="s">
        <v>1198</v>
      </c>
      <c r="B1129">
        <v>44</v>
      </c>
      <c r="C1129" t="s">
        <v>800</v>
      </c>
      <c r="D1129" t="s">
        <v>39</v>
      </c>
      <c r="E1129">
        <f t="shared" si="17"/>
        <v>1</v>
      </c>
      <c r="F1129" t="s">
        <v>55</v>
      </c>
      <c r="G1129">
        <v>920</v>
      </c>
      <c r="H1129" t="s">
        <v>41</v>
      </c>
      <c r="I1129">
        <v>24</v>
      </c>
      <c r="J1129">
        <v>3</v>
      </c>
      <c r="K1129" t="s">
        <v>42</v>
      </c>
      <c r="L1129">
        <v>1</v>
      </c>
      <c r="M1129">
        <v>392</v>
      </c>
      <c r="N1129">
        <v>4</v>
      </c>
      <c r="O1129" t="s">
        <v>43</v>
      </c>
      <c r="P1129">
        <v>43</v>
      </c>
      <c r="Q1129">
        <v>3</v>
      </c>
      <c r="R1129">
        <v>1</v>
      </c>
      <c r="S1129" t="s">
        <v>44</v>
      </c>
      <c r="T1129">
        <v>3</v>
      </c>
      <c r="U1129" t="s">
        <v>101</v>
      </c>
      <c r="V1129">
        <v>3161</v>
      </c>
      <c r="W1129" t="s">
        <v>46</v>
      </c>
      <c r="X1129">
        <v>19920</v>
      </c>
      <c r="Y1129">
        <v>3</v>
      </c>
      <c r="Z1129" t="s">
        <v>47</v>
      </c>
      <c r="AA1129" t="s">
        <v>39</v>
      </c>
      <c r="AB1129">
        <v>22</v>
      </c>
      <c r="AC1129">
        <v>4</v>
      </c>
      <c r="AD1129">
        <v>4</v>
      </c>
      <c r="AE1129">
        <v>80</v>
      </c>
      <c r="AF1129">
        <v>1</v>
      </c>
      <c r="AG1129">
        <v>19</v>
      </c>
      <c r="AH1129">
        <v>0</v>
      </c>
      <c r="AI1129">
        <v>1</v>
      </c>
      <c r="AJ1129">
        <v>1</v>
      </c>
      <c r="AK1129">
        <v>0</v>
      </c>
      <c r="AL1129">
        <v>0</v>
      </c>
    </row>
    <row r="1130" spans="1:38" x14ac:dyDescent="0.3">
      <c r="A1130" t="s">
        <v>1199</v>
      </c>
      <c r="B1130">
        <v>44</v>
      </c>
      <c r="C1130" t="s">
        <v>800</v>
      </c>
      <c r="D1130" t="s">
        <v>48</v>
      </c>
      <c r="E1130">
        <f t="shared" si="17"/>
        <v>0</v>
      </c>
      <c r="F1130" t="s">
        <v>40</v>
      </c>
      <c r="G1130">
        <v>1112</v>
      </c>
      <c r="H1130" t="s">
        <v>70</v>
      </c>
      <c r="I1130">
        <v>1</v>
      </c>
      <c r="J1130">
        <v>4</v>
      </c>
      <c r="K1130" t="s">
        <v>42</v>
      </c>
      <c r="L1130">
        <v>1</v>
      </c>
      <c r="M1130">
        <v>665</v>
      </c>
      <c r="N1130">
        <v>1</v>
      </c>
      <c r="O1130" t="s">
        <v>52</v>
      </c>
      <c r="P1130">
        <v>50</v>
      </c>
      <c r="Q1130">
        <v>2</v>
      </c>
      <c r="R1130">
        <v>2</v>
      </c>
      <c r="S1130" t="s">
        <v>70</v>
      </c>
      <c r="T1130">
        <v>3</v>
      </c>
      <c r="U1130" t="s">
        <v>45</v>
      </c>
      <c r="V1130">
        <v>5985</v>
      </c>
      <c r="W1130" t="s">
        <v>162</v>
      </c>
      <c r="X1130">
        <v>26894</v>
      </c>
      <c r="Y1130">
        <v>4</v>
      </c>
      <c r="Z1130" t="s">
        <v>47</v>
      </c>
      <c r="AA1130" t="s">
        <v>48</v>
      </c>
      <c r="AB1130">
        <v>11</v>
      </c>
      <c r="AC1130">
        <v>3</v>
      </c>
      <c r="AD1130">
        <v>2</v>
      </c>
      <c r="AE1130">
        <v>80</v>
      </c>
      <c r="AF1130">
        <v>0</v>
      </c>
      <c r="AG1130">
        <v>10</v>
      </c>
      <c r="AH1130">
        <v>1</v>
      </c>
      <c r="AI1130">
        <v>4</v>
      </c>
      <c r="AJ1130">
        <v>2</v>
      </c>
      <c r="AK1130">
        <v>2</v>
      </c>
      <c r="AL1130">
        <v>0</v>
      </c>
    </row>
    <row r="1131" spans="1:38" x14ac:dyDescent="0.3">
      <c r="A1131" t="s">
        <v>1200</v>
      </c>
      <c r="B1131">
        <v>44</v>
      </c>
      <c r="C1131" t="s">
        <v>800</v>
      </c>
      <c r="D1131" t="s">
        <v>48</v>
      </c>
      <c r="E1131">
        <f t="shared" si="17"/>
        <v>0</v>
      </c>
      <c r="F1131" t="s">
        <v>40</v>
      </c>
      <c r="G1131">
        <v>1315</v>
      </c>
      <c r="H1131" t="s">
        <v>41</v>
      </c>
      <c r="I1131">
        <v>3</v>
      </c>
      <c r="J1131">
        <v>4</v>
      </c>
      <c r="K1131" t="s">
        <v>72</v>
      </c>
      <c r="L1131">
        <v>1</v>
      </c>
      <c r="M1131">
        <v>671</v>
      </c>
      <c r="N1131">
        <v>4</v>
      </c>
      <c r="O1131" t="s">
        <v>43</v>
      </c>
      <c r="P1131">
        <v>35</v>
      </c>
      <c r="Q1131">
        <v>3</v>
      </c>
      <c r="R1131">
        <v>5</v>
      </c>
      <c r="S1131" t="s">
        <v>440</v>
      </c>
      <c r="T1131">
        <v>4</v>
      </c>
      <c r="U1131" t="s">
        <v>104</v>
      </c>
      <c r="V1131">
        <v>19513</v>
      </c>
      <c r="W1131" t="s">
        <v>366</v>
      </c>
      <c r="X1131">
        <v>9358</v>
      </c>
      <c r="Y1131">
        <v>4</v>
      </c>
      <c r="Z1131" t="s">
        <v>47</v>
      </c>
      <c r="AA1131" t="s">
        <v>39</v>
      </c>
      <c r="AB1131">
        <v>12</v>
      </c>
      <c r="AC1131">
        <v>3</v>
      </c>
      <c r="AD1131">
        <v>1</v>
      </c>
      <c r="AE1131">
        <v>80</v>
      </c>
      <c r="AF1131">
        <v>1</v>
      </c>
      <c r="AG1131">
        <v>26</v>
      </c>
      <c r="AH1131">
        <v>2</v>
      </c>
      <c r="AI1131">
        <v>4</v>
      </c>
      <c r="AJ1131">
        <v>2</v>
      </c>
      <c r="AK1131">
        <v>2</v>
      </c>
      <c r="AL1131">
        <v>0</v>
      </c>
    </row>
    <row r="1132" spans="1:38" x14ac:dyDescent="0.3">
      <c r="A1132" t="s">
        <v>1201</v>
      </c>
      <c r="B1132">
        <v>44</v>
      </c>
      <c r="C1132" t="s">
        <v>800</v>
      </c>
      <c r="D1132" t="s">
        <v>48</v>
      </c>
      <c r="E1132">
        <f t="shared" si="17"/>
        <v>0</v>
      </c>
      <c r="F1132" t="s">
        <v>58</v>
      </c>
      <c r="G1132">
        <v>381</v>
      </c>
      <c r="H1132" t="s">
        <v>41</v>
      </c>
      <c r="I1132">
        <v>24</v>
      </c>
      <c r="J1132">
        <v>3</v>
      </c>
      <c r="K1132" t="s">
        <v>51</v>
      </c>
      <c r="L1132">
        <v>1</v>
      </c>
      <c r="M1132">
        <v>744</v>
      </c>
      <c r="N1132">
        <v>1</v>
      </c>
      <c r="O1132" t="s">
        <v>43</v>
      </c>
      <c r="P1132">
        <v>49</v>
      </c>
      <c r="Q1132">
        <v>1</v>
      </c>
      <c r="R1132">
        <v>1</v>
      </c>
      <c r="S1132" t="s">
        <v>44</v>
      </c>
      <c r="T1132">
        <v>3</v>
      </c>
      <c r="U1132" t="s">
        <v>45</v>
      </c>
      <c r="V1132">
        <v>3708</v>
      </c>
      <c r="W1132" t="s">
        <v>46</v>
      </c>
      <c r="X1132">
        <v>2104</v>
      </c>
      <c r="Y1132">
        <v>2</v>
      </c>
      <c r="Z1132" t="s">
        <v>47</v>
      </c>
      <c r="AA1132" t="s">
        <v>48</v>
      </c>
      <c r="AB1132">
        <v>14</v>
      </c>
      <c r="AC1132">
        <v>3</v>
      </c>
      <c r="AD1132">
        <v>3</v>
      </c>
      <c r="AE1132">
        <v>80</v>
      </c>
      <c r="AF1132">
        <v>0</v>
      </c>
      <c r="AG1132">
        <v>9</v>
      </c>
      <c r="AH1132">
        <v>5</v>
      </c>
      <c r="AI1132">
        <v>3</v>
      </c>
      <c r="AJ1132">
        <v>5</v>
      </c>
      <c r="AK1132">
        <v>2</v>
      </c>
      <c r="AL1132">
        <v>1</v>
      </c>
    </row>
    <row r="1133" spans="1:38" x14ac:dyDescent="0.3">
      <c r="A1133" t="s">
        <v>1202</v>
      </c>
      <c r="B1133">
        <v>44</v>
      </c>
      <c r="C1133" t="s">
        <v>800</v>
      </c>
      <c r="D1133" t="s">
        <v>48</v>
      </c>
      <c r="E1133">
        <f t="shared" si="17"/>
        <v>0</v>
      </c>
      <c r="F1133" t="s">
        <v>40</v>
      </c>
      <c r="G1133">
        <v>625</v>
      </c>
      <c r="H1133" t="s">
        <v>41</v>
      </c>
      <c r="I1133">
        <v>4</v>
      </c>
      <c r="J1133">
        <v>3</v>
      </c>
      <c r="K1133" t="s">
        <v>51</v>
      </c>
      <c r="L1133">
        <v>1</v>
      </c>
      <c r="M1133">
        <v>852</v>
      </c>
      <c r="N1133">
        <v>4</v>
      </c>
      <c r="O1133" t="s">
        <v>43</v>
      </c>
      <c r="P1133">
        <v>50</v>
      </c>
      <c r="Q1133">
        <v>3</v>
      </c>
      <c r="R1133">
        <v>2</v>
      </c>
      <c r="S1133" t="s">
        <v>160</v>
      </c>
      <c r="T1133">
        <v>2</v>
      </c>
      <c r="U1133" t="s">
        <v>45</v>
      </c>
      <c r="V1133">
        <v>5933</v>
      </c>
      <c r="W1133" t="s">
        <v>162</v>
      </c>
      <c r="X1133">
        <v>5197</v>
      </c>
      <c r="Y1133">
        <v>9</v>
      </c>
      <c r="Z1133" t="s">
        <v>47</v>
      </c>
      <c r="AA1133" t="s">
        <v>48</v>
      </c>
      <c r="AB1133">
        <v>12</v>
      </c>
      <c r="AC1133">
        <v>3</v>
      </c>
      <c r="AD1133">
        <v>4</v>
      </c>
      <c r="AE1133">
        <v>80</v>
      </c>
      <c r="AF1133">
        <v>0</v>
      </c>
      <c r="AG1133">
        <v>10</v>
      </c>
      <c r="AH1133">
        <v>2</v>
      </c>
      <c r="AI1133">
        <v>2</v>
      </c>
      <c r="AJ1133">
        <v>5</v>
      </c>
      <c r="AK1133">
        <v>2</v>
      </c>
      <c r="AL1133">
        <v>2</v>
      </c>
    </row>
    <row r="1134" spans="1:38" x14ac:dyDescent="0.3">
      <c r="A1134" t="s">
        <v>1203</v>
      </c>
      <c r="B1134">
        <v>44</v>
      </c>
      <c r="C1134" t="s">
        <v>800</v>
      </c>
      <c r="D1134" t="s">
        <v>48</v>
      </c>
      <c r="E1134">
        <f t="shared" si="17"/>
        <v>0</v>
      </c>
      <c r="F1134" t="s">
        <v>40</v>
      </c>
      <c r="G1134">
        <v>986</v>
      </c>
      <c r="H1134" t="s">
        <v>41</v>
      </c>
      <c r="I1134">
        <v>8</v>
      </c>
      <c r="J1134">
        <v>4</v>
      </c>
      <c r="K1134" t="s">
        <v>42</v>
      </c>
      <c r="L1134">
        <v>1</v>
      </c>
      <c r="M1134">
        <v>874</v>
      </c>
      <c r="N1134">
        <v>1</v>
      </c>
      <c r="O1134" t="s">
        <v>43</v>
      </c>
      <c r="P1134">
        <v>62</v>
      </c>
      <c r="Q1134">
        <v>4</v>
      </c>
      <c r="R1134">
        <v>1</v>
      </c>
      <c r="S1134" t="s">
        <v>44</v>
      </c>
      <c r="T1134">
        <v>4</v>
      </c>
      <c r="U1134" t="s">
        <v>104</v>
      </c>
      <c r="V1134">
        <v>2818</v>
      </c>
      <c r="W1134" t="s">
        <v>46</v>
      </c>
      <c r="X1134">
        <v>5044</v>
      </c>
      <c r="Y1134">
        <v>2</v>
      </c>
      <c r="Z1134" t="s">
        <v>47</v>
      </c>
      <c r="AA1134" t="s">
        <v>39</v>
      </c>
      <c r="AB1134">
        <v>24</v>
      </c>
      <c r="AC1134">
        <v>4</v>
      </c>
      <c r="AD1134">
        <v>3</v>
      </c>
      <c r="AE1134">
        <v>80</v>
      </c>
      <c r="AF1134">
        <v>1</v>
      </c>
      <c r="AG1134">
        <v>10</v>
      </c>
      <c r="AH1134">
        <v>2</v>
      </c>
      <c r="AI1134">
        <v>2</v>
      </c>
      <c r="AJ1134">
        <v>3</v>
      </c>
      <c r="AK1134">
        <v>2</v>
      </c>
      <c r="AL1134">
        <v>0</v>
      </c>
    </row>
    <row r="1135" spans="1:38" x14ac:dyDescent="0.3">
      <c r="A1135" t="s">
        <v>1204</v>
      </c>
      <c r="B1135">
        <v>44</v>
      </c>
      <c r="C1135" t="s">
        <v>800</v>
      </c>
      <c r="D1135" t="s">
        <v>48</v>
      </c>
      <c r="E1135">
        <f t="shared" si="17"/>
        <v>0</v>
      </c>
      <c r="F1135" t="s">
        <v>40</v>
      </c>
      <c r="G1135">
        <v>661</v>
      </c>
      <c r="H1135" t="s">
        <v>41</v>
      </c>
      <c r="I1135">
        <v>9</v>
      </c>
      <c r="J1135">
        <v>2</v>
      </c>
      <c r="K1135" t="s">
        <v>42</v>
      </c>
      <c r="L1135">
        <v>1</v>
      </c>
      <c r="M1135">
        <v>913</v>
      </c>
      <c r="N1135">
        <v>2</v>
      </c>
      <c r="O1135" t="s">
        <v>43</v>
      </c>
      <c r="P1135">
        <v>61</v>
      </c>
      <c r="Q1135">
        <v>3</v>
      </c>
      <c r="R1135">
        <v>1</v>
      </c>
      <c r="S1135" t="s">
        <v>59</v>
      </c>
      <c r="T1135">
        <v>1</v>
      </c>
      <c r="U1135" t="s">
        <v>104</v>
      </c>
      <c r="V1135">
        <v>2559</v>
      </c>
      <c r="W1135" t="s">
        <v>46</v>
      </c>
      <c r="X1135">
        <v>7508</v>
      </c>
      <c r="Y1135">
        <v>1</v>
      </c>
      <c r="Z1135" t="s">
        <v>47</v>
      </c>
      <c r="AA1135" t="s">
        <v>39</v>
      </c>
      <c r="AB1135">
        <v>13</v>
      </c>
      <c r="AC1135">
        <v>3</v>
      </c>
      <c r="AD1135">
        <v>4</v>
      </c>
      <c r="AE1135">
        <v>80</v>
      </c>
      <c r="AF1135">
        <v>0</v>
      </c>
      <c r="AG1135">
        <v>8</v>
      </c>
      <c r="AH1135">
        <v>0</v>
      </c>
      <c r="AI1135">
        <v>3</v>
      </c>
      <c r="AJ1135">
        <v>8</v>
      </c>
      <c r="AK1135">
        <v>7</v>
      </c>
      <c r="AL1135">
        <v>7</v>
      </c>
    </row>
    <row r="1136" spans="1:38" x14ac:dyDescent="0.3">
      <c r="A1136" t="s">
        <v>1205</v>
      </c>
      <c r="B1136">
        <v>44</v>
      </c>
      <c r="C1136" t="s">
        <v>800</v>
      </c>
      <c r="D1136" t="s">
        <v>48</v>
      </c>
      <c r="E1136">
        <f t="shared" si="17"/>
        <v>0</v>
      </c>
      <c r="F1136" t="s">
        <v>40</v>
      </c>
      <c r="G1136">
        <v>1448</v>
      </c>
      <c r="H1136" t="s">
        <v>50</v>
      </c>
      <c r="I1136">
        <v>28</v>
      </c>
      <c r="J1136">
        <v>3</v>
      </c>
      <c r="K1136" t="s">
        <v>51</v>
      </c>
      <c r="L1136">
        <v>1</v>
      </c>
      <c r="M1136">
        <v>1039</v>
      </c>
      <c r="N1136">
        <v>4</v>
      </c>
      <c r="O1136" t="s">
        <v>52</v>
      </c>
      <c r="P1136">
        <v>53</v>
      </c>
      <c r="Q1136">
        <v>4</v>
      </c>
      <c r="R1136">
        <v>4</v>
      </c>
      <c r="S1136" t="s">
        <v>136</v>
      </c>
      <c r="T1136">
        <v>4</v>
      </c>
      <c r="U1136" t="s">
        <v>104</v>
      </c>
      <c r="V1136">
        <v>13320</v>
      </c>
      <c r="W1136" t="s">
        <v>252</v>
      </c>
      <c r="X1136">
        <v>11737</v>
      </c>
      <c r="Y1136">
        <v>3</v>
      </c>
      <c r="Z1136" t="s">
        <v>47</v>
      </c>
      <c r="AA1136" t="s">
        <v>39</v>
      </c>
      <c r="AB1136">
        <v>18</v>
      </c>
      <c r="AC1136">
        <v>3</v>
      </c>
      <c r="AD1136">
        <v>3</v>
      </c>
      <c r="AE1136">
        <v>80</v>
      </c>
      <c r="AF1136">
        <v>1</v>
      </c>
      <c r="AG1136">
        <v>23</v>
      </c>
      <c r="AH1136">
        <v>2</v>
      </c>
      <c r="AI1136">
        <v>3</v>
      </c>
      <c r="AJ1136">
        <v>12</v>
      </c>
      <c r="AK1136">
        <v>11</v>
      </c>
      <c r="AL1136">
        <v>11</v>
      </c>
    </row>
    <row r="1137" spans="1:38" x14ac:dyDescent="0.3">
      <c r="A1137" t="s">
        <v>1206</v>
      </c>
      <c r="B1137">
        <v>44</v>
      </c>
      <c r="C1137" t="s">
        <v>800</v>
      </c>
      <c r="D1137" t="s">
        <v>39</v>
      </c>
      <c r="E1137">
        <f t="shared" si="17"/>
        <v>1</v>
      </c>
      <c r="F1137" t="s">
        <v>40</v>
      </c>
      <c r="G1137">
        <v>1376</v>
      </c>
      <c r="H1137" t="s">
        <v>70</v>
      </c>
      <c r="I1137">
        <v>1</v>
      </c>
      <c r="J1137">
        <v>2</v>
      </c>
      <c r="K1137" t="s">
        <v>51</v>
      </c>
      <c r="L1137">
        <v>1</v>
      </c>
      <c r="M1137">
        <v>1098</v>
      </c>
      <c r="N1137">
        <v>2</v>
      </c>
      <c r="O1137" t="s">
        <v>43</v>
      </c>
      <c r="P1137">
        <v>91</v>
      </c>
      <c r="Q1137">
        <v>2</v>
      </c>
      <c r="R1137">
        <v>3</v>
      </c>
      <c r="S1137" t="s">
        <v>70</v>
      </c>
      <c r="T1137">
        <v>1</v>
      </c>
      <c r="U1137" t="s">
        <v>104</v>
      </c>
      <c r="V1137">
        <v>10482</v>
      </c>
      <c r="W1137" t="s">
        <v>252</v>
      </c>
      <c r="X1137">
        <v>2326</v>
      </c>
      <c r="Y1137">
        <v>9</v>
      </c>
      <c r="Z1137" t="s">
        <v>47</v>
      </c>
      <c r="AA1137" t="s">
        <v>48</v>
      </c>
      <c r="AB1137">
        <v>14</v>
      </c>
      <c r="AC1137">
        <v>3</v>
      </c>
      <c r="AD1137">
        <v>4</v>
      </c>
      <c r="AE1137">
        <v>80</v>
      </c>
      <c r="AF1137">
        <v>1</v>
      </c>
      <c r="AG1137">
        <v>24</v>
      </c>
      <c r="AH1137">
        <v>1</v>
      </c>
      <c r="AI1137">
        <v>3</v>
      </c>
      <c r="AJ1137">
        <v>20</v>
      </c>
      <c r="AK1137">
        <v>6</v>
      </c>
      <c r="AL1137">
        <v>3</v>
      </c>
    </row>
    <row r="1138" spans="1:38" x14ac:dyDescent="0.3">
      <c r="A1138" t="s">
        <v>1207</v>
      </c>
      <c r="B1138">
        <v>44</v>
      </c>
      <c r="C1138" t="s">
        <v>800</v>
      </c>
      <c r="D1138" t="s">
        <v>39</v>
      </c>
      <c r="E1138">
        <f t="shared" si="17"/>
        <v>1</v>
      </c>
      <c r="F1138" t="s">
        <v>40</v>
      </c>
      <c r="G1138">
        <v>1097</v>
      </c>
      <c r="H1138" t="s">
        <v>41</v>
      </c>
      <c r="I1138">
        <v>10</v>
      </c>
      <c r="J1138">
        <v>4</v>
      </c>
      <c r="K1138" t="s">
        <v>42</v>
      </c>
      <c r="L1138">
        <v>1</v>
      </c>
      <c r="M1138">
        <v>1200</v>
      </c>
      <c r="N1138">
        <v>3</v>
      </c>
      <c r="O1138" t="s">
        <v>43</v>
      </c>
      <c r="P1138">
        <v>96</v>
      </c>
      <c r="Q1138">
        <v>3</v>
      </c>
      <c r="R1138">
        <v>1</v>
      </c>
      <c r="S1138" t="s">
        <v>59</v>
      </c>
      <c r="T1138">
        <v>3</v>
      </c>
      <c r="U1138" t="s">
        <v>45</v>
      </c>
      <c r="V1138">
        <v>2936</v>
      </c>
      <c r="W1138" t="s">
        <v>46</v>
      </c>
      <c r="X1138">
        <v>10826</v>
      </c>
      <c r="Y1138">
        <v>1</v>
      </c>
      <c r="Z1138" t="s">
        <v>47</v>
      </c>
      <c r="AA1138" t="s">
        <v>39</v>
      </c>
      <c r="AB1138">
        <v>11</v>
      </c>
      <c r="AC1138">
        <v>3</v>
      </c>
      <c r="AD1138">
        <v>3</v>
      </c>
      <c r="AE1138">
        <v>80</v>
      </c>
      <c r="AF1138">
        <v>0</v>
      </c>
      <c r="AG1138">
        <v>6</v>
      </c>
      <c r="AH1138">
        <v>4</v>
      </c>
      <c r="AI1138">
        <v>3</v>
      </c>
      <c r="AJ1138">
        <v>6</v>
      </c>
      <c r="AK1138">
        <v>4</v>
      </c>
      <c r="AL1138">
        <v>0</v>
      </c>
    </row>
    <row r="1139" spans="1:38" x14ac:dyDescent="0.3">
      <c r="A1139" t="s">
        <v>1208</v>
      </c>
      <c r="B1139">
        <v>44</v>
      </c>
      <c r="C1139" t="s">
        <v>800</v>
      </c>
      <c r="D1139" t="s">
        <v>48</v>
      </c>
      <c r="E1139">
        <f t="shared" si="17"/>
        <v>0</v>
      </c>
      <c r="F1139" t="s">
        <v>58</v>
      </c>
      <c r="G1139">
        <v>111</v>
      </c>
      <c r="H1139" t="s">
        <v>41</v>
      </c>
      <c r="I1139">
        <v>17</v>
      </c>
      <c r="J1139">
        <v>3</v>
      </c>
      <c r="K1139" t="s">
        <v>42</v>
      </c>
      <c r="L1139">
        <v>1</v>
      </c>
      <c r="M1139">
        <v>1206</v>
      </c>
      <c r="N1139">
        <v>4</v>
      </c>
      <c r="O1139" t="s">
        <v>43</v>
      </c>
      <c r="P1139">
        <v>74</v>
      </c>
      <c r="Q1139">
        <v>1</v>
      </c>
      <c r="R1139">
        <v>1</v>
      </c>
      <c r="S1139" t="s">
        <v>59</v>
      </c>
      <c r="T1139">
        <v>3</v>
      </c>
      <c r="U1139" t="s">
        <v>45</v>
      </c>
      <c r="V1139">
        <v>2290</v>
      </c>
      <c r="W1139" t="s">
        <v>46</v>
      </c>
      <c r="X1139">
        <v>4279</v>
      </c>
      <c r="Y1139">
        <v>2</v>
      </c>
      <c r="Z1139" t="s">
        <v>47</v>
      </c>
      <c r="AA1139" t="s">
        <v>48</v>
      </c>
      <c r="AB1139">
        <v>13</v>
      </c>
      <c r="AC1139">
        <v>3</v>
      </c>
      <c r="AD1139">
        <v>4</v>
      </c>
      <c r="AE1139">
        <v>80</v>
      </c>
      <c r="AF1139">
        <v>0</v>
      </c>
      <c r="AG1139">
        <v>6</v>
      </c>
      <c r="AH1139">
        <v>3</v>
      </c>
      <c r="AI1139">
        <v>3</v>
      </c>
      <c r="AJ1139">
        <v>0</v>
      </c>
      <c r="AK1139">
        <v>0</v>
      </c>
      <c r="AL1139">
        <v>0</v>
      </c>
    </row>
    <row r="1140" spans="1:38" x14ac:dyDescent="0.3">
      <c r="A1140" t="s">
        <v>1209</v>
      </c>
      <c r="B1140">
        <v>44</v>
      </c>
      <c r="C1140" t="s">
        <v>800</v>
      </c>
      <c r="D1140" t="s">
        <v>48</v>
      </c>
      <c r="E1140">
        <f t="shared" si="17"/>
        <v>0</v>
      </c>
      <c r="F1140" t="s">
        <v>40</v>
      </c>
      <c r="G1140">
        <v>200</v>
      </c>
      <c r="H1140" t="s">
        <v>41</v>
      </c>
      <c r="I1140">
        <v>29</v>
      </c>
      <c r="J1140">
        <v>4</v>
      </c>
      <c r="K1140" t="s">
        <v>72</v>
      </c>
      <c r="L1140">
        <v>1</v>
      </c>
      <c r="M1140">
        <v>1225</v>
      </c>
      <c r="N1140">
        <v>4</v>
      </c>
      <c r="O1140" t="s">
        <v>43</v>
      </c>
      <c r="P1140">
        <v>32</v>
      </c>
      <c r="Q1140">
        <v>3</v>
      </c>
      <c r="R1140">
        <v>2</v>
      </c>
      <c r="S1140" t="s">
        <v>59</v>
      </c>
      <c r="T1140">
        <v>4</v>
      </c>
      <c r="U1140" t="s">
        <v>45</v>
      </c>
      <c r="V1140">
        <v>4541</v>
      </c>
      <c r="W1140" t="s">
        <v>46</v>
      </c>
      <c r="X1140">
        <v>7744</v>
      </c>
      <c r="Y1140">
        <v>1</v>
      </c>
      <c r="Z1140" t="s">
        <v>47</v>
      </c>
      <c r="AA1140" t="s">
        <v>48</v>
      </c>
      <c r="AB1140">
        <v>25</v>
      </c>
      <c r="AC1140">
        <v>4</v>
      </c>
      <c r="AD1140">
        <v>2</v>
      </c>
      <c r="AE1140">
        <v>80</v>
      </c>
      <c r="AF1140">
        <v>0</v>
      </c>
      <c r="AG1140">
        <v>20</v>
      </c>
      <c r="AH1140">
        <v>3</v>
      </c>
      <c r="AI1140">
        <v>3</v>
      </c>
      <c r="AJ1140">
        <v>20</v>
      </c>
      <c r="AK1140">
        <v>11</v>
      </c>
      <c r="AL1140">
        <v>13</v>
      </c>
    </row>
    <row r="1141" spans="1:38" x14ac:dyDescent="0.3">
      <c r="A1141" t="s">
        <v>1210</v>
      </c>
      <c r="B1141">
        <v>44</v>
      </c>
      <c r="C1141" t="s">
        <v>800</v>
      </c>
      <c r="D1141" t="s">
        <v>48</v>
      </c>
      <c r="E1141">
        <f t="shared" si="17"/>
        <v>0</v>
      </c>
      <c r="F1141" t="s">
        <v>40</v>
      </c>
      <c r="G1141">
        <v>1117</v>
      </c>
      <c r="H1141" t="s">
        <v>41</v>
      </c>
      <c r="I1141">
        <v>2</v>
      </c>
      <c r="J1141">
        <v>1</v>
      </c>
      <c r="K1141" t="s">
        <v>42</v>
      </c>
      <c r="L1141">
        <v>1</v>
      </c>
      <c r="M1141">
        <v>1246</v>
      </c>
      <c r="N1141">
        <v>1</v>
      </c>
      <c r="O1141" t="s">
        <v>52</v>
      </c>
      <c r="P1141">
        <v>72</v>
      </c>
      <c r="Q1141">
        <v>4</v>
      </c>
      <c r="R1141">
        <v>1</v>
      </c>
      <c r="S1141" t="s">
        <v>59</v>
      </c>
      <c r="T1141">
        <v>4</v>
      </c>
      <c r="U1141" t="s">
        <v>104</v>
      </c>
      <c r="V1141">
        <v>2011</v>
      </c>
      <c r="W1141" t="s">
        <v>46</v>
      </c>
      <c r="X1141">
        <v>19982</v>
      </c>
      <c r="Y1141">
        <v>1</v>
      </c>
      <c r="Z1141" t="s">
        <v>47</v>
      </c>
      <c r="AA1141" t="s">
        <v>48</v>
      </c>
      <c r="AB1141">
        <v>13</v>
      </c>
      <c r="AC1141">
        <v>3</v>
      </c>
      <c r="AD1141">
        <v>4</v>
      </c>
      <c r="AE1141">
        <v>80</v>
      </c>
      <c r="AF1141">
        <v>1</v>
      </c>
      <c r="AG1141">
        <v>10</v>
      </c>
      <c r="AH1141">
        <v>5</v>
      </c>
      <c r="AI1141">
        <v>3</v>
      </c>
      <c r="AJ1141">
        <v>10</v>
      </c>
      <c r="AK1141">
        <v>5</v>
      </c>
      <c r="AL1141">
        <v>7</v>
      </c>
    </row>
    <row r="1142" spans="1:38" x14ac:dyDescent="0.3">
      <c r="A1142" t="s">
        <v>1211</v>
      </c>
      <c r="B1142">
        <v>44</v>
      </c>
      <c r="C1142" t="s">
        <v>800</v>
      </c>
      <c r="D1142" t="s">
        <v>48</v>
      </c>
      <c r="E1142">
        <f t="shared" si="17"/>
        <v>0</v>
      </c>
      <c r="F1142" t="s">
        <v>40</v>
      </c>
      <c r="G1142">
        <v>1099</v>
      </c>
      <c r="H1142" t="s">
        <v>50</v>
      </c>
      <c r="I1142">
        <v>5</v>
      </c>
      <c r="J1142">
        <v>3</v>
      </c>
      <c r="K1142" t="s">
        <v>56</v>
      </c>
      <c r="L1142">
        <v>1</v>
      </c>
      <c r="M1142">
        <v>1267</v>
      </c>
      <c r="N1142">
        <v>2</v>
      </c>
      <c r="O1142" t="s">
        <v>43</v>
      </c>
      <c r="P1142">
        <v>88</v>
      </c>
      <c r="Q1142">
        <v>3</v>
      </c>
      <c r="R1142">
        <v>5</v>
      </c>
      <c r="S1142" t="s">
        <v>440</v>
      </c>
      <c r="T1142">
        <v>2</v>
      </c>
      <c r="U1142" t="s">
        <v>104</v>
      </c>
      <c r="V1142">
        <v>18213</v>
      </c>
      <c r="W1142" t="s">
        <v>366</v>
      </c>
      <c r="X1142">
        <v>8751</v>
      </c>
      <c r="Y1142">
        <v>7</v>
      </c>
      <c r="Z1142" t="s">
        <v>47</v>
      </c>
      <c r="AA1142" t="s">
        <v>48</v>
      </c>
      <c r="AB1142">
        <v>11</v>
      </c>
      <c r="AC1142">
        <v>3</v>
      </c>
      <c r="AD1142">
        <v>3</v>
      </c>
      <c r="AE1142">
        <v>80</v>
      </c>
      <c r="AF1142">
        <v>1</v>
      </c>
      <c r="AG1142">
        <v>26</v>
      </c>
      <c r="AH1142">
        <v>5</v>
      </c>
      <c r="AI1142">
        <v>3</v>
      </c>
      <c r="AJ1142">
        <v>22</v>
      </c>
      <c r="AK1142">
        <v>9</v>
      </c>
      <c r="AL1142">
        <v>3</v>
      </c>
    </row>
    <row r="1143" spans="1:38" x14ac:dyDescent="0.3">
      <c r="A1143" t="s">
        <v>1212</v>
      </c>
      <c r="B1143">
        <v>44</v>
      </c>
      <c r="C1143" t="s">
        <v>800</v>
      </c>
      <c r="D1143" t="s">
        <v>48</v>
      </c>
      <c r="E1143">
        <f t="shared" si="17"/>
        <v>0</v>
      </c>
      <c r="F1143" t="s">
        <v>40</v>
      </c>
      <c r="G1143">
        <v>1199</v>
      </c>
      <c r="H1143" t="s">
        <v>41</v>
      </c>
      <c r="I1143">
        <v>4</v>
      </c>
      <c r="J1143">
        <v>2</v>
      </c>
      <c r="K1143" t="s">
        <v>42</v>
      </c>
      <c r="L1143">
        <v>1</v>
      </c>
      <c r="M1143">
        <v>1288</v>
      </c>
      <c r="N1143">
        <v>3</v>
      </c>
      <c r="O1143" t="s">
        <v>43</v>
      </c>
      <c r="P1143">
        <v>92</v>
      </c>
      <c r="Q1143">
        <v>4</v>
      </c>
      <c r="R1143">
        <v>5</v>
      </c>
      <c r="S1143" t="s">
        <v>440</v>
      </c>
      <c r="T1143">
        <v>1</v>
      </c>
      <c r="U1143" t="s">
        <v>101</v>
      </c>
      <c r="V1143">
        <v>19190</v>
      </c>
      <c r="W1143" t="s">
        <v>366</v>
      </c>
      <c r="X1143">
        <v>17477</v>
      </c>
      <c r="Y1143">
        <v>1</v>
      </c>
      <c r="Z1143" t="s">
        <v>47</v>
      </c>
      <c r="AA1143" t="s">
        <v>48</v>
      </c>
      <c r="AB1143">
        <v>14</v>
      </c>
      <c r="AC1143">
        <v>3</v>
      </c>
      <c r="AD1143">
        <v>4</v>
      </c>
      <c r="AE1143">
        <v>80</v>
      </c>
      <c r="AF1143">
        <v>2</v>
      </c>
      <c r="AG1143">
        <v>26</v>
      </c>
      <c r="AH1143">
        <v>4</v>
      </c>
      <c r="AI1143">
        <v>2</v>
      </c>
      <c r="AJ1143">
        <v>25</v>
      </c>
      <c r="AK1143">
        <v>9</v>
      </c>
      <c r="AL1143">
        <v>14</v>
      </c>
    </row>
    <row r="1144" spans="1:38" x14ac:dyDescent="0.3">
      <c r="A1144" t="s">
        <v>1213</v>
      </c>
      <c r="B1144">
        <v>44</v>
      </c>
      <c r="C1144" t="s">
        <v>800</v>
      </c>
      <c r="D1144" t="s">
        <v>39</v>
      </c>
      <c r="E1144">
        <f t="shared" si="17"/>
        <v>1</v>
      </c>
      <c r="F1144" t="s">
        <v>40</v>
      </c>
      <c r="G1144">
        <v>621</v>
      </c>
      <c r="H1144" t="s">
        <v>41</v>
      </c>
      <c r="I1144">
        <v>15</v>
      </c>
      <c r="J1144">
        <v>3</v>
      </c>
      <c r="K1144" t="s">
        <v>51</v>
      </c>
      <c r="L1144">
        <v>1</v>
      </c>
      <c r="M1144">
        <v>1295</v>
      </c>
      <c r="N1144">
        <v>1</v>
      </c>
      <c r="O1144" t="s">
        <v>52</v>
      </c>
      <c r="P1144">
        <v>73</v>
      </c>
      <c r="Q1144">
        <v>3</v>
      </c>
      <c r="R1144">
        <v>3</v>
      </c>
      <c r="S1144" t="s">
        <v>160</v>
      </c>
      <c r="T1144">
        <v>4</v>
      </c>
      <c r="U1144" t="s">
        <v>104</v>
      </c>
      <c r="V1144">
        <v>7978</v>
      </c>
      <c r="W1144" t="s">
        <v>162</v>
      </c>
      <c r="X1144">
        <v>14075</v>
      </c>
      <c r="Y1144">
        <v>1</v>
      </c>
      <c r="Z1144" t="s">
        <v>47</v>
      </c>
      <c r="AA1144" t="s">
        <v>48</v>
      </c>
      <c r="AB1144">
        <v>11</v>
      </c>
      <c r="AC1144">
        <v>3</v>
      </c>
      <c r="AD1144">
        <v>4</v>
      </c>
      <c r="AE1144">
        <v>80</v>
      </c>
      <c r="AF1144">
        <v>1</v>
      </c>
      <c r="AG1144">
        <v>10</v>
      </c>
      <c r="AH1144">
        <v>2</v>
      </c>
      <c r="AI1144">
        <v>3</v>
      </c>
      <c r="AJ1144">
        <v>10</v>
      </c>
      <c r="AK1144">
        <v>7</v>
      </c>
      <c r="AL1144">
        <v>0</v>
      </c>
    </row>
    <row r="1145" spans="1:38" x14ac:dyDescent="0.3">
      <c r="A1145" t="s">
        <v>1214</v>
      </c>
      <c r="B1145">
        <v>44</v>
      </c>
      <c r="C1145" t="s">
        <v>800</v>
      </c>
      <c r="D1145" t="s">
        <v>39</v>
      </c>
      <c r="E1145">
        <f t="shared" si="17"/>
        <v>1</v>
      </c>
      <c r="F1145" t="s">
        <v>40</v>
      </c>
      <c r="G1145">
        <v>935</v>
      </c>
      <c r="H1145" t="s">
        <v>41</v>
      </c>
      <c r="I1145">
        <v>3</v>
      </c>
      <c r="J1145">
        <v>3</v>
      </c>
      <c r="K1145" t="s">
        <v>42</v>
      </c>
      <c r="L1145">
        <v>1</v>
      </c>
      <c r="M1145">
        <v>1333</v>
      </c>
      <c r="N1145">
        <v>1</v>
      </c>
      <c r="O1145" t="s">
        <v>43</v>
      </c>
      <c r="P1145">
        <v>89</v>
      </c>
      <c r="Q1145">
        <v>3</v>
      </c>
      <c r="R1145">
        <v>1</v>
      </c>
      <c r="S1145" t="s">
        <v>44</v>
      </c>
      <c r="T1145">
        <v>1</v>
      </c>
      <c r="U1145" t="s">
        <v>104</v>
      </c>
      <c r="V1145">
        <v>2362</v>
      </c>
      <c r="W1145" t="s">
        <v>46</v>
      </c>
      <c r="X1145">
        <v>14669</v>
      </c>
      <c r="Y1145">
        <v>4</v>
      </c>
      <c r="Z1145" t="s">
        <v>47</v>
      </c>
      <c r="AA1145" t="s">
        <v>48</v>
      </c>
      <c r="AB1145">
        <v>12</v>
      </c>
      <c r="AC1145">
        <v>3</v>
      </c>
      <c r="AD1145">
        <v>3</v>
      </c>
      <c r="AE1145">
        <v>80</v>
      </c>
      <c r="AF1145">
        <v>0</v>
      </c>
      <c r="AG1145">
        <v>10</v>
      </c>
      <c r="AH1145">
        <v>4</v>
      </c>
      <c r="AI1145">
        <v>4</v>
      </c>
      <c r="AJ1145">
        <v>3</v>
      </c>
      <c r="AK1145">
        <v>2</v>
      </c>
      <c r="AL1145">
        <v>1</v>
      </c>
    </row>
    <row r="1146" spans="1:38" x14ac:dyDescent="0.3">
      <c r="A1146" t="s">
        <v>1215</v>
      </c>
      <c r="B1146">
        <v>44</v>
      </c>
      <c r="C1146" t="s">
        <v>800</v>
      </c>
      <c r="D1146" t="s">
        <v>48</v>
      </c>
      <c r="E1146">
        <f t="shared" si="17"/>
        <v>0</v>
      </c>
      <c r="F1146" t="s">
        <v>58</v>
      </c>
      <c r="G1146">
        <v>981</v>
      </c>
      <c r="H1146" t="s">
        <v>41</v>
      </c>
      <c r="I1146">
        <v>5</v>
      </c>
      <c r="J1146">
        <v>3</v>
      </c>
      <c r="K1146" t="s">
        <v>42</v>
      </c>
      <c r="L1146">
        <v>1</v>
      </c>
      <c r="M1146">
        <v>1471</v>
      </c>
      <c r="N1146">
        <v>3</v>
      </c>
      <c r="O1146" t="s">
        <v>43</v>
      </c>
      <c r="P1146">
        <v>90</v>
      </c>
      <c r="Q1146">
        <v>2</v>
      </c>
      <c r="R1146">
        <v>1</v>
      </c>
      <c r="S1146" t="s">
        <v>44</v>
      </c>
      <c r="T1146">
        <v>3</v>
      </c>
      <c r="U1146" t="s">
        <v>45</v>
      </c>
      <c r="V1146">
        <v>3162</v>
      </c>
      <c r="W1146" t="s">
        <v>46</v>
      </c>
      <c r="X1146">
        <v>7973</v>
      </c>
      <c r="Y1146">
        <v>3</v>
      </c>
      <c r="Z1146" t="s">
        <v>47</v>
      </c>
      <c r="AA1146" t="s">
        <v>48</v>
      </c>
      <c r="AB1146">
        <v>14</v>
      </c>
      <c r="AC1146">
        <v>3</v>
      </c>
      <c r="AD1146">
        <v>4</v>
      </c>
      <c r="AE1146">
        <v>80</v>
      </c>
      <c r="AF1146">
        <v>0</v>
      </c>
      <c r="AG1146">
        <v>7</v>
      </c>
      <c r="AH1146">
        <v>5</v>
      </c>
      <c r="AI1146">
        <v>3</v>
      </c>
      <c r="AJ1146">
        <v>5</v>
      </c>
      <c r="AK1146">
        <v>2</v>
      </c>
      <c r="AL1146">
        <v>0</v>
      </c>
    </row>
    <row r="1147" spans="1:38" x14ac:dyDescent="0.3">
      <c r="A1147" t="s">
        <v>1216</v>
      </c>
      <c r="B1147">
        <v>44</v>
      </c>
      <c r="C1147" t="s">
        <v>800</v>
      </c>
      <c r="D1147" t="s">
        <v>48</v>
      </c>
      <c r="E1147">
        <f t="shared" si="17"/>
        <v>0</v>
      </c>
      <c r="F1147" t="s">
        <v>40</v>
      </c>
      <c r="G1147">
        <v>1467</v>
      </c>
      <c r="H1147" t="s">
        <v>41</v>
      </c>
      <c r="I1147">
        <v>20</v>
      </c>
      <c r="J1147">
        <v>3</v>
      </c>
      <c r="K1147" t="s">
        <v>42</v>
      </c>
      <c r="L1147">
        <v>1</v>
      </c>
      <c r="M1147">
        <v>1475</v>
      </c>
      <c r="N1147">
        <v>4</v>
      </c>
      <c r="O1147" t="s">
        <v>43</v>
      </c>
      <c r="P1147">
        <v>49</v>
      </c>
      <c r="Q1147">
        <v>3</v>
      </c>
      <c r="R1147">
        <v>1</v>
      </c>
      <c r="S1147" t="s">
        <v>59</v>
      </c>
      <c r="T1147">
        <v>2</v>
      </c>
      <c r="U1147" t="s">
        <v>45</v>
      </c>
      <c r="V1147">
        <v>3420</v>
      </c>
      <c r="W1147" t="s">
        <v>46</v>
      </c>
      <c r="X1147">
        <v>21158</v>
      </c>
      <c r="Y1147">
        <v>1</v>
      </c>
      <c r="Z1147" t="s">
        <v>47</v>
      </c>
      <c r="AA1147" t="s">
        <v>48</v>
      </c>
      <c r="AB1147">
        <v>13</v>
      </c>
      <c r="AC1147">
        <v>3</v>
      </c>
      <c r="AD1147">
        <v>3</v>
      </c>
      <c r="AE1147">
        <v>80</v>
      </c>
      <c r="AF1147">
        <v>0</v>
      </c>
      <c r="AG1147">
        <v>6</v>
      </c>
      <c r="AH1147">
        <v>3</v>
      </c>
      <c r="AI1147">
        <v>2</v>
      </c>
      <c r="AJ1147">
        <v>5</v>
      </c>
      <c r="AK1147">
        <v>2</v>
      </c>
      <c r="AL1147">
        <v>1</v>
      </c>
    </row>
    <row r="1148" spans="1:38" x14ac:dyDescent="0.3">
      <c r="A1148" t="s">
        <v>1217</v>
      </c>
      <c r="B1148">
        <v>44</v>
      </c>
      <c r="C1148" t="s">
        <v>800</v>
      </c>
      <c r="D1148" t="s">
        <v>48</v>
      </c>
      <c r="E1148">
        <f t="shared" si="17"/>
        <v>0</v>
      </c>
      <c r="F1148" t="s">
        <v>55</v>
      </c>
      <c r="G1148">
        <v>383</v>
      </c>
      <c r="H1148" t="s">
        <v>50</v>
      </c>
      <c r="I1148">
        <v>1</v>
      </c>
      <c r="J1148">
        <v>5</v>
      </c>
      <c r="K1148" t="s">
        <v>56</v>
      </c>
      <c r="L1148">
        <v>1</v>
      </c>
      <c r="M1148">
        <v>1481</v>
      </c>
      <c r="N1148">
        <v>1</v>
      </c>
      <c r="O1148" t="s">
        <v>52</v>
      </c>
      <c r="P1148">
        <v>79</v>
      </c>
      <c r="Q1148">
        <v>3</v>
      </c>
      <c r="R1148">
        <v>2</v>
      </c>
      <c r="S1148" t="s">
        <v>136</v>
      </c>
      <c r="T1148">
        <v>3</v>
      </c>
      <c r="U1148" t="s">
        <v>104</v>
      </c>
      <c r="V1148">
        <v>4768</v>
      </c>
      <c r="W1148" t="s">
        <v>46</v>
      </c>
      <c r="X1148">
        <v>9282</v>
      </c>
      <c r="Y1148">
        <v>7</v>
      </c>
      <c r="Z1148" t="s">
        <v>47</v>
      </c>
      <c r="AA1148" t="s">
        <v>48</v>
      </c>
      <c r="AB1148">
        <v>12</v>
      </c>
      <c r="AC1148">
        <v>3</v>
      </c>
      <c r="AD1148">
        <v>3</v>
      </c>
      <c r="AE1148">
        <v>80</v>
      </c>
      <c r="AF1148">
        <v>1</v>
      </c>
      <c r="AG1148">
        <v>11</v>
      </c>
      <c r="AH1148">
        <v>4</v>
      </c>
      <c r="AI1148">
        <v>2</v>
      </c>
      <c r="AJ1148">
        <v>1</v>
      </c>
      <c r="AK1148">
        <v>0</v>
      </c>
      <c r="AL1148">
        <v>0</v>
      </c>
    </row>
    <row r="1149" spans="1:38" x14ac:dyDescent="0.3">
      <c r="A1149" t="s">
        <v>1218</v>
      </c>
      <c r="B1149">
        <v>44</v>
      </c>
      <c r="C1149" t="s">
        <v>800</v>
      </c>
      <c r="D1149" t="s">
        <v>48</v>
      </c>
      <c r="E1149">
        <f t="shared" si="17"/>
        <v>0</v>
      </c>
      <c r="F1149" t="s">
        <v>55</v>
      </c>
      <c r="G1149">
        <v>1193</v>
      </c>
      <c r="H1149" t="s">
        <v>41</v>
      </c>
      <c r="I1149">
        <v>2</v>
      </c>
      <c r="J1149">
        <v>1</v>
      </c>
      <c r="K1149" t="s">
        <v>51</v>
      </c>
      <c r="L1149">
        <v>1</v>
      </c>
      <c r="M1149">
        <v>1496</v>
      </c>
      <c r="N1149">
        <v>2</v>
      </c>
      <c r="O1149" t="s">
        <v>43</v>
      </c>
      <c r="P1149">
        <v>86</v>
      </c>
      <c r="Q1149">
        <v>3</v>
      </c>
      <c r="R1149">
        <v>3</v>
      </c>
      <c r="S1149" t="s">
        <v>111</v>
      </c>
      <c r="T1149">
        <v>3</v>
      </c>
      <c r="U1149" t="s">
        <v>45</v>
      </c>
      <c r="V1149">
        <v>10209</v>
      </c>
      <c r="W1149" t="s">
        <v>252</v>
      </c>
      <c r="X1149">
        <v>19719</v>
      </c>
      <c r="Y1149">
        <v>5</v>
      </c>
      <c r="Z1149" t="s">
        <v>47</v>
      </c>
      <c r="AA1149" t="s">
        <v>39</v>
      </c>
      <c r="AB1149">
        <v>18</v>
      </c>
      <c r="AC1149">
        <v>3</v>
      </c>
      <c r="AD1149">
        <v>2</v>
      </c>
      <c r="AE1149">
        <v>80</v>
      </c>
      <c r="AF1149">
        <v>0</v>
      </c>
      <c r="AG1149">
        <v>16</v>
      </c>
      <c r="AH1149">
        <v>2</v>
      </c>
      <c r="AI1149">
        <v>2</v>
      </c>
      <c r="AJ1149">
        <v>2</v>
      </c>
      <c r="AK1149">
        <v>2</v>
      </c>
      <c r="AL1149">
        <v>2</v>
      </c>
    </row>
    <row r="1150" spans="1:38" x14ac:dyDescent="0.3">
      <c r="A1150" t="s">
        <v>1219</v>
      </c>
      <c r="B1150">
        <v>44</v>
      </c>
      <c r="C1150" t="s">
        <v>800</v>
      </c>
      <c r="D1150" t="s">
        <v>48</v>
      </c>
      <c r="E1150">
        <f t="shared" si="17"/>
        <v>0</v>
      </c>
      <c r="F1150" t="s">
        <v>40</v>
      </c>
      <c r="G1150">
        <v>136</v>
      </c>
      <c r="H1150" t="s">
        <v>41</v>
      </c>
      <c r="I1150">
        <v>28</v>
      </c>
      <c r="J1150">
        <v>3</v>
      </c>
      <c r="K1150" t="s">
        <v>42</v>
      </c>
      <c r="L1150">
        <v>1</v>
      </c>
      <c r="M1150">
        <v>1523</v>
      </c>
      <c r="N1150">
        <v>4</v>
      </c>
      <c r="O1150" t="s">
        <v>43</v>
      </c>
      <c r="P1150">
        <v>32</v>
      </c>
      <c r="Q1150">
        <v>3</v>
      </c>
      <c r="R1150">
        <v>4</v>
      </c>
      <c r="S1150" t="s">
        <v>251</v>
      </c>
      <c r="T1150">
        <v>1</v>
      </c>
      <c r="U1150" t="s">
        <v>104</v>
      </c>
      <c r="V1150">
        <v>16328</v>
      </c>
      <c r="W1150" t="s">
        <v>366</v>
      </c>
      <c r="X1150">
        <v>22074</v>
      </c>
      <c r="Y1150">
        <v>3</v>
      </c>
      <c r="Z1150" t="s">
        <v>47</v>
      </c>
      <c r="AA1150" t="s">
        <v>48</v>
      </c>
      <c r="AB1150">
        <v>13</v>
      </c>
      <c r="AC1150">
        <v>3</v>
      </c>
      <c r="AD1150">
        <v>3</v>
      </c>
      <c r="AE1150">
        <v>80</v>
      </c>
      <c r="AF1150">
        <v>1</v>
      </c>
      <c r="AG1150">
        <v>24</v>
      </c>
      <c r="AH1150">
        <v>1</v>
      </c>
      <c r="AI1150">
        <v>4</v>
      </c>
      <c r="AJ1150">
        <v>20</v>
      </c>
      <c r="AK1150">
        <v>6</v>
      </c>
      <c r="AL1150">
        <v>14</v>
      </c>
    </row>
    <row r="1151" spans="1:38" x14ac:dyDescent="0.3">
      <c r="A1151" t="s">
        <v>1220</v>
      </c>
      <c r="B1151">
        <v>44</v>
      </c>
      <c r="C1151" t="s">
        <v>800</v>
      </c>
      <c r="D1151" t="s">
        <v>48</v>
      </c>
      <c r="E1151">
        <f t="shared" si="17"/>
        <v>0</v>
      </c>
      <c r="F1151" t="s">
        <v>40</v>
      </c>
      <c r="G1151">
        <v>1313</v>
      </c>
      <c r="H1151" t="s">
        <v>41</v>
      </c>
      <c r="I1151">
        <v>7</v>
      </c>
      <c r="J1151">
        <v>3</v>
      </c>
      <c r="K1151" t="s">
        <v>51</v>
      </c>
      <c r="L1151">
        <v>1</v>
      </c>
      <c r="M1151">
        <v>1608</v>
      </c>
      <c r="N1151">
        <v>2</v>
      </c>
      <c r="O1151" t="s">
        <v>52</v>
      </c>
      <c r="P1151">
        <v>31</v>
      </c>
      <c r="Q1151">
        <v>3</v>
      </c>
      <c r="R1151">
        <v>5</v>
      </c>
      <c r="S1151" t="s">
        <v>251</v>
      </c>
      <c r="T1151">
        <v>4</v>
      </c>
      <c r="U1151" t="s">
        <v>101</v>
      </c>
      <c r="V1151">
        <v>19049</v>
      </c>
      <c r="W1151" t="s">
        <v>366</v>
      </c>
      <c r="X1151">
        <v>3549</v>
      </c>
      <c r="Y1151">
        <v>0</v>
      </c>
      <c r="Z1151" t="s">
        <v>47</v>
      </c>
      <c r="AA1151" t="s">
        <v>39</v>
      </c>
      <c r="AB1151">
        <v>14</v>
      </c>
      <c r="AC1151">
        <v>3</v>
      </c>
      <c r="AD1151">
        <v>4</v>
      </c>
      <c r="AE1151">
        <v>80</v>
      </c>
      <c r="AF1151">
        <v>1</v>
      </c>
      <c r="AG1151">
        <v>23</v>
      </c>
      <c r="AH1151">
        <v>4</v>
      </c>
      <c r="AI1151">
        <v>2</v>
      </c>
      <c r="AJ1151">
        <v>22</v>
      </c>
      <c r="AK1151">
        <v>7</v>
      </c>
      <c r="AL1151">
        <v>1</v>
      </c>
    </row>
    <row r="1152" spans="1:38" x14ac:dyDescent="0.3">
      <c r="A1152" t="s">
        <v>1221</v>
      </c>
      <c r="B1152">
        <v>44</v>
      </c>
      <c r="C1152" t="s">
        <v>800</v>
      </c>
      <c r="D1152" t="s">
        <v>48</v>
      </c>
      <c r="E1152">
        <f t="shared" si="17"/>
        <v>0</v>
      </c>
      <c r="F1152" t="s">
        <v>55</v>
      </c>
      <c r="G1152">
        <v>602</v>
      </c>
      <c r="H1152" t="s">
        <v>70</v>
      </c>
      <c r="I1152">
        <v>1</v>
      </c>
      <c r="J1152">
        <v>5</v>
      </c>
      <c r="K1152" t="s">
        <v>70</v>
      </c>
      <c r="L1152">
        <v>1</v>
      </c>
      <c r="M1152">
        <v>1642</v>
      </c>
      <c r="N1152">
        <v>1</v>
      </c>
      <c r="O1152" t="s">
        <v>43</v>
      </c>
      <c r="P1152">
        <v>37</v>
      </c>
      <c r="Q1152">
        <v>3</v>
      </c>
      <c r="R1152">
        <v>2</v>
      </c>
      <c r="S1152" t="s">
        <v>70</v>
      </c>
      <c r="T1152">
        <v>4</v>
      </c>
      <c r="U1152" t="s">
        <v>104</v>
      </c>
      <c r="V1152">
        <v>5743</v>
      </c>
      <c r="W1152" t="s">
        <v>162</v>
      </c>
      <c r="X1152">
        <v>10503</v>
      </c>
      <c r="Y1152">
        <v>4</v>
      </c>
      <c r="Z1152" t="s">
        <v>47</v>
      </c>
      <c r="AA1152" t="s">
        <v>39</v>
      </c>
      <c r="AB1152">
        <v>11</v>
      </c>
      <c r="AC1152">
        <v>3</v>
      </c>
      <c r="AD1152">
        <v>3</v>
      </c>
      <c r="AE1152">
        <v>80</v>
      </c>
      <c r="AF1152">
        <v>0</v>
      </c>
      <c r="AG1152">
        <v>14</v>
      </c>
      <c r="AH1152">
        <v>3</v>
      </c>
      <c r="AI1152">
        <v>3</v>
      </c>
      <c r="AJ1152">
        <v>10</v>
      </c>
      <c r="AK1152">
        <v>7</v>
      </c>
      <c r="AL1152">
        <v>0</v>
      </c>
    </row>
    <row r="1153" spans="1:38" x14ac:dyDescent="0.3">
      <c r="A1153" t="s">
        <v>1222</v>
      </c>
      <c r="B1153">
        <v>44</v>
      </c>
      <c r="C1153" t="s">
        <v>800</v>
      </c>
      <c r="D1153" t="s">
        <v>48</v>
      </c>
      <c r="E1153">
        <f t="shared" si="17"/>
        <v>0</v>
      </c>
      <c r="F1153" t="s">
        <v>40</v>
      </c>
      <c r="G1153">
        <v>528</v>
      </c>
      <c r="H1153" t="s">
        <v>70</v>
      </c>
      <c r="I1153">
        <v>1</v>
      </c>
      <c r="J1153">
        <v>3</v>
      </c>
      <c r="K1153" t="s">
        <v>42</v>
      </c>
      <c r="L1153">
        <v>1</v>
      </c>
      <c r="M1153">
        <v>1683</v>
      </c>
      <c r="N1153">
        <v>3</v>
      </c>
      <c r="O1153" t="s">
        <v>52</v>
      </c>
      <c r="P1153">
        <v>44</v>
      </c>
      <c r="Q1153">
        <v>3</v>
      </c>
      <c r="R1153">
        <v>1</v>
      </c>
      <c r="S1153" t="s">
        <v>70</v>
      </c>
      <c r="T1153">
        <v>4</v>
      </c>
      <c r="U1153" t="s">
        <v>101</v>
      </c>
      <c r="V1153">
        <v>3195</v>
      </c>
      <c r="W1153" t="s">
        <v>46</v>
      </c>
      <c r="X1153">
        <v>4167</v>
      </c>
      <c r="Y1153">
        <v>4</v>
      </c>
      <c r="Z1153" t="s">
        <v>47</v>
      </c>
      <c r="AA1153" t="s">
        <v>39</v>
      </c>
      <c r="AB1153">
        <v>18</v>
      </c>
      <c r="AC1153">
        <v>3</v>
      </c>
      <c r="AD1153">
        <v>1</v>
      </c>
      <c r="AE1153">
        <v>80</v>
      </c>
      <c r="AF1153">
        <v>3</v>
      </c>
      <c r="AG1153">
        <v>8</v>
      </c>
      <c r="AH1153">
        <v>2</v>
      </c>
      <c r="AI1153">
        <v>3</v>
      </c>
      <c r="AJ1153">
        <v>2</v>
      </c>
      <c r="AK1153">
        <v>2</v>
      </c>
      <c r="AL1153">
        <v>2</v>
      </c>
    </row>
    <row r="1154" spans="1:38" x14ac:dyDescent="0.3">
      <c r="A1154" t="s">
        <v>1223</v>
      </c>
      <c r="B1154">
        <v>44</v>
      </c>
      <c r="C1154" t="s">
        <v>800</v>
      </c>
      <c r="D1154" t="s">
        <v>48</v>
      </c>
      <c r="E1154">
        <f t="shared" si="17"/>
        <v>0</v>
      </c>
      <c r="F1154" t="s">
        <v>40</v>
      </c>
      <c r="G1154">
        <v>921</v>
      </c>
      <c r="H1154" t="s">
        <v>41</v>
      </c>
      <c r="I1154">
        <v>2</v>
      </c>
      <c r="J1154">
        <v>3</v>
      </c>
      <c r="K1154" t="s">
        <v>42</v>
      </c>
      <c r="L1154">
        <v>1</v>
      </c>
      <c r="M1154">
        <v>1703</v>
      </c>
      <c r="N1154">
        <v>3</v>
      </c>
      <c r="O1154" t="s">
        <v>52</v>
      </c>
      <c r="P1154">
        <v>96</v>
      </c>
      <c r="Q1154">
        <v>4</v>
      </c>
      <c r="R1154">
        <v>3</v>
      </c>
      <c r="S1154" t="s">
        <v>160</v>
      </c>
      <c r="T1154">
        <v>4</v>
      </c>
      <c r="U1154" t="s">
        <v>104</v>
      </c>
      <c r="V1154">
        <v>7879</v>
      </c>
      <c r="W1154" t="s">
        <v>162</v>
      </c>
      <c r="X1154">
        <v>14810</v>
      </c>
      <c r="Y1154">
        <v>1</v>
      </c>
      <c r="Z1154" t="s">
        <v>47</v>
      </c>
      <c r="AA1154" t="s">
        <v>39</v>
      </c>
      <c r="AB1154">
        <v>19</v>
      </c>
      <c r="AC1154">
        <v>3</v>
      </c>
      <c r="AD1154">
        <v>2</v>
      </c>
      <c r="AE1154">
        <v>80</v>
      </c>
      <c r="AF1154">
        <v>1</v>
      </c>
      <c r="AG1154">
        <v>9</v>
      </c>
      <c r="AH1154">
        <v>2</v>
      </c>
      <c r="AI1154">
        <v>3</v>
      </c>
      <c r="AJ1154">
        <v>8</v>
      </c>
      <c r="AK1154">
        <v>7</v>
      </c>
      <c r="AL1154">
        <v>6</v>
      </c>
    </row>
    <row r="1155" spans="1:38" x14ac:dyDescent="0.3">
      <c r="A1155" t="s">
        <v>1224</v>
      </c>
      <c r="B1155">
        <v>44</v>
      </c>
      <c r="C1155" t="s">
        <v>800</v>
      </c>
      <c r="D1155" t="s">
        <v>39</v>
      </c>
      <c r="E1155">
        <f t="shared" ref="E1155:E1218" si="18">IF(D1155="Yes",1,0)</f>
        <v>1</v>
      </c>
      <c r="F1155" t="s">
        <v>55</v>
      </c>
      <c r="G1155">
        <v>429</v>
      </c>
      <c r="H1155" t="s">
        <v>41</v>
      </c>
      <c r="I1155">
        <v>1</v>
      </c>
      <c r="J1155">
        <v>2</v>
      </c>
      <c r="K1155" t="s">
        <v>51</v>
      </c>
      <c r="L1155">
        <v>1</v>
      </c>
      <c r="M1155">
        <v>1792</v>
      </c>
      <c r="N1155">
        <v>3</v>
      </c>
      <c r="O1155" t="s">
        <v>43</v>
      </c>
      <c r="P1155">
        <v>99</v>
      </c>
      <c r="Q1155">
        <v>3</v>
      </c>
      <c r="R1155">
        <v>1</v>
      </c>
      <c r="S1155" t="s">
        <v>59</v>
      </c>
      <c r="T1155">
        <v>2</v>
      </c>
      <c r="U1155" t="s">
        <v>101</v>
      </c>
      <c r="V1155">
        <v>2342</v>
      </c>
      <c r="W1155" t="s">
        <v>46</v>
      </c>
      <c r="X1155">
        <v>11092</v>
      </c>
      <c r="Y1155">
        <v>1</v>
      </c>
      <c r="Z1155" t="s">
        <v>47</v>
      </c>
      <c r="AA1155" t="s">
        <v>39</v>
      </c>
      <c r="AB1155">
        <v>12</v>
      </c>
      <c r="AC1155">
        <v>3</v>
      </c>
      <c r="AD1155">
        <v>3</v>
      </c>
      <c r="AE1155">
        <v>80</v>
      </c>
      <c r="AF1155">
        <v>3</v>
      </c>
      <c r="AG1155">
        <v>6</v>
      </c>
      <c r="AH1155">
        <v>2</v>
      </c>
      <c r="AI1155">
        <v>2</v>
      </c>
      <c r="AJ1155">
        <v>5</v>
      </c>
      <c r="AK1155">
        <v>3</v>
      </c>
      <c r="AL1155">
        <v>2</v>
      </c>
    </row>
    <row r="1156" spans="1:38" x14ac:dyDescent="0.3">
      <c r="A1156" t="s">
        <v>1225</v>
      </c>
      <c r="B1156">
        <v>44</v>
      </c>
      <c r="C1156" t="s">
        <v>800</v>
      </c>
      <c r="D1156" t="s">
        <v>48</v>
      </c>
      <c r="E1156">
        <f t="shared" si="18"/>
        <v>0</v>
      </c>
      <c r="F1156" t="s">
        <v>40</v>
      </c>
      <c r="G1156">
        <v>170</v>
      </c>
      <c r="H1156" t="s">
        <v>41</v>
      </c>
      <c r="I1156">
        <v>1</v>
      </c>
      <c r="J1156">
        <v>4</v>
      </c>
      <c r="K1156" t="s">
        <v>42</v>
      </c>
      <c r="L1156">
        <v>1</v>
      </c>
      <c r="M1156">
        <v>1903</v>
      </c>
      <c r="N1156">
        <v>2</v>
      </c>
      <c r="O1156" t="s">
        <v>43</v>
      </c>
      <c r="P1156">
        <v>78</v>
      </c>
      <c r="Q1156">
        <v>4</v>
      </c>
      <c r="R1156">
        <v>2</v>
      </c>
      <c r="S1156" t="s">
        <v>160</v>
      </c>
      <c r="T1156">
        <v>1</v>
      </c>
      <c r="U1156" t="s">
        <v>104</v>
      </c>
      <c r="V1156">
        <v>5033</v>
      </c>
      <c r="W1156" t="s">
        <v>162</v>
      </c>
      <c r="X1156">
        <v>9364</v>
      </c>
      <c r="Y1156">
        <v>2</v>
      </c>
      <c r="Z1156" t="s">
        <v>47</v>
      </c>
      <c r="AA1156" t="s">
        <v>48</v>
      </c>
      <c r="AB1156">
        <v>15</v>
      </c>
      <c r="AC1156">
        <v>3</v>
      </c>
      <c r="AD1156">
        <v>4</v>
      </c>
      <c r="AE1156">
        <v>80</v>
      </c>
      <c r="AF1156">
        <v>1</v>
      </c>
      <c r="AG1156">
        <v>10</v>
      </c>
      <c r="AH1156">
        <v>5</v>
      </c>
      <c r="AI1156">
        <v>3</v>
      </c>
      <c r="AJ1156">
        <v>2</v>
      </c>
      <c r="AK1156">
        <v>0</v>
      </c>
      <c r="AL1156">
        <v>2</v>
      </c>
    </row>
    <row r="1157" spans="1:38" x14ac:dyDescent="0.3">
      <c r="A1157" t="s">
        <v>1226</v>
      </c>
      <c r="B1157">
        <v>44</v>
      </c>
      <c r="C1157" t="s">
        <v>800</v>
      </c>
      <c r="D1157" t="s">
        <v>48</v>
      </c>
      <c r="E1157">
        <f t="shared" si="18"/>
        <v>0</v>
      </c>
      <c r="F1157" t="s">
        <v>40</v>
      </c>
      <c r="G1157">
        <v>1037</v>
      </c>
      <c r="H1157" t="s">
        <v>41</v>
      </c>
      <c r="I1157">
        <v>1</v>
      </c>
      <c r="J1157">
        <v>3</v>
      </c>
      <c r="K1157" t="s">
        <v>51</v>
      </c>
      <c r="L1157">
        <v>1</v>
      </c>
      <c r="M1157">
        <v>2020</v>
      </c>
      <c r="N1157">
        <v>2</v>
      </c>
      <c r="O1157" t="s">
        <v>43</v>
      </c>
      <c r="P1157">
        <v>42</v>
      </c>
      <c r="Q1157">
        <v>3</v>
      </c>
      <c r="R1157">
        <v>1</v>
      </c>
      <c r="S1157" t="s">
        <v>59</v>
      </c>
      <c r="T1157">
        <v>4</v>
      </c>
      <c r="U1157" t="s">
        <v>45</v>
      </c>
      <c r="V1157">
        <v>2436</v>
      </c>
      <c r="W1157" t="s">
        <v>46</v>
      </c>
      <c r="X1157">
        <v>13422</v>
      </c>
      <c r="Y1157">
        <v>6</v>
      </c>
      <c r="Z1157" t="s">
        <v>47</v>
      </c>
      <c r="AA1157" t="s">
        <v>39</v>
      </c>
      <c r="AB1157">
        <v>12</v>
      </c>
      <c r="AC1157">
        <v>3</v>
      </c>
      <c r="AD1157">
        <v>3</v>
      </c>
      <c r="AE1157">
        <v>80</v>
      </c>
      <c r="AF1157">
        <v>0</v>
      </c>
      <c r="AG1157">
        <v>6</v>
      </c>
      <c r="AH1157">
        <v>2</v>
      </c>
      <c r="AI1157">
        <v>3</v>
      </c>
      <c r="AJ1157">
        <v>4</v>
      </c>
      <c r="AK1157">
        <v>3</v>
      </c>
      <c r="AL1157">
        <v>1</v>
      </c>
    </row>
    <row r="1158" spans="1:38" x14ac:dyDescent="0.3">
      <c r="A1158" t="s">
        <v>1227</v>
      </c>
      <c r="B1158">
        <v>45</v>
      </c>
      <c r="C1158" t="s">
        <v>800</v>
      </c>
      <c r="D1158" t="s">
        <v>48</v>
      </c>
      <c r="E1158">
        <f t="shared" si="18"/>
        <v>0</v>
      </c>
      <c r="F1158" t="s">
        <v>40</v>
      </c>
      <c r="G1158">
        <v>1339</v>
      </c>
      <c r="H1158" t="s">
        <v>41</v>
      </c>
      <c r="I1158">
        <v>7</v>
      </c>
      <c r="J1158">
        <v>3</v>
      </c>
      <c r="K1158" t="s">
        <v>42</v>
      </c>
      <c r="L1158">
        <v>1</v>
      </c>
      <c r="M1158">
        <v>86</v>
      </c>
      <c r="N1158">
        <v>2</v>
      </c>
      <c r="O1158" t="s">
        <v>43</v>
      </c>
      <c r="P1158">
        <v>59</v>
      </c>
      <c r="Q1158">
        <v>3</v>
      </c>
      <c r="R1158">
        <v>3</v>
      </c>
      <c r="S1158" t="s">
        <v>59</v>
      </c>
      <c r="T1158">
        <v>1</v>
      </c>
      <c r="U1158" t="s">
        <v>101</v>
      </c>
      <c r="V1158">
        <v>9724</v>
      </c>
      <c r="W1158" t="s">
        <v>162</v>
      </c>
      <c r="X1158">
        <v>18787</v>
      </c>
      <c r="Y1158">
        <v>2</v>
      </c>
      <c r="Z1158" t="s">
        <v>47</v>
      </c>
      <c r="AA1158" t="s">
        <v>48</v>
      </c>
      <c r="AB1158">
        <v>17</v>
      </c>
      <c r="AC1158">
        <v>3</v>
      </c>
      <c r="AD1158">
        <v>3</v>
      </c>
      <c r="AE1158">
        <v>80</v>
      </c>
      <c r="AF1158">
        <v>1</v>
      </c>
      <c r="AG1158">
        <v>25</v>
      </c>
      <c r="AH1158">
        <v>2</v>
      </c>
      <c r="AI1158">
        <v>3</v>
      </c>
      <c r="AJ1158">
        <v>1</v>
      </c>
      <c r="AK1158">
        <v>0</v>
      </c>
      <c r="AL1158">
        <v>0</v>
      </c>
    </row>
    <row r="1159" spans="1:38" x14ac:dyDescent="0.3">
      <c r="A1159" t="s">
        <v>1228</v>
      </c>
      <c r="B1159">
        <v>45</v>
      </c>
      <c r="C1159" t="s">
        <v>800</v>
      </c>
      <c r="D1159" t="s">
        <v>48</v>
      </c>
      <c r="E1159">
        <f t="shared" si="18"/>
        <v>0</v>
      </c>
      <c r="F1159" t="s">
        <v>40</v>
      </c>
      <c r="G1159">
        <v>193</v>
      </c>
      <c r="H1159" t="s">
        <v>41</v>
      </c>
      <c r="I1159">
        <v>6</v>
      </c>
      <c r="J1159">
        <v>4</v>
      </c>
      <c r="K1159" t="s">
        <v>72</v>
      </c>
      <c r="L1159">
        <v>1</v>
      </c>
      <c r="M1159">
        <v>101</v>
      </c>
      <c r="N1159">
        <v>4</v>
      </c>
      <c r="O1159" t="s">
        <v>43</v>
      </c>
      <c r="P1159">
        <v>52</v>
      </c>
      <c r="Q1159">
        <v>3</v>
      </c>
      <c r="R1159">
        <v>3</v>
      </c>
      <c r="S1159" t="s">
        <v>251</v>
      </c>
      <c r="T1159">
        <v>1</v>
      </c>
      <c r="U1159" t="s">
        <v>104</v>
      </c>
      <c r="V1159">
        <v>13245</v>
      </c>
      <c r="W1159" t="s">
        <v>252</v>
      </c>
      <c r="X1159">
        <v>15067</v>
      </c>
      <c r="Y1159">
        <v>4</v>
      </c>
      <c r="Z1159" t="s">
        <v>47</v>
      </c>
      <c r="AA1159" t="s">
        <v>39</v>
      </c>
      <c r="AB1159">
        <v>14</v>
      </c>
      <c r="AC1159">
        <v>3</v>
      </c>
      <c r="AD1159">
        <v>2</v>
      </c>
      <c r="AE1159">
        <v>80</v>
      </c>
      <c r="AF1159">
        <v>0</v>
      </c>
      <c r="AG1159">
        <v>17</v>
      </c>
      <c r="AH1159">
        <v>3</v>
      </c>
      <c r="AI1159">
        <v>4</v>
      </c>
      <c r="AJ1159">
        <v>0</v>
      </c>
      <c r="AK1159">
        <v>0</v>
      </c>
      <c r="AL1159">
        <v>0</v>
      </c>
    </row>
    <row r="1160" spans="1:38" x14ac:dyDescent="0.3">
      <c r="A1160" t="s">
        <v>1229</v>
      </c>
      <c r="B1160">
        <v>45</v>
      </c>
      <c r="C1160" t="s">
        <v>800</v>
      </c>
      <c r="D1160" t="s">
        <v>48</v>
      </c>
      <c r="E1160">
        <f t="shared" si="18"/>
        <v>0</v>
      </c>
      <c r="F1160" t="s">
        <v>40</v>
      </c>
      <c r="G1160">
        <v>1316</v>
      </c>
      <c r="H1160" t="s">
        <v>41</v>
      </c>
      <c r="I1160">
        <v>29</v>
      </c>
      <c r="J1160">
        <v>3</v>
      </c>
      <c r="K1160" t="s">
        <v>51</v>
      </c>
      <c r="L1160">
        <v>1</v>
      </c>
      <c r="M1160">
        <v>192</v>
      </c>
      <c r="N1160">
        <v>3</v>
      </c>
      <c r="O1160" t="s">
        <v>43</v>
      </c>
      <c r="P1160">
        <v>83</v>
      </c>
      <c r="Q1160">
        <v>3</v>
      </c>
      <c r="R1160">
        <v>1</v>
      </c>
      <c r="S1160" t="s">
        <v>59</v>
      </c>
      <c r="T1160">
        <v>4</v>
      </c>
      <c r="U1160" t="s">
        <v>45</v>
      </c>
      <c r="V1160">
        <v>3452</v>
      </c>
      <c r="W1160" t="s">
        <v>46</v>
      </c>
      <c r="X1160">
        <v>9752</v>
      </c>
      <c r="Y1160">
        <v>5</v>
      </c>
      <c r="Z1160" t="s">
        <v>47</v>
      </c>
      <c r="AA1160" t="s">
        <v>48</v>
      </c>
      <c r="AB1160">
        <v>13</v>
      </c>
      <c r="AC1160">
        <v>3</v>
      </c>
      <c r="AD1160">
        <v>2</v>
      </c>
      <c r="AE1160">
        <v>80</v>
      </c>
      <c r="AF1160">
        <v>0</v>
      </c>
      <c r="AG1160">
        <v>9</v>
      </c>
      <c r="AH1160">
        <v>2</v>
      </c>
      <c r="AI1160">
        <v>2</v>
      </c>
      <c r="AJ1160">
        <v>6</v>
      </c>
      <c r="AK1160">
        <v>5</v>
      </c>
      <c r="AL1160">
        <v>0</v>
      </c>
    </row>
    <row r="1161" spans="1:38" x14ac:dyDescent="0.3">
      <c r="A1161" t="s">
        <v>1230</v>
      </c>
      <c r="B1161">
        <v>45</v>
      </c>
      <c r="C1161" t="s">
        <v>800</v>
      </c>
      <c r="D1161" t="s">
        <v>48</v>
      </c>
      <c r="E1161">
        <f t="shared" si="18"/>
        <v>0</v>
      </c>
      <c r="F1161" t="s">
        <v>40</v>
      </c>
      <c r="G1161">
        <v>194</v>
      </c>
      <c r="H1161" t="s">
        <v>41</v>
      </c>
      <c r="I1161">
        <v>9</v>
      </c>
      <c r="J1161">
        <v>3</v>
      </c>
      <c r="K1161" t="s">
        <v>42</v>
      </c>
      <c r="L1161">
        <v>1</v>
      </c>
      <c r="M1161">
        <v>206</v>
      </c>
      <c r="N1161">
        <v>2</v>
      </c>
      <c r="O1161" t="s">
        <v>43</v>
      </c>
      <c r="P1161">
        <v>60</v>
      </c>
      <c r="Q1161">
        <v>3</v>
      </c>
      <c r="R1161">
        <v>2</v>
      </c>
      <c r="S1161" t="s">
        <v>44</v>
      </c>
      <c r="T1161">
        <v>2</v>
      </c>
      <c r="U1161" t="s">
        <v>101</v>
      </c>
      <c r="V1161">
        <v>2348</v>
      </c>
      <c r="W1161" t="s">
        <v>46</v>
      </c>
      <c r="X1161">
        <v>10901</v>
      </c>
      <c r="Y1161">
        <v>8</v>
      </c>
      <c r="Z1161" t="s">
        <v>47</v>
      </c>
      <c r="AA1161" t="s">
        <v>48</v>
      </c>
      <c r="AB1161">
        <v>18</v>
      </c>
      <c r="AC1161">
        <v>3</v>
      </c>
      <c r="AD1161">
        <v>3</v>
      </c>
      <c r="AE1161">
        <v>80</v>
      </c>
      <c r="AF1161">
        <v>1</v>
      </c>
      <c r="AG1161">
        <v>20</v>
      </c>
      <c r="AH1161">
        <v>2</v>
      </c>
      <c r="AI1161">
        <v>1</v>
      </c>
      <c r="AJ1161">
        <v>17</v>
      </c>
      <c r="AK1161">
        <v>9</v>
      </c>
      <c r="AL1161">
        <v>0</v>
      </c>
    </row>
    <row r="1162" spans="1:38" x14ac:dyDescent="0.3">
      <c r="A1162" t="s">
        <v>1231</v>
      </c>
      <c r="B1162">
        <v>45</v>
      </c>
      <c r="C1162" t="s">
        <v>800</v>
      </c>
      <c r="D1162" t="s">
        <v>48</v>
      </c>
      <c r="E1162">
        <f t="shared" si="18"/>
        <v>0</v>
      </c>
      <c r="F1162" t="s">
        <v>40</v>
      </c>
      <c r="G1162">
        <v>1268</v>
      </c>
      <c r="H1162" t="s">
        <v>50</v>
      </c>
      <c r="I1162">
        <v>4</v>
      </c>
      <c r="J1162">
        <v>2</v>
      </c>
      <c r="K1162" t="s">
        <v>42</v>
      </c>
      <c r="L1162">
        <v>1</v>
      </c>
      <c r="M1162">
        <v>240</v>
      </c>
      <c r="N1162">
        <v>3</v>
      </c>
      <c r="O1162" t="s">
        <v>52</v>
      </c>
      <c r="P1162">
        <v>30</v>
      </c>
      <c r="Q1162">
        <v>3</v>
      </c>
      <c r="R1162">
        <v>2</v>
      </c>
      <c r="S1162" t="s">
        <v>136</v>
      </c>
      <c r="T1162">
        <v>1</v>
      </c>
      <c r="U1162" t="s">
        <v>101</v>
      </c>
      <c r="V1162">
        <v>5006</v>
      </c>
      <c r="W1162" t="s">
        <v>162</v>
      </c>
      <c r="X1162">
        <v>6319</v>
      </c>
      <c r="Y1162">
        <v>4</v>
      </c>
      <c r="Z1162" t="s">
        <v>47</v>
      </c>
      <c r="AA1162" t="s">
        <v>39</v>
      </c>
      <c r="AB1162">
        <v>11</v>
      </c>
      <c r="AC1162">
        <v>3</v>
      </c>
      <c r="AD1162">
        <v>1</v>
      </c>
      <c r="AE1162">
        <v>80</v>
      </c>
      <c r="AF1162">
        <v>1</v>
      </c>
      <c r="AG1162">
        <v>9</v>
      </c>
      <c r="AH1162">
        <v>3</v>
      </c>
      <c r="AI1162">
        <v>4</v>
      </c>
      <c r="AJ1162">
        <v>5</v>
      </c>
      <c r="AK1162">
        <v>4</v>
      </c>
      <c r="AL1162">
        <v>0</v>
      </c>
    </row>
    <row r="1163" spans="1:38" x14ac:dyDescent="0.3">
      <c r="A1163" t="s">
        <v>1232</v>
      </c>
      <c r="B1163">
        <v>45</v>
      </c>
      <c r="C1163" t="s">
        <v>800</v>
      </c>
      <c r="D1163" t="s">
        <v>48</v>
      </c>
      <c r="E1163">
        <f t="shared" si="18"/>
        <v>0</v>
      </c>
      <c r="F1163" t="s">
        <v>58</v>
      </c>
      <c r="G1163">
        <v>1195</v>
      </c>
      <c r="H1163" t="s">
        <v>41</v>
      </c>
      <c r="I1163">
        <v>2</v>
      </c>
      <c r="J1163">
        <v>2</v>
      </c>
      <c r="K1163" t="s">
        <v>51</v>
      </c>
      <c r="L1163">
        <v>1</v>
      </c>
      <c r="M1163">
        <v>264</v>
      </c>
      <c r="N1163">
        <v>1</v>
      </c>
      <c r="O1163" t="s">
        <v>43</v>
      </c>
      <c r="P1163">
        <v>65</v>
      </c>
      <c r="Q1163">
        <v>2</v>
      </c>
      <c r="R1163">
        <v>4</v>
      </c>
      <c r="S1163" t="s">
        <v>440</v>
      </c>
      <c r="T1163">
        <v>4</v>
      </c>
      <c r="U1163" t="s">
        <v>104</v>
      </c>
      <c r="V1163">
        <v>16792</v>
      </c>
      <c r="W1163" t="s">
        <v>366</v>
      </c>
      <c r="X1163">
        <v>20462</v>
      </c>
      <c r="Y1163">
        <v>9</v>
      </c>
      <c r="Z1163" t="s">
        <v>47</v>
      </c>
      <c r="AA1163" t="s">
        <v>48</v>
      </c>
      <c r="AB1163">
        <v>23</v>
      </c>
      <c r="AC1163">
        <v>4</v>
      </c>
      <c r="AD1163">
        <v>4</v>
      </c>
      <c r="AE1163">
        <v>80</v>
      </c>
      <c r="AF1163">
        <v>1</v>
      </c>
      <c r="AG1163">
        <v>22</v>
      </c>
      <c r="AH1163">
        <v>1</v>
      </c>
      <c r="AI1163">
        <v>3</v>
      </c>
      <c r="AJ1163">
        <v>20</v>
      </c>
      <c r="AK1163">
        <v>8</v>
      </c>
      <c r="AL1163">
        <v>11</v>
      </c>
    </row>
    <row r="1164" spans="1:38" x14ac:dyDescent="0.3">
      <c r="A1164" t="s">
        <v>1233</v>
      </c>
      <c r="B1164">
        <v>45</v>
      </c>
      <c r="C1164" t="s">
        <v>800</v>
      </c>
      <c r="D1164" t="s">
        <v>48</v>
      </c>
      <c r="E1164">
        <f t="shared" si="18"/>
        <v>0</v>
      </c>
      <c r="F1164" t="s">
        <v>58</v>
      </c>
      <c r="G1164">
        <v>1052</v>
      </c>
      <c r="H1164" t="s">
        <v>50</v>
      </c>
      <c r="I1164">
        <v>6</v>
      </c>
      <c r="J1164">
        <v>3</v>
      </c>
      <c r="K1164" t="s">
        <v>51</v>
      </c>
      <c r="L1164">
        <v>1</v>
      </c>
      <c r="M1164">
        <v>302</v>
      </c>
      <c r="N1164">
        <v>4</v>
      </c>
      <c r="O1164" t="s">
        <v>52</v>
      </c>
      <c r="P1164">
        <v>57</v>
      </c>
      <c r="Q1164">
        <v>2</v>
      </c>
      <c r="R1164">
        <v>3</v>
      </c>
      <c r="S1164" t="s">
        <v>136</v>
      </c>
      <c r="T1164">
        <v>4</v>
      </c>
      <c r="U1164" t="s">
        <v>45</v>
      </c>
      <c r="V1164">
        <v>8865</v>
      </c>
      <c r="W1164" t="s">
        <v>162</v>
      </c>
      <c r="X1164">
        <v>16840</v>
      </c>
      <c r="Y1164">
        <v>6</v>
      </c>
      <c r="Z1164" t="s">
        <v>47</v>
      </c>
      <c r="AA1164" t="s">
        <v>48</v>
      </c>
      <c r="AB1164">
        <v>12</v>
      </c>
      <c r="AC1164">
        <v>3</v>
      </c>
      <c r="AD1164">
        <v>4</v>
      </c>
      <c r="AE1164">
        <v>80</v>
      </c>
      <c r="AF1164">
        <v>0</v>
      </c>
      <c r="AG1164">
        <v>23</v>
      </c>
      <c r="AH1164">
        <v>2</v>
      </c>
      <c r="AI1164">
        <v>3</v>
      </c>
      <c r="AJ1164">
        <v>19</v>
      </c>
      <c r="AK1164">
        <v>7</v>
      </c>
      <c r="AL1164">
        <v>12</v>
      </c>
    </row>
    <row r="1165" spans="1:38" x14ac:dyDescent="0.3">
      <c r="A1165" t="s">
        <v>1234</v>
      </c>
      <c r="B1165">
        <v>45</v>
      </c>
      <c r="C1165" t="s">
        <v>800</v>
      </c>
      <c r="D1165" t="s">
        <v>48</v>
      </c>
      <c r="E1165">
        <f t="shared" si="18"/>
        <v>0</v>
      </c>
      <c r="F1165" t="s">
        <v>40</v>
      </c>
      <c r="G1165">
        <v>252</v>
      </c>
      <c r="H1165" t="s">
        <v>41</v>
      </c>
      <c r="I1165">
        <v>1</v>
      </c>
      <c r="J1165">
        <v>3</v>
      </c>
      <c r="K1165" t="s">
        <v>72</v>
      </c>
      <c r="L1165">
        <v>1</v>
      </c>
      <c r="M1165">
        <v>336</v>
      </c>
      <c r="N1165">
        <v>3</v>
      </c>
      <c r="O1165" t="s">
        <v>43</v>
      </c>
      <c r="P1165">
        <v>70</v>
      </c>
      <c r="Q1165">
        <v>4</v>
      </c>
      <c r="R1165">
        <v>5</v>
      </c>
      <c r="S1165" t="s">
        <v>440</v>
      </c>
      <c r="T1165">
        <v>4</v>
      </c>
      <c r="U1165" t="s">
        <v>104</v>
      </c>
      <c r="V1165">
        <v>19202</v>
      </c>
      <c r="W1165" t="s">
        <v>366</v>
      </c>
      <c r="X1165">
        <v>15970</v>
      </c>
      <c r="Y1165">
        <v>0</v>
      </c>
      <c r="Z1165" t="s">
        <v>47</v>
      </c>
      <c r="AA1165" t="s">
        <v>48</v>
      </c>
      <c r="AB1165">
        <v>11</v>
      </c>
      <c r="AC1165">
        <v>3</v>
      </c>
      <c r="AD1165">
        <v>3</v>
      </c>
      <c r="AE1165">
        <v>80</v>
      </c>
      <c r="AF1165">
        <v>1</v>
      </c>
      <c r="AG1165">
        <v>25</v>
      </c>
      <c r="AH1165">
        <v>2</v>
      </c>
      <c r="AI1165">
        <v>3</v>
      </c>
      <c r="AJ1165">
        <v>24</v>
      </c>
      <c r="AK1165">
        <v>0</v>
      </c>
      <c r="AL1165">
        <v>1</v>
      </c>
    </row>
    <row r="1166" spans="1:38" x14ac:dyDescent="0.3">
      <c r="A1166" t="s">
        <v>1235</v>
      </c>
      <c r="B1166">
        <v>45</v>
      </c>
      <c r="C1166" t="s">
        <v>800</v>
      </c>
      <c r="D1166" t="s">
        <v>48</v>
      </c>
      <c r="E1166">
        <f t="shared" si="18"/>
        <v>0</v>
      </c>
      <c r="F1166" t="s">
        <v>55</v>
      </c>
      <c r="G1166">
        <v>1199</v>
      </c>
      <c r="H1166" t="s">
        <v>41</v>
      </c>
      <c r="I1166">
        <v>7</v>
      </c>
      <c r="J1166">
        <v>4</v>
      </c>
      <c r="K1166" t="s">
        <v>42</v>
      </c>
      <c r="L1166">
        <v>1</v>
      </c>
      <c r="M1166">
        <v>341</v>
      </c>
      <c r="N1166">
        <v>1</v>
      </c>
      <c r="O1166" t="s">
        <v>43</v>
      </c>
      <c r="P1166">
        <v>77</v>
      </c>
      <c r="Q1166">
        <v>4</v>
      </c>
      <c r="R1166">
        <v>2</v>
      </c>
      <c r="S1166" t="s">
        <v>111</v>
      </c>
      <c r="T1166">
        <v>3</v>
      </c>
      <c r="U1166" t="s">
        <v>104</v>
      </c>
      <c r="V1166">
        <v>6434</v>
      </c>
      <c r="W1166" t="s">
        <v>162</v>
      </c>
      <c r="X1166">
        <v>5118</v>
      </c>
      <c r="Y1166">
        <v>4</v>
      </c>
      <c r="Z1166" t="s">
        <v>47</v>
      </c>
      <c r="AA1166" t="s">
        <v>48</v>
      </c>
      <c r="AB1166">
        <v>17</v>
      </c>
      <c r="AC1166">
        <v>3</v>
      </c>
      <c r="AD1166">
        <v>4</v>
      </c>
      <c r="AE1166">
        <v>80</v>
      </c>
      <c r="AF1166">
        <v>1</v>
      </c>
      <c r="AG1166">
        <v>9</v>
      </c>
      <c r="AH1166">
        <v>1</v>
      </c>
      <c r="AI1166">
        <v>3</v>
      </c>
      <c r="AJ1166">
        <v>3</v>
      </c>
      <c r="AK1166">
        <v>2</v>
      </c>
      <c r="AL1166">
        <v>0</v>
      </c>
    </row>
    <row r="1167" spans="1:38" x14ac:dyDescent="0.3">
      <c r="A1167" t="s">
        <v>1236</v>
      </c>
      <c r="B1167">
        <v>45</v>
      </c>
      <c r="C1167" t="s">
        <v>800</v>
      </c>
      <c r="D1167" t="s">
        <v>48</v>
      </c>
      <c r="E1167">
        <f t="shared" si="18"/>
        <v>0</v>
      </c>
      <c r="F1167" t="s">
        <v>40</v>
      </c>
      <c r="G1167">
        <v>1385</v>
      </c>
      <c r="H1167" t="s">
        <v>41</v>
      </c>
      <c r="I1167">
        <v>20</v>
      </c>
      <c r="J1167">
        <v>2</v>
      </c>
      <c r="K1167" t="s">
        <v>51</v>
      </c>
      <c r="L1167">
        <v>1</v>
      </c>
      <c r="M1167">
        <v>372</v>
      </c>
      <c r="N1167">
        <v>3</v>
      </c>
      <c r="O1167" t="s">
        <v>43</v>
      </c>
      <c r="P1167">
        <v>79</v>
      </c>
      <c r="Q1167">
        <v>3</v>
      </c>
      <c r="R1167">
        <v>4</v>
      </c>
      <c r="S1167" t="s">
        <v>160</v>
      </c>
      <c r="T1167">
        <v>4</v>
      </c>
      <c r="U1167" t="s">
        <v>104</v>
      </c>
      <c r="V1167">
        <v>13496</v>
      </c>
      <c r="W1167" t="s">
        <v>252</v>
      </c>
      <c r="X1167">
        <v>7501</v>
      </c>
      <c r="Y1167">
        <v>0</v>
      </c>
      <c r="Z1167" t="s">
        <v>47</v>
      </c>
      <c r="AA1167" t="s">
        <v>39</v>
      </c>
      <c r="AB1167">
        <v>14</v>
      </c>
      <c r="AC1167">
        <v>3</v>
      </c>
      <c r="AD1167">
        <v>2</v>
      </c>
      <c r="AE1167">
        <v>80</v>
      </c>
      <c r="AF1167">
        <v>0</v>
      </c>
      <c r="AG1167">
        <v>21</v>
      </c>
      <c r="AH1167">
        <v>2</v>
      </c>
      <c r="AI1167">
        <v>3</v>
      </c>
      <c r="AJ1167">
        <v>20</v>
      </c>
      <c r="AK1167">
        <v>7</v>
      </c>
      <c r="AL1167">
        <v>4</v>
      </c>
    </row>
    <row r="1168" spans="1:38" x14ac:dyDescent="0.3">
      <c r="A1168" t="s">
        <v>1237</v>
      </c>
      <c r="B1168">
        <v>45</v>
      </c>
      <c r="C1168" t="s">
        <v>800</v>
      </c>
      <c r="D1168" t="s">
        <v>48</v>
      </c>
      <c r="E1168">
        <f t="shared" si="18"/>
        <v>0</v>
      </c>
      <c r="F1168" t="s">
        <v>55</v>
      </c>
      <c r="G1168">
        <v>1249</v>
      </c>
      <c r="H1168" t="s">
        <v>41</v>
      </c>
      <c r="I1168">
        <v>7</v>
      </c>
      <c r="J1168">
        <v>3</v>
      </c>
      <c r="K1168" t="s">
        <v>42</v>
      </c>
      <c r="L1168">
        <v>1</v>
      </c>
      <c r="M1168">
        <v>425</v>
      </c>
      <c r="N1168">
        <v>1</v>
      </c>
      <c r="O1168" t="s">
        <v>43</v>
      </c>
      <c r="P1168">
        <v>97</v>
      </c>
      <c r="Q1168">
        <v>3</v>
      </c>
      <c r="R1168">
        <v>3</v>
      </c>
      <c r="S1168" t="s">
        <v>44</v>
      </c>
      <c r="T1168">
        <v>1</v>
      </c>
      <c r="U1168" t="s">
        <v>101</v>
      </c>
      <c r="V1168">
        <v>5210</v>
      </c>
      <c r="W1168" t="s">
        <v>162</v>
      </c>
      <c r="X1168">
        <v>20308</v>
      </c>
      <c r="Y1168">
        <v>1</v>
      </c>
      <c r="Z1168" t="s">
        <v>47</v>
      </c>
      <c r="AA1168" t="s">
        <v>48</v>
      </c>
      <c r="AB1168">
        <v>18</v>
      </c>
      <c r="AC1168">
        <v>3</v>
      </c>
      <c r="AD1168">
        <v>1</v>
      </c>
      <c r="AE1168">
        <v>80</v>
      </c>
      <c r="AF1168">
        <v>1</v>
      </c>
      <c r="AG1168">
        <v>24</v>
      </c>
      <c r="AH1168">
        <v>2</v>
      </c>
      <c r="AI1168">
        <v>3</v>
      </c>
      <c r="AJ1168">
        <v>24</v>
      </c>
      <c r="AK1168">
        <v>9</v>
      </c>
      <c r="AL1168">
        <v>9</v>
      </c>
    </row>
    <row r="1169" spans="1:38" x14ac:dyDescent="0.3">
      <c r="A1169" t="s">
        <v>1238</v>
      </c>
      <c r="B1169">
        <v>45</v>
      </c>
      <c r="C1169" t="s">
        <v>800</v>
      </c>
      <c r="D1169" t="s">
        <v>48</v>
      </c>
      <c r="E1169">
        <f t="shared" si="18"/>
        <v>0</v>
      </c>
      <c r="F1169" t="s">
        <v>40</v>
      </c>
      <c r="G1169">
        <v>549</v>
      </c>
      <c r="H1169" t="s">
        <v>41</v>
      </c>
      <c r="I1169">
        <v>8</v>
      </c>
      <c r="J1169">
        <v>4</v>
      </c>
      <c r="K1169" t="s">
        <v>72</v>
      </c>
      <c r="L1169">
        <v>1</v>
      </c>
      <c r="M1169">
        <v>452</v>
      </c>
      <c r="N1169">
        <v>4</v>
      </c>
      <c r="O1169" t="s">
        <v>43</v>
      </c>
      <c r="P1169">
        <v>75</v>
      </c>
      <c r="Q1169">
        <v>3</v>
      </c>
      <c r="R1169">
        <v>2</v>
      </c>
      <c r="S1169" t="s">
        <v>59</v>
      </c>
      <c r="T1169">
        <v>4</v>
      </c>
      <c r="U1169" t="s">
        <v>104</v>
      </c>
      <c r="V1169">
        <v>3697</v>
      </c>
      <c r="W1169" t="s">
        <v>46</v>
      </c>
      <c r="X1169">
        <v>9278</v>
      </c>
      <c r="Y1169">
        <v>9</v>
      </c>
      <c r="Z1169" t="s">
        <v>47</v>
      </c>
      <c r="AA1169" t="s">
        <v>48</v>
      </c>
      <c r="AB1169">
        <v>14</v>
      </c>
      <c r="AC1169">
        <v>3</v>
      </c>
      <c r="AD1169">
        <v>1</v>
      </c>
      <c r="AE1169">
        <v>80</v>
      </c>
      <c r="AF1169">
        <v>2</v>
      </c>
      <c r="AG1169">
        <v>12</v>
      </c>
      <c r="AH1169">
        <v>3</v>
      </c>
      <c r="AI1169">
        <v>3</v>
      </c>
      <c r="AJ1169">
        <v>10</v>
      </c>
      <c r="AK1169">
        <v>9</v>
      </c>
      <c r="AL1169">
        <v>9</v>
      </c>
    </row>
    <row r="1170" spans="1:38" x14ac:dyDescent="0.3">
      <c r="A1170" t="s">
        <v>1239</v>
      </c>
      <c r="B1170">
        <v>45</v>
      </c>
      <c r="C1170" t="s">
        <v>800</v>
      </c>
      <c r="D1170" t="s">
        <v>48</v>
      </c>
      <c r="E1170">
        <f t="shared" si="18"/>
        <v>0</v>
      </c>
      <c r="F1170" t="s">
        <v>40</v>
      </c>
      <c r="G1170">
        <v>192</v>
      </c>
      <c r="H1170" t="s">
        <v>41</v>
      </c>
      <c r="I1170">
        <v>10</v>
      </c>
      <c r="J1170">
        <v>2</v>
      </c>
      <c r="K1170" t="s">
        <v>42</v>
      </c>
      <c r="L1170">
        <v>1</v>
      </c>
      <c r="M1170">
        <v>544</v>
      </c>
      <c r="N1170">
        <v>1</v>
      </c>
      <c r="O1170" t="s">
        <v>43</v>
      </c>
      <c r="P1170">
        <v>69</v>
      </c>
      <c r="Q1170">
        <v>3</v>
      </c>
      <c r="R1170">
        <v>1</v>
      </c>
      <c r="S1170" t="s">
        <v>59</v>
      </c>
      <c r="T1170">
        <v>4</v>
      </c>
      <c r="U1170" t="s">
        <v>104</v>
      </c>
      <c r="V1170">
        <v>2654</v>
      </c>
      <c r="W1170" t="s">
        <v>46</v>
      </c>
      <c r="X1170">
        <v>9655</v>
      </c>
      <c r="Y1170">
        <v>3</v>
      </c>
      <c r="Z1170" t="s">
        <v>47</v>
      </c>
      <c r="AA1170" t="s">
        <v>48</v>
      </c>
      <c r="AB1170">
        <v>21</v>
      </c>
      <c r="AC1170">
        <v>4</v>
      </c>
      <c r="AD1170">
        <v>4</v>
      </c>
      <c r="AE1170">
        <v>80</v>
      </c>
      <c r="AF1170">
        <v>2</v>
      </c>
      <c r="AG1170">
        <v>8</v>
      </c>
      <c r="AH1170">
        <v>3</v>
      </c>
      <c r="AI1170">
        <v>2</v>
      </c>
      <c r="AJ1170">
        <v>2</v>
      </c>
      <c r="AK1170">
        <v>2</v>
      </c>
      <c r="AL1170">
        <v>0</v>
      </c>
    </row>
    <row r="1171" spans="1:38" x14ac:dyDescent="0.3">
      <c r="A1171" t="s">
        <v>1240</v>
      </c>
      <c r="B1171">
        <v>45</v>
      </c>
      <c r="C1171" t="s">
        <v>800</v>
      </c>
      <c r="D1171" t="s">
        <v>48</v>
      </c>
      <c r="E1171">
        <f t="shared" si="18"/>
        <v>0</v>
      </c>
      <c r="F1171" t="s">
        <v>40</v>
      </c>
      <c r="G1171">
        <v>561</v>
      </c>
      <c r="H1171" t="s">
        <v>50</v>
      </c>
      <c r="I1171">
        <v>2</v>
      </c>
      <c r="J1171">
        <v>3</v>
      </c>
      <c r="K1171" t="s">
        <v>72</v>
      </c>
      <c r="L1171">
        <v>1</v>
      </c>
      <c r="M1171">
        <v>606</v>
      </c>
      <c r="N1171">
        <v>4</v>
      </c>
      <c r="O1171" t="s">
        <v>43</v>
      </c>
      <c r="P1171">
        <v>61</v>
      </c>
      <c r="Q1171">
        <v>3</v>
      </c>
      <c r="R1171">
        <v>2</v>
      </c>
      <c r="S1171" t="s">
        <v>136</v>
      </c>
      <c r="T1171">
        <v>2</v>
      </c>
      <c r="U1171" t="s">
        <v>104</v>
      </c>
      <c r="V1171">
        <v>4805</v>
      </c>
      <c r="W1171" t="s">
        <v>46</v>
      </c>
      <c r="X1171">
        <v>16177</v>
      </c>
      <c r="Y1171">
        <v>0</v>
      </c>
      <c r="Z1171" t="s">
        <v>47</v>
      </c>
      <c r="AA1171" t="s">
        <v>48</v>
      </c>
      <c r="AB1171">
        <v>19</v>
      </c>
      <c r="AC1171">
        <v>3</v>
      </c>
      <c r="AD1171">
        <v>2</v>
      </c>
      <c r="AE1171">
        <v>80</v>
      </c>
      <c r="AF1171">
        <v>1</v>
      </c>
      <c r="AG1171">
        <v>9</v>
      </c>
      <c r="AH1171">
        <v>3</v>
      </c>
      <c r="AI1171">
        <v>4</v>
      </c>
      <c r="AJ1171">
        <v>8</v>
      </c>
      <c r="AK1171">
        <v>7</v>
      </c>
      <c r="AL1171">
        <v>3</v>
      </c>
    </row>
    <row r="1172" spans="1:38" x14ac:dyDescent="0.3">
      <c r="A1172" t="s">
        <v>1241</v>
      </c>
      <c r="B1172">
        <v>45</v>
      </c>
      <c r="C1172" t="s">
        <v>800</v>
      </c>
      <c r="D1172" t="s">
        <v>39</v>
      </c>
      <c r="E1172">
        <f t="shared" si="18"/>
        <v>1</v>
      </c>
      <c r="F1172" t="s">
        <v>55</v>
      </c>
      <c r="G1172">
        <v>306</v>
      </c>
      <c r="H1172" t="s">
        <v>50</v>
      </c>
      <c r="I1172">
        <v>26</v>
      </c>
      <c r="J1172">
        <v>4</v>
      </c>
      <c r="K1172" t="s">
        <v>42</v>
      </c>
      <c r="L1172">
        <v>1</v>
      </c>
      <c r="M1172">
        <v>684</v>
      </c>
      <c r="N1172">
        <v>1</v>
      </c>
      <c r="O1172" t="s">
        <v>52</v>
      </c>
      <c r="P1172">
        <v>100</v>
      </c>
      <c r="Q1172">
        <v>3</v>
      </c>
      <c r="R1172">
        <v>2</v>
      </c>
      <c r="S1172" t="s">
        <v>136</v>
      </c>
      <c r="T1172">
        <v>1</v>
      </c>
      <c r="U1172" t="s">
        <v>104</v>
      </c>
      <c r="V1172">
        <v>4286</v>
      </c>
      <c r="W1172" t="s">
        <v>46</v>
      </c>
      <c r="X1172">
        <v>5630</v>
      </c>
      <c r="Y1172">
        <v>2</v>
      </c>
      <c r="Z1172" t="s">
        <v>47</v>
      </c>
      <c r="AA1172" t="s">
        <v>48</v>
      </c>
      <c r="AB1172">
        <v>14</v>
      </c>
      <c r="AC1172">
        <v>3</v>
      </c>
      <c r="AD1172">
        <v>4</v>
      </c>
      <c r="AE1172">
        <v>80</v>
      </c>
      <c r="AF1172">
        <v>2</v>
      </c>
      <c r="AG1172">
        <v>5</v>
      </c>
      <c r="AH1172">
        <v>4</v>
      </c>
      <c r="AI1172">
        <v>3</v>
      </c>
      <c r="AJ1172">
        <v>1</v>
      </c>
      <c r="AK1172">
        <v>1</v>
      </c>
      <c r="AL1172">
        <v>0</v>
      </c>
    </row>
    <row r="1173" spans="1:38" x14ac:dyDescent="0.3">
      <c r="A1173" t="s">
        <v>1242</v>
      </c>
      <c r="B1173">
        <v>45</v>
      </c>
      <c r="C1173" t="s">
        <v>800</v>
      </c>
      <c r="D1173" t="s">
        <v>48</v>
      </c>
      <c r="E1173">
        <f t="shared" si="18"/>
        <v>0</v>
      </c>
      <c r="F1173" t="s">
        <v>40</v>
      </c>
      <c r="G1173">
        <v>954</v>
      </c>
      <c r="H1173" t="s">
        <v>50</v>
      </c>
      <c r="I1173">
        <v>2</v>
      </c>
      <c r="J1173">
        <v>2</v>
      </c>
      <c r="K1173" t="s">
        <v>67</v>
      </c>
      <c r="L1173">
        <v>1</v>
      </c>
      <c r="M1173">
        <v>783</v>
      </c>
      <c r="N1173">
        <v>2</v>
      </c>
      <c r="O1173" t="s">
        <v>43</v>
      </c>
      <c r="P1173">
        <v>46</v>
      </c>
      <c r="Q1173">
        <v>1</v>
      </c>
      <c r="R1173">
        <v>2</v>
      </c>
      <c r="S1173" t="s">
        <v>53</v>
      </c>
      <c r="T1173">
        <v>3</v>
      </c>
      <c r="U1173" t="s">
        <v>45</v>
      </c>
      <c r="V1173">
        <v>6632</v>
      </c>
      <c r="W1173" t="s">
        <v>162</v>
      </c>
      <c r="X1173">
        <v>12388</v>
      </c>
      <c r="Y1173">
        <v>0</v>
      </c>
      <c r="Z1173" t="s">
        <v>47</v>
      </c>
      <c r="AA1173" t="s">
        <v>48</v>
      </c>
      <c r="AB1173">
        <v>13</v>
      </c>
      <c r="AC1173">
        <v>3</v>
      </c>
      <c r="AD1173">
        <v>1</v>
      </c>
      <c r="AE1173">
        <v>80</v>
      </c>
      <c r="AF1173">
        <v>0</v>
      </c>
      <c r="AG1173">
        <v>9</v>
      </c>
      <c r="AH1173">
        <v>3</v>
      </c>
      <c r="AI1173">
        <v>3</v>
      </c>
      <c r="AJ1173">
        <v>8</v>
      </c>
      <c r="AK1173">
        <v>7</v>
      </c>
      <c r="AL1173">
        <v>3</v>
      </c>
    </row>
    <row r="1174" spans="1:38" x14ac:dyDescent="0.3">
      <c r="A1174" t="s">
        <v>1243</v>
      </c>
      <c r="B1174">
        <v>45</v>
      </c>
      <c r="C1174" t="s">
        <v>800</v>
      </c>
      <c r="D1174" t="s">
        <v>48</v>
      </c>
      <c r="E1174">
        <f t="shared" si="18"/>
        <v>0</v>
      </c>
      <c r="F1174" t="s">
        <v>40</v>
      </c>
      <c r="G1174">
        <v>252</v>
      </c>
      <c r="H1174" t="s">
        <v>41</v>
      </c>
      <c r="I1174">
        <v>2</v>
      </c>
      <c r="J1174">
        <v>3</v>
      </c>
      <c r="K1174" t="s">
        <v>42</v>
      </c>
      <c r="L1174">
        <v>1</v>
      </c>
      <c r="M1174">
        <v>834</v>
      </c>
      <c r="N1174">
        <v>2</v>
      </c>
      <c r="O1174" t="s">
        <v>52</v>
      </c>
      <c r="P1174">
        <v>95</v>
      </c>
      <c r="Q1174">
        <v>2</v>
      </c>
      <c r="R1174">
        <v>1</v>
      </c>
      <c r="S1174" t="s">
        <v>59</v>
      </c>
      <c r="T1174">
        <v>3</v>
      </c>
      <c r="U1174" t="s">
        <v>45</v>
      </c>
      <c r="V1174">
        <v>2274</v>
      </c>
      <c r="W1174" t="s">
        <v>46</v>
      </c>
      <c r="X1174">
        <v>6153</v>
      </c>
      <c r="Y1174">
        <v>1</v>
      </c>
      <c r="Z1174" t="s">
        <v>47</v>
      </c>
      <c r="AA1174" t="s">
        <v>48</v>
      </c>
      <c r="AB1174">
        <v>14</v>
      </c>
      <c r="AC1174">
        <v>3</v>
      </c>
      <c r="AD1174">
        <v>4</v>
      </c>
      <c r="AE1174">
        <v>80</v>
      </c>
      <c r="AF1174">
        <v>0</v>
      </c>
      <c r="AG1174">
        <v>1</v>
      </c>
      <c r="AH1174">
        <v>3</v>
      </c>
      <c r="AI1174">
        <v>3</v>
      </c>
      <c r="AJ1174">
        <v>1</v>
      </c>
      <c r="AK1174">
        <v>0</v>
      </c>
      <c r="AL1174">
        <v>0</v>
      </c>
    </row>
    <row r="1175" spans="1:38" x14ac:dyDescent="0.3">
      <c r="A1175" t="s">
        <v>1244</v>
      </c>
      <c r="B1175">
        <v>45</v>
      </c>
      <c r="C1175" t="s">
        <v>800</v>
      </c>
      <c r="D1175" t="s">
        <v>48</v>
      </c>
      <c r="E1175">
        <f t="shared" si="18"/>
        <v>0</v>
      </c>
      <c r="F1175" t="s">
        <v>40</v>
      </c>
      <c r="G1175">
        <v>930</v>
      </c>
      <c r="H1175" t="s">
        <v>50</v>
      </c>
      <c r="I1175">
        <v>9</v>
      </c>
      <c r="J1175">
        <v>3</v>
      </c>
      <c r="K1175" t="s">
        <v>56</v>
      </c>
      <c r="L1175">
        <v>1</v>
      </c>
      <c r="M1175">
        <v>864</v>
      </c>
      <c r="N1175">
        <v>4</v>
      </c>
      <c r="O1175" t="s">
        <v>43</v>
      </c>
      <c r="P1175">
        <v>74</v>
      </c>
      <c r="Q1175">
        <v>3</v>
      </c>
      <c r="R1175">
        <v>3</v>
      </c>
      <c r="S1175" t="s">
        <v>136</v>
      </c>
      <c r="T1175">
        <v>1</v>
      </c>
      <c r="U1175" t="s">
        <v>101</v>
      </c>
      <c r="V1175">
        <v>10761</v>
      </c>
      <c r="W1175" t="s">
        <v>252</v>
      </c>
      <c r="X1175">
        <v>19239</v>
      </c>
      <c r="Y1175">
        <v>4</v>
      </c>
      <c r="Z1175" t="s">
        <v>47</v>
      </c>
      <c r="AA1175" t="s">
        <v>39</v>
      </c>
      <c r="AB1175">
        <v>12</v>
      </c>
      <c r="AC1175">
        <v>3</v>
      </c>
      <c r="AD1175">
        <v>3</v>
      </c>
      <c r="AE1175">
        <v>80</v>
      </c>
      <c r="AF1175">
        <v>1</v>
      </c>
      <c r="AG1175">
        <v>18</v>
      </c>
      <c r="AH1175">
        <v>2</v>
      </c>
      <c r="AI1175">
        <v>3</v>
      </c>
      <c r="AJ1175">
        <v>5</v>
      </c>
      <c r="AK1175">
        <v>4</v>
      </c>
      <c r="AL1175">
        <v>0</v>
      </c>
    </row>
    <row r="1176" spans="1:38" x14ac:dyDescent="0.3">
      <c r="A1176" t="s">
        <v>1245</v>
      </c>
      <c r="B1176">
        <v>45</v>
      </c>
      <c r="C1176" t="s">
        <v>800</v>
      </c>
      <c r="D1176" t="s">
        <v>48</v>
      </c>
      <c r="E1176">
        <f t="shared" si="18"/>
        <v>0</v>
      </c>
      <c r="F1176" t="s">
        <v>58</v>
      </c>
      <c r="G1176">
        <v>805</v>
      </c>
      <c r="H1176" t="s">
        <v>41</v>
      </c>
      <c r="I1176">
        <v>4</v>
      </c>
      <c r="J1176">
        <v>2</v>
      </c>
      <c r="K1176" t="s">
        <v>42</v>
      </c>
      <c r="L1176">
        <v>1</v>
      </c>
      <c r="M1176">
        <v>972</v>
      </c>
      <c r="N1176">
        <v>3</v>
      </c>
      <c r="O1176" t="s">
        <v>43</v>
      </c>
      <c r="P1176">
        <v>57</v>
      </c>
      <c r="Q1176">
        <v>3</v>
      </c>
      <c r="R1176">
        <v>2</v>
      </c>
      <c r="S1176" t="s">
        <v>44</v>
      </c>
      <c r="T1176">
        <v>2</v>
      </c>
      <c r="U1176" t="s">
        <v>104</v>
      </c>
      <c r="V1176">
        <v>4447</v>
      </c>
      <c r="W1176" t="s">
        <v>46</v>
      </c>
      <c r="X1176">
        <v>23163</v>
      </c>
      <c r="Y1176">
        <v>1</v>
      </c>
      <c r="Z1176" t="s">
        <v>47</v>
      </c>
      <c r="AA1176" t="s">
        <v>48</v>
      </c>
      <c r="AB1176">
        <v>12</v>
      </c>
      <c r="AC1176">
        <v>3</v>
      </c>
      <c r="AD1176">
        <v>2</v>
      </c>
      <c r="AE1176">
        <v>80</v>
      </c>
      <c r="AF1176">
        <v>0</v>
      </c>
      <c r="AG1176">
        <v>9</v>
      </c>
      <c r="AH1176">
        <v>5</v>
      </c>
      <c r="AI1176">
        <v>2</v>
      </c>
      <c r="AJ1176">
        <v>9</v>
      </c>
      <c r="AK1176">
        <v>7</v>
      </c>
      <c r="AL1176">
        <v>0</v>
      </c>
    </row>
    <row r="1177" spans="1:38" x14ac:dyDescent="0.3">
      <c r="A1177" t="s">
        <v>1246</v>
      </c>
      <c r="B1177">
        <v>45</v>
      </c>
      <c r="C1177" t="s">
        <v>800</v>
      </c>
      <c r="D1177" t="s">
        <v>48</v>
      </c>
      <c r="E1177">
        <f t="shared" si="18"/>
        <v>0</v>
      </c>
      <c r="F1177" t="s">
        <v>40</v>
      </c>
      <c r="G1177">
        <v>974</v>
      </c>
      <c r="H1177" t="s">
        <v>41</v>
      </c>
      <c r="I1177">
        <v>1</v>
      </c>
      <c r="J1177">
        <v>4</v>
      </c>
      <c r="K1177" t="s">
        <v>51</v>
      </c>
      <c r="L1177">
        <v>1</v>
      </c>
      <c r="M1177">
        <v>996</v>
      </c>
      <c r="N1177">
        <v>4</v>
      </c>
      <c r="O1177" t="s">
        <v>52</v>
      </c>
      <c r="P1177">
        <v>91</v>
      </c>
      <c r="Q1177">
        <v>3</v>
      </c>
      <c r="R1177">
        <v>1</v>
      </c>
      <c r="S1177" t="s">
        <v>44</v>
      </c>
      <c r="T1177">
        <v>4</v>
      </c>
      <c r="U1177" t="s">
        <v>101</v>
      </c>
      <c r="V1177">
        <v>2270</v>
      </c>
      <c r="W1177" t="s">
        <v>46</v>
      </c>
      <c r="X1177">
        <v>11005</v>
      </c>
      <c r="Y1177">
        <v>3</v>
      </c>
      <c r="Z1177" t="s">
        <v>47</v>
      </c>
      <c r="AA1177" t="s">
        <v>48</v>
      </c>
      <c r="AB1177">
        <v>14</v>
      </c>
      <c r="AC1177">
        <v>3</v>
      </c>
      <c r="AD1177">
        <v>4</v>
      </c>
      <c r="AE1177">
        <v>80</v>
      </c>
      <c r="AF1177">
        <v>2</v>
      </c>
      <c r="AG1177">
        <v>8</v>
      </c>
      <c r="AH1177">
        <v>2</v>
      </c>
      <c r="AI1177">
        <v>3</v>
      </c>
      <c r="AJ1177">
        <v>5</v>
      </c>
      <c r="AK1177">
        <v>3</v>
      </c>
      <c r="AL1177">
        <v>0</v>
      </c>
    </row>
    <row r="1178" spans="1:38" x14ac:dyDescent="0.3">
      <c r="A1178" t="s">
        <v>1247</v>
      </c>
      <c r="B1178">
        <v>45</v>
      </c>
      <c r="C1178" t="s">
        <v>800</v>
      </c>
      <c r="D1178" t="s">
        <v>48</v>
      </c>
      <c r="E1178">
        <f t="shared" si="18"/>
        <v>0</v>
      </c>
      <c r="F1178" t="s">
        <v>58</v>
      </c>
      <c r="G1178">
        <v>248</v>
      </c>
      <c r="H1178" t="s">
        <v>41</v>
      </c>
      <c r="I1178">
        <v>23</v>
      </c>
      <c r="J1178">
        <v>2</v>
      </c>
      <c r="K1178" t="s">
        <v>42</v>
      </c>
      <c r="L1178">
        <v>1</v>
      </c>
      <c r="M1178">
        <v>1002</v>
      </c>
      <c r="N1178">
        <v>4</v>
      </c>
      <c r="O1178" t="s">
        <v>43</v>
      </c>
      <c r="P1178">
        <v>42</v>
      </c>
      <c r="Q1178">
        <v>3</v>
      </c>
      <c r="R1178">
        <v>2</v>
      </c>
      <c r="S1178" t="s">
        <v>44</v>
      </c>
      <c r="T1178">
        <v>1</v>
      </c>
      <c r="U1178" t="s">
        <v>104</v>
      </c>
      <c r="V1178">
        <v>3633</v>
      </c>
      <c r="W1178" t="s">
        <v>46</v>
      </c>
      <c r="X1178">
        <v>14039</v>
      </c>
      <c r="Y1178">
        <v>1</v>
      </c>
      <c r="Z1178" t="s">
        <v>47</v>
      </c>
      <c r="AA1178" t="s">
        <v>39</v>
      </c>
      <c r="AB1178">
        <v>15</v>
      </c>
      <c r="AC1178">
        <v>3</v>
      </c>
      <c r="AD1178">
        <v>3</v>
      </c>
      <c r="AE1178">
        <v>80</v>
      </c>
      <c r="AF1178">
        <v>1</v>
      </c>
      <c r="AG1178">
        <v>9</v>
      </c>
      <c r="AH1178">
        <v>2</v>
      </c>
      <c r="AI1178">
        <v>3</v>
      </c>
      <c r="AJ1178">
        <v>9</v>
      </c>
      <c r="AK1178">
        <v>8</v>
      </c>
      <c r="AL1178">
        <v>0</v>
      </c>
    </row>
    <row r="1179" spans="1:38" x14ac:dyDescent="0.3">
      <c r="A1179" t="s">
        <v>1248</v>
      </c>
      <c r="B1179">
        <v>45</v>
      </c>
      <c r="C1179" t="s">
        <v>800</v>
      </c>
      <c r="D1179" t="s">
        <v>48</v>
      </c>
      <c r="E1179">
        <f t="shared" si="18"/>
        <v>0</v>
      </c>
      <c r="F1179" t="s">
        <v>40</v>
      </c>
      <c r="G1179">
        <v>1234</v>
      </c>
      <c r="H1179" t="s">
        <v>50</v>
      </c>
      <c r="I1179">
        <v>11</v>
      </c>
      <c r="J1179">
        <v>2</v>
      </c>
      <c r="K1179" t="s">
        <v>42</v>
      </c>
      <c r="L1179">
        <v>1</v>
      </c>
      <c r="M1179">
        <v>1045</v>
      </c>
      <c r="N1179">
        <v>4</v>
      </c>
      <c r="O1179" t="s">
        <v>52</v>
      </c>
      <c r="P1179">
        <v>90</v>
      </c>
      <c r="Q1179">
        <v>3</v>
      </c>
      <c r="R1179">
        <v>4</v>
      </c>
      <c r="S1179" t="s">
        <v>440</v>
      </c>
      <c r="T1179">
        <v>4</v>
      </c>
      <c r="U1179" t="s">
        <v>104</v>
      </c>
      <c r="V1179">
        <v>17650</v>
      </c>
      <c r="W1179" t="s">
        <v>366</v>
      </c>
      <c r="X1179">
        <v>5404</v>
      </c>
      <c r="Y1179">
        <v>3</v>
      </c>
      <c r="Z1179" t="s">
        <v>47</v>
      </c>
      <c r="AA1179" t="s">
        <v>48</v>
      </c>
      <c r="AB1179">
        <v>13</v>
      </c>
      <c r="AC1179">
        <v>3</v>
      </c>
      <c r="AD1179">
        <v>2</v>
      </c>
      <c r="AE1179">
        <v>80</v>
      </c>
      <c r="AF1179">
        <v>1</v>
      </c>
      <c r="AG1179">
        <v>26</v>
      </c>
      <c r="AH1179">
        <v>4</v>
      </c>
      <c r="AI1179">
        <v>4</v>
      </c>
      <c r="AJ1179">
        <v>9</v>
      </c>
      <c r="AK1179">
        <v>3</v>
      </c>
      <c r="AL1179">
        <v>1</v>
      </c>
    </row>
    <row r="1180" spans="1:38" x14ac:dyDescent="0.3">
      <c r="A1180" t="s">
        <v>1249</v>
      </c>
      <c r="B1180">
        <v>45</v>
      </c>
      <c r="C1180" t="s">
        <v>800</v>
      </c>
      <c r="D1180" t="s">
        <v>48</v>
      </c>
      <c r="E1180">
        <f t="shared" si="18"/>
        <v>0</v>
      </c>
      <c r="F1180" t="s">
        <v>40</v>
      </c>
      <c r="G1180">
        <v>788</v>
      </c>
      <c r="H1180" t="s">
        <v>70</v>
      </c>
      <c r="I1180">
        <v>24</v>
      </c>
      <c r="J1180">
        <v>4</v>
      </c>
      <c r="K1180" t="s">
        <v>51</v>
      </c>
      <c r="L1180">
        <v>1</v>
      </c>
      <c r="M1180">
        <v>1049</v>
      </c>
      <c r="N1180">
        <v>2</v>
      </c>
      <c r="O1180" t="s">
        <v>43</v>
      </c>
      <c r="P1180">
        <v>36</v>
      </c>
      <c r="Q1180">
        <v>3</v>
      </c>
      <c r="R1180">
        <v>1</v>
      </c>
      <c r="S1180" t="s">
        <v>70</v>
      </c>
      <c r="T1180">
        <v>2</v>
      </c>
      <c r="U1180" t="s">
        <v>45</v>
      </c>
      <c r="V1180">
        <v>2177</v>
      </c>
      <c r="W1180" t="s">
        <v>46</v>
      </c>
      <c r="X1180">
        <v>8318</v>
      </c>
      <c r="Y1180">
        <v>1</v>
      </c>
      <c r="Z1180" t="s">
        <v>47</v>
      </c>
      <c r="AA1180" t="s">
        <v>48</v>
      </c>
      <c r="AB1180">
        <v>16</v>
      </c>
      <c r="AC1180">
        <v>3</v>
      </c>
      <c r="AD1180">
        <v>1</v>
      </c>
      <c r="AE1180">
        <v>80</v>
      </c>
      <c r="AF1180">
        <v>0</v>
      </c>
      <c r="AG1180">
        <v>6</v>
      </c>
      <c r="AH1180">
        <v>3</v>
      </c>
      <c r="AI1180">
        <v>3</v>
      </c>
      <c r="AJ1180">
        <v>6</v>
      </c>
      <c r="AK1180">
        <v>3</v>
      </c>
      <c r="AL1180">
        <v>0</v>
      </c>
    </row>
    <row r="1181" spans="1:38" x14ac:dyDescent="0.3">
      <c r="A1181" t="s">
        <v>1250</v>
      </c>
      <c r="B1181">
        <v>45</v>
      </c>
      <c r="C1181" t="s">
        <v>800</v>
      </c>
      <c r="D1181" t="s">
        <v>48</v>
      </c>
      <c r="E1181">
        <f t="shared" si="18"/>
        <v>0</v>
      </c>
      <c r="F1181" t="s">
        <v>58</v>
      </c>
      <c r="G1181">
        <v>1050</v>
      </c>
      <c r="H1181" t="s">
        <v>50</v>
      </c>
      <c r="I1181">
        <v>9</v>
      </c>
      <c r="J1181">
        <v>4</v>
      </c>
      <c r="K1181" t="s">
        <v>42</v>
      </c>
      <c r="L1181">
        <v>1</v>
      </c>
      <c r="M1181">
        <v>1117</v>
      </c>
      <c r="N1181">
        <v>2</v>
      </c>
      <c r="O1181" t="s">
        <v>52</v>
      </c>
      <c r="P1181">
        <v>65</v>
      </c>
      <c r="Q1181">
        <v>2</v>
      </c>
      <c r="R1181">
        <v>2</v>
      </c>
      <c r="S1181" t="s">
        <v>136</v>
      </c>
      <c r="T1181">
        <v>3</v>
      </c>
      <c r="U1181" t="s">
        <v>104</v>
      </c>
      <c r="V1181">
        <v>5593</v>
      </c>
      <c r="W1181" t="s">
        <v>162</v>
      </c>
      <c r="X1181">
        <v>17970</v>
      </c>
      <c r="Y1181">
        <v>1</v>
      </c>
      <c r="Z1181" t="s">
        <v>47</v>
      </c>
      <c r="AA1181" t="s">
        <v>48</v>
      </c>
      <c r="AB1181">
        <v>13</v>
      </c>
      <c r="AC1181">
        <v>3</v>
      </c>
      <c r="AD1181">
        <v>4</v>
      </c>
      <c r="AE1181">
        <v>80</v>
      </c>
      <c r="AF1181">
        <v>1</v>
      </c>
      <c r="AG1181">
        <v>15</v>
      </c>
      <c r="AH1181">
        <v>2</v>
      </c>
      <c r="AI1181">
        <v>3</v>
      </c>
      <c r="AJ1181">
        <v>15</v>
      </c>
      <c r="AK1181">
        <v>10</v>
      </c>
      <c r="AL1181">
        <v>4</v>
      </c>
    </row>
    <row r="1182" spans="1:38" x14ac:dyDescent="0.3">
      <c r="A1182" t="s">
        <v>1251</v>
      </c>
      <c r="B1182">
        <v>45</v>
      </c>
      <c r="C1182" t="s">
        <v>800</v>
      </c>
      <c r="D1182" t="s">
        <v>48</v>
      </c>
      <c r="E1182">
        <f t="shared" si="18"/>
        <v>0</v>
      </c>
      <c r="F1182" t="s">
        <v>40</v>
      </c>
      <c r="G1182">
        <v>1457</v>
      </c>
      <c r="H1182" t="s">
        <v>41</v>
      </c>
      <c r="I1182">
        <v>7</v>
      </c>
      <c r="J1182">
        <v>3</v>
      </c>
      <c r="K1182" t="s">
        <v>51</v>
      </c>
      <c r="L1182">
        <v>1</v>
      </c>
      <c r="M1182">
        <v>1195</v>
      </c>
      <c r="N1182">
        <v>1</v>
      </c>
      <c r="O1182" t="s">
        <v>52</v>
      </c>
      <c r="P1182">
        <v>83</v>
      </c>
      <c r="Q1182">
        <v>3</v>
      </c>
      <c r="R1182">
        <v>1</v>
      </c>
      <c r="S1182" t="s">
        <v>59</v>
      </c>
      <c r="T1182">
        <v>3</v>
      </c>
      <c r="U1182" t="s">
        <v>104</v>
      </c>
      <c r="V1182">
        <v>4477</v>
      </c>
      <c r="W1182" t="s">
        <v>46</v>
      </c>
      <c r="X1182">
        <v>20100</v>
      </c>
      <c r="Y1182">
        <v>4</v>
      </c>
      <c r="Z1182" t="s">
        <v>47</v>
      </c>
      <c r="AA1182" t="s">
        <v>39</v>
      </c>
      <c r="AB1182">
        <v>19</v>
      </c>
      <c r="AC1182">
        <v>3</v>
      </c>
      <c r="AD1182">
        <v>3</v>
      </c>
      <c r="AE1182">
        <v>80</v>
      </c>
      <c r="AF1182">
        <v>1</v>
      </c>
      <c r="AG1182">
        <v>7</v>
      </c>
      <c r="AH1182">
        <v>2</v>
      </c>
      <c r="AI1182">
        <v>2</v>
      </c>
      <c r="AJ1182">
        <v>3</v>
      </c>
      <c r="AK1182">
        <v>2</v>
      </c>
      <c r="AL1182">
        <v>0</v>
      </c>
    </row>
    <row r="1183" spans="1:38" x14ac:dyDescent="0.3">
      <c r="A1183" t="s">
        <v>1252</v>
      </c>
      <c r="B1183">
        <v>45</v>
      </c>
      <c r="C1183" t="s">
        <v>800</v>
      </c>
      <c r="D1183" t="s">
        <v>39</v>
      </c>
      <c r="E1183">
        <f t="shared" si="18"/>
        <v>1</v>
      </c>
      <c r="F1183" t="s">
        <v>40</v>
      </c>
      <c r="G1183">
        <v>1449</v>
      </c>
      <c r="H1183" t="s">
        <v>50</v>
      </c>
      <c r="I1183">
        <v>2</v>
      </c>
      <c r="J1183">
        <v>3</v>
      </c>
      <c r="K1183" t="s">
        <v>56</v>
      </c>
      <c r="L1183">
        <v>1</v>
      </c>
      <c r="M1183">
        <v>1277</v>
      </c>
      <c r="N1183">
        <v>1</v>
      </c>
      <c r="O1183" t="s">
        <v>52</v>
      </c>
      <c r="P1183">
        <v>94</v>
      </c>
      <c r="Q1183">
        <v>1</v>
      </c>
      <c r="R1183">
        <v>5</v>
      </c>
      <c r="S1183" t="s">
        <v>440</v>
      </c>
      <c r="T1183">
        <v>2</v>
      </c>
      <c r="U1183" t="s">
        <v>45</v>
      </c>
      <c r="V1183">
        <v>18824</v>
      </c>
      <c r="W1183" t="s">
        <v>366</v>
      </c>
      <c r="X1183">
        <v>2493</v>
      </c>
      <c r="Y1183">
        <v>2</v>
      </c>
      <c r="Z1183" t="s">
        <v>47</v>
      </c>
      <c r="AA1183" t="s">
        <v>39</v>
      </c>
      <c r="AB1183">
        <v>16</v>
      </c>
      <c r="AC1183">
        <v>3</v>
      </c>
      <c r="AD1183">
        <v>1</v>
      </c>
      <c r="AE1183">
        <v>80</v>
      </c>
      <c r="AF1183">
        <v>0</v>
      </c>
      <c r="AG1183">
        <v>26</v>
      </c>
      <c r="AH1183">
        <v>2</v>
      </c>
      <c r="AI1183">
        <v>3</v>
      </c>
      <c r="AJ1183">
        <v>24</v>
      </c>
      <c r="AK1183">
        <v>10</v>
      </c>
      <c r="AL1183">
        <v>1</v>
      </c>
    </row>
    <row r="1184" spans="1:38" x14ac:dyDescent="0.3">
      <c r="A1184" t="s">
        <v>1253</v>
      </c>
      <c r="B1184">
        <v>45</v>
      </c>
      <c r="C1184" t="s">
        <v>800</v>
      </c>
      <c r="D1184" t="s">
        <v>48</v>
      </c>
      <c r="E1184">
        <f t="shared" si="18"/>
        <v>0</v>
      </c>
      <c r="F1184" t="s">
        <v>55</v>
      </c>
      <c r="G1184">
        <v>364</v>
      </c>
      <c r="H1184" t="s">
        <v>41</v>
      </c>
      <c r="I1184">
        <v>25</v>
      </c>
      <c r="J1184">
        <v>3</v>
      </c>
      <c r="K1184" t="s">
        <v>51</v>
      </c>
      <c r="L1184">
        <v>1</v>
      </c>
      <c r="M1184">
        <v>1306</v>
      </c>
      <c r="N1184">
        <v>2</v>
      </c>
      <c r="O1184" t="s">
        <v>52</v>
      </c>
      <c r="P1184">
        <v>83</v>
      </c>
      <c r="Q1184">
        <v>3</v>
      </c>
      <c r="R1184">
        <v>5</v>
      </c>
      <c r="S1184" t="s">
        <v>440</v>
      </c>
      <c r="T1184">
        <v>2</v>
      </c>
      <c r="U1184" t="s">
        <v>45</v>
      </c>
      <c r="V1184">
        <v>18061</v>
      </c>
      <c r="W1184" t="s">
        <v>366</v>
      </c>
      <c r="X1184">
        <v>13035</v>
      </c>
      <c r="Y1184">
        <v>3</v>
      </c>
      <c r="Z1184" t="s">
        <v>47</v>
      </c>
      <c r="AA1184" t="s">
        <v>48</v>
      </c>
      <c r="AB1184">
        <v>22</v>
      </c>
      <c r="AC1184">
        <v>4</v>
      </c>
      <c r="AD1184">
        <v>3</v>
      </c>
      <c r="AE1184">
        <v>80</v>
      </c>
      <c r="AF1184">
        <v>0</v>
      </c>
      <c r="AG1184">
        <v>22</v>
      </c>
      <c r="AH1184">
        <v>4</v>
      </c>
      <c r="AI1184">
        <v>3</v>
      </c>
      <c r="AJ1184">
        <v>0</v>
      </c>
      <c r="AK1184">
        <v>0</v>
      </c>
      <c r="AL1184">
        <v>0</v>
      </c>
    </row>
    <row r="1185" spans="1:38" x14ac:dyDescent="0.3">
      <c r="A1185" t="s">
        <v>1254</v>
      </c>
      <c r="B1185">
        <v>45</v>
      </c>
      <c r="C1185" t="s">
        <v>800</v>
      </c>
      <c r="D1185" t="s">
        <v>48</v>
      </c>
      <c r="E1185">
        <f t="shared" si="18"/>
        <v>0</v>
      </c>
      <c r="F1185" t="s">
        <v>40</v>
      </c>
      <c r="G1185">
        <v>1038</v>
      </c>
      <c r="H1185" t="s">
        <v>41</v>
      </c>
      <c r="I1185">
        <v>20</v>
      </c>
      <c r="J1185">
        <v>3</v>
      </c>
      <c r="K1185" t="s">
        <v>51</v>
      </c>
      <c r="L1185">
        <v>1</v>
      </c>
      <c r="M1185">
        <v>1460</v>
      </c>
      <c r="N1185">
        <v>2</v>
      </c>
      <c r="O1185" t="s">
        <v>43</v>
      </c>
      <c r="P1185">
        <v>95</v>
      </c>
      <c r="Q1185">
        <v>1</v>
      </c>
      <c r="R1185">
        <v>3</v>
      </c>
      <c r="S1185" t="s">
        <v>160</v>
      </c>
      <c r="T1185">
        <v>1</v>
      </c>
      <c r="U1185" t="s">
        <v>101</v>
      </c>
      <c r="V1185">
        <v>10851</v>
      </c>
      <c r="W1185" t="s">
        <v>252</v>
      </c>
      <c r="X1185">
        <v>19863</v>
      </c>
      <c r="Y1185">
        <v>2</v>
      </c>
      <c r="Z1185" t="s">
        <v>47</v>
      </c>
      <c r="AA1185" t="s">
        <v>39</v>
      </c>
      <c r="AB1185">
        <v>18</v>
      </c>
      <c r="AC1185">
        <v>3</v>
      </c>
      <c r="AD1185">
        <v>2</v>
      </c>
      <c r="AE1185">
        <v>80</v>
      </c>
      <c r="AF1185">
        <v>1</v>
      </c>
      <c r="AG1185">
        <v>24</v>
      </c>
      <c r="AH1185">
        <v>2</v>
      </c>
      <c r="AI1185">
        <v>3</v>
      </c>
      <c r="AJ1185">
        <v>7</v>
      </c>
      <c r="AK1185">
        <v>7</v>
      </c>
      <c r="AL1185">
        <v>0</v>
      </c>
    </row>
    <row r="1186" spans="1:38" x14ac:dyDescent="0.3">
      <c r="A1186" t="s">
        <v>1255</v>
      </c>
      <c r="B1186">
        <v>45</v>
      </c>
      <c r="C1186" t="s">
        <v>800</v>
      </c>
      <c r="D1186" t="s">
        <v>48</v>
      </c>
      <c r="E1186">
        <f t="shared" si="18"/>
        <v>0</v>
      </c>
      <c r="F1186" t="s">
        <v>40</v>
      </c>
      <c r="G1186">
        <v>1448</v>
      </c>
      <c r="H1186" t="s">
        <v>41</v>
      </c>
      <c r="I1186">
        <v>29</v>
      </c>
      <c r="J1186">
        <v>3</v>
      </c>
      <c r="K1186" t="s">
        <v>67</v>
      </c>
      <c r="L1186">
        <v>1</v>
      </c>
      <c r="M1186">
        <v>1465</v>
      </c>
      <c r="N1186">
        <v>2</v>
      </c>
      <c r="O1186" t="s">
        <v>43</v>
      </c>
      <c r="P1186">
        <v>55</v>
      </c>
      <c r="Q1186">
        <v>3</v>
      </c>
      <c r="R1186">
        <v>3</v>
      </c>
      <c r="S1186" t="s">
        <v>111</v>
      </c>
      <c r="T1186">
        <v>4</v>
      </c>
      <c r="U1186" t="s">
        <v>104</v>
      </c>
      <c r="V1186">
        <v>9380</v>
      </c>
      <c r="W1186" t="s">
        <v>162</v>
      </c>
      <c r="X1186">
        <v>14720</v>
      </c>
      <c r="Y1186">
        <v>4</v>
      </c>
      <c r="Z1186" t="s">
        <v>47</v>
      </c>
      <c r="AA1186" t="s">
        <v>39</v>
      </c>
      <c r="AB1186">
        <v>18</v>
      </c>
      <c r="AC1186">
        <v>3</v>
      </c>
      <c r="AD1186">
        <v>4</v>
      </c>
      <c r="AE1186">
        <v>80</v>
      </c>
      <c r="AF1186">
        <v>2</v>
      </c>
      <c r="AG1186">
        <v>10</v>
      </c>
      <c r="AH1186">
        <v>4</v>
      </c>
      <c r="AI1186">
        <v>4</v>
      </c>
      <c r="AJ1186">
        <v>3</v>
      </c>
      <c r="AK1186">
        <v>1</v>
      </c>
      <c r="AL1186">
        <v>1</v>
      </c>
    </row>
    <row r="1187" spans="1:38" x14ac:dyDescent="0.3">
      <c r="A1187" t="s">
        <v>1256</v>
      </c>
      <c r="B1187">
        <v>45</v>
      </c>
      <c r="C1187" t="s">
        <v>800</v>
      </c>
      <c r="D1187" t="s">
        <v>48</v>
      </c>
      <c r="E1187">
        <f t="shared" si="18"/>
        <v>0</v>
      </c>
      <c r="F1187" t="s">
        <v>40</v>
      </c>
      <c r="G1187">
        <v>950</v>
      </c>
      <c r="H1187" t="s">
        <v>41</v>
      </c>
      <c r="I1187">
        <v>28</v>
      </c>
      <c r="J1187">
        <v>3</v>
      </c>
      <c r="K1187" t="s">
        <v>67</v>
      </c>
      <c r="L1187">
        <v>1</v>
      </c>
      <c r="M1187">
        <v>1546</v>
      </c>
      <c r="N1187">
        <v>4</v>
      </c>
      <c r="O1187" t="s">
        <v>43</v>
      </c>
      <c r="P1187">
        <v>97</v>
      </c>
      <c r="Q1187">
        <v>3</v>
      </c>
      <c r="R1187">
        <v>1</v>
      </c>
      <c r="S1187" t="s">
        <v>59</v>
      </c>
      <c r="T1187">
        <v>4</v>
      </c>
      <c r="U1187" t="s">
        <v>104</v>
      </c>
      <c r="V1187">
        <v>2132</v>
      </c>
      <c r="W1187" t="s">
        <v>46</v>
      </c>
      <c r="X1187">
        <v>4585</v>
      </c>
      <c r="Y1187">
        <v>4</v>
      </c>
      <c r="Z1187" t="s">
        <v>47</v>
      </c>
      <c r="AA1187" t="s">
        <v>48</v>
      </c>
      <c r="AB1187">
        <v>20</v>
      </c>
      <c r="AC1187">
        <v>4</v>
      </c>
      <c r="AD1187">
        <v>4</v>
      </c>
      <c r="AE1187">
        <v>80</v>
      </c>
      <c r="AF1187">
        <v>1</v>
      </c>
      <c r="AG1187">
        <v>8</v>
      </c>
      <c r="AH1187">
        <v>3</v>
      </c>
      <c r="AI1187">
        <v>3</v>
      </c>
      <c r="AJ1187">
        <v>5</v>
      </c>
      <c r="AK1187">
        <v>4</v>
      </c>
      <c r="AL1187">
        <v>0</v>
      </c>
    </row>
    <row r="1188" spans="1:38" x14ac:dyDescent="0.3">
      <c r="A1188" t="s">
        <v>1257</v>
      </c>
      <c r="B1188">
        <v>45</v>
      </c>
      <c r="C1188" t="s">
        <v>800</v>
      </c>
      <c r="D1188" t="s">
        <v>48</v>
      </c>
      <c r="E1188">
        <f t="shared" si="18"/>
        <v>0</v>
      </c>
      <c r="F1188" t="s">
        <v>40</v>
      </c>
      <c r="G1188">
        <v>538</v>
      </c>
      <c r="H1188" t="s">
        <v>41</v>
      </c>
      <c r="I1188">
        <v>1</v>
      </c>
      <c r="J1188">
        <v>4</v>
      </c>
      <c r="K1188" t="s">
        <v>67</v>
      </c>
      <c r="L1188">
        <v>1</v>
      </c>
      <c r="M1188">
        <v>1553</v>
      </c>
      <c r="N1188">
        <v>1</v>
      </c>
      <c r="O1188" t="s">
        <v>43</v>
      </c>
      <c r="P1188">
        <v>66</v>
      </c>
      <c r="Q1188">
        <v>3</v>
      </c>
      <c r="R1188">
        <v>3</v>
      </c>
      <c r="S1188" t="s">
        <v>160</v>
      </c>
      <c r="T1188">
        <v>2</v>
      </c>
      <c r="U1188" t="s">
        <v>101</v>
      </c>
      <c r="V1188">
        <v>7441</v>
      </c>
      <c r="W1188" t="s">
        <v>162</v>
      </c>
      <c r="X1188">
        <v>20933</v>
      </c>
      <c r="Y1188">
        <v>1</v>
      </c>
      <c r="Z1188" t="s">
        <v>47</v>
      </c>
      <c r="AA1188" t="s">
        <v>48</v>
      </c>
      <c r="AB1188">
        <v>12</v>
      </c>
      <c r="AC1188">
        <v>3</v>
      </c>
      <c r="AD1188">
        <v>1</v>
      </c>
      <c r="AE1188">
        <v>80</v>
      </c>
      <c r="AF1188">
        <v>3</v>
      </c>
      <c r="AG1188">
        <v>10</v>
      </c>
      <c r="AH1188">
        <v>4</v>
      </c>
      <c r="AI1188">
        <v>3</v>
      </c>
      <c r="AJ1188">
        <v>10</v>
      </c>
      <c r="AK1188">
        <v>8</v>
      </c>
      <c r="AL1188">
        <v>7</v>
      </c>
    </row>
    <row r="1189" spans="1:38" x14ac:dyDescent="0.3">
      <c r="A1189" t="s">
        <v>1258</v>
      </c>
      <c r="B1189">
        <v>45</v>
      </c>
      <c r="C1189" t="s">
        <v>800</v>
      </c>
      <c r="D1189" t="s">
        <v>48</v>
      </c>
      <c r="E1189">
        <f t="shared" si="18"/>
        <v>0</v>
      </c>
      <c r="F1189" t="s">
        <v>40</v>
      </c>
      <c r="G1189">
        <v>1015</v>
      </c>
      <c r="H1189" t="s">
        <v>41</v>
      </c>
      <c r="I1189">
        <v>5</v>
      </c>
      <c r="J1189">
        <v>5</v>
      </c>
      <c r="K1189" t="s">
        <v>51</v>
      </c>
      <c r="L1189">
        <v>1</v>
      </c>
      <c r="M1189">
        <v>1611</v>
      </c>
      <c r="N1189">
        <v>3</v>
      </c>
      <c r="O1189" t="s">
        <v>52</v>
      </c>
      <c r="P1189">
        <v>50</v>
      </c>
      <c r="Q1189">
        <v>1</v>
      </c>
      <c r="R1189">
        <v>2</v>
      </c>
      <c r="S1189" t="s">
        <v>44</v>
      </c>
      <c r="T1189">
        <v>1</v>
      </c>
      <c r="U1189" t="s">
        <v>45</v>
      </c>
      <c r="V1189">
        <v>5769</v>
      </c>
      <c r="W1189" t="s">
        <v>162</v>
      </c>
      <c r="X1189">
        <v>23447</v>
      </c>
      <c r="Y1189">
        <v>1</v>
      </c>
      <c r="Z1189" t="s">
        <v>47</v>
      </c>
      <c r="AA1189" t="s">
        <v>39</v>
      </c>
      <c r="AB1189">
        <v>14</v>
      </c>
      <c r="AC1189">
        <v>3</v>
      </c>
      <c r="AD1189">
        <v>1</v>
      </c>
      <c r="AE1189">
        <v>80</v>
      </c>
      <c r="AF1189">
        <v>0</v>
      </c>
      <c r="AG1189">
        <v>10</v>
      </c>
      <c r="AH1189">
        <v>3</v>
      </c>
      <c r="AI1189">
        <v>3</v>
      </c>
      <c r="AJ1189">
        <v>10</v>
      </c>
      <c r="AK1189">
        <v>7</v>
      </c>
      <c r="AL1189">
        <v>1</v>
      </c>
    </row>
    <row r="1190" spans="1:38" x14ac:dyDescent="0.3">
      <c r="A1190" t="s">
        <v>1259</v>
      </c>
      <c r="B1190">
        <v>45</v>
      </c>
      <c r="C1190" t="s">
        <v>800</v>
      </c>
      <c r="D1190" t="s">
        <v>48</v>
      </c>
      <c r="E1190">
        <f t="shared" si="18"/>
        <v>0</v>
      </c>
      <c r="F1190" t="s">
        <v>58</v>
      </c>
      <c r="G1190">
        <v>336</v>
      </c>
      <c r="H1190" t="s">
        <v>50</v>
      </c>
      <c r="I1190">
        <v>26</v>
      </c>
      <c r="J1190">
        <v>3</v>
      </c>
      <c r="K1190" t="s">
        <v>56</v>
      </c>
      <c r="L1190">
        <v>1</v>
      </c>
      <c r="M1190">
        <v>1612</v>
      </c>
      <c r="N1190">
        <v>1</v>
      </c>
      <c r="O1190" t="s">
        <v>43</v>
      </c>
      <c r="P1190">
        <v>52</v>
      </c>
      <c r="Q1190">
        <v>2</v>
      </c>
      <c r="R1190">
        <v>2</v>
      </c>
      <c r="S1190" t="s">
        <v>136</v>
      </c>
      <c r="T1190">
        <v>1</v>
      </c>
      <c r="U1190" t="s">
        <v>104</v>
      </c>
      <c r="V1190">
        <v>4385</v>
      </c>
      <c r="W1190" t="s">
        <v>46</v>
      </c>
      <c r="X1190">
        <v>24162</v>
      </c>
      <c r="Y1190">
        <v>1</v>
      </c>
      <c r="Z1190" t="s">
        <v>47</v>
      </c>
      <c r="AA1190" t="s">
        <v>48</v>
      </c>
      <c r="AB1190">
        <v>15</v>
      </c>
      <c r="AC1190">
        <v>3</v>
      </c>
      <c r="AD1190">
        <v>1</v>
      </c>
      <c r="AE1190">
        <v>80</v>
      </c>
      <c r="AF1190">
        <v>1</v>
      </c>
      <c r="AG1190">
        <v>10</v>
      </c>
      <c r="AH1190">
        <v>2</v>
      </c>
      <c r="AI1190">
        <v>3</v>
      </c>
      <c r="AJ1190">
        <v>10</v>
      </c>
      <c r="AK1190">
        <v>7</v>
      </c>
      <c r="AL1190">
        <v>4</v>
      </c>
    </row>
    <row r="1191" spans="1:38" x14ac:dyDescent="0.3">
      <c r="A1191" t="s">
        <v>1260</v>
      </c>
      <c r="B1191">
        <v>45</v>
      </c>
      <c r="C1191" t="s">
        <v>800</v>
      </c>
      <c r="D1191" t="s">
        <v>48</v>
      </c>
      <c r="E1191">
        <f t="shared" si="18"/>
        <v>0</v>
      </c>
      <c r="F1191" t="s">
        <v>40</v>
      </c>
      <c r="G1191">
        <v>1329</v>
      </c>
      <c r="H1191" t="s">
        <v>41</v>
      </c>
      <c r="I1191">
        <v>2</v>
      </c>
      <c r="J1191">
        <v>2</v>
      </c>
      <c r="K1191" t="s">
        <v>72</v>
      </c>
      <c r="L1191">
        <v>1</v>
      </c>
      <c r="M1191">
        <v>1635</v>
      </c>
      <c r="N1191">
        <v>4</v>
      </c>
      <c r="O1191" t="s">
        <v>52</v>
      </c>
      <c r="P1191">
        <v>59</v>
      </c>
      <c r="Q1191">
        <v>2</v>
      </c>
      <c r="R1191">
        <v>2</v>
      </c>
      <c r="S1191" t="s">
        <v>111</v>
      </c>
      <c r="T1191">
        <v>4</v>
      </c>
      <c r="U1191" t="s">
        <v>101</v>
      </c>
      <c r="V1191">
        <v>5770</v>
      </c>
      <c r="W1191" t="s">
        <v>162</v>
      </c>
      <c r="X1191">
        <v>5388</v>
      </c>
      <c r="Y1191">
        <v>1</v>
      </c>
      <c r="Z1191" t="s">
        <v>47</v>
      </c>
      <c r="AA1191" t="s">
        <v>48</v>
      </c>
      <c r="AB1191">
        <v>19</v>
      </c>
      <c r="AC1191">
        <v>3</v>
      </c>
      <c r="AD1191">
        <v>1</v>
      </c>
      <c r="AE1191">
        <v>80</v>
      </c>
      <c r="AF1191">
        <v>2</v>
      </c>
      <c r="AG1191">
        <v>10</v>
      </c>
      <c r="AH1191">
        <v>3</v>
      </c>
      <c r="AI1191">
        <v>3</v>
      </c>
      <c r="AJ1191">
        <v>10</v>
      </c>
      <c r="AK1191">
        <v>7</v>
      </c>
      <c r="AL1191">
        <v>3</v>
      </c>
    </row>
    <row r="1192" spans="1:38" x14ac:dyDescent="0.3">
      <c r="A1192" t="s">
        <v>1261</v>
      </c>
      <c r="B1192">
        <v>45</v>
      </c>
      <c r="C1192" t="s">
        <v>800</v>
      </c>
      <c r="D1192" t="s">
        <v>48</v>
      </c>
      <c r="E1192">
        <f t="shared" si="18"/>
        <v>0</v>
      </c>
      <c r="F1192" t="s">
        <v>58</v>
      </c>
      <c r="G1192">
        <v>1238</v>
      </c>
      <c r="H1192" t="s">
        <v>41</v>
      </c>
      <c r="I1192">
        <v>1</v>
      </c>
      <c r="J1192">
        <v>1</v>
      </c>
      <c r="K1192" t="s">
        <v>42</v>
      </c>
      <c r="L1192">
        <v>1</v>
      </c>
      <c r="M1192">
        <v>1712</v>
      </c>
      <c r="N1192">
        <v>3</v>
      </c>
      <c r="O1192" t="s">
        <v>43</v>
      </c>
      <c r="P1192">
        <v>74</v>
      </c>
      <c r="Q1192">
        <v>2</v>
      </c>
      <c r="R1192">
        <v>3</v>
      </c>
      <c r="S1192" t="s">
        <v>160</v>
      </c>
      <c r="T1192">
        <v>3</v>
      </c>
      <c r="U1192" t="s">
        <v>104</v>
      </c>
      <c r="V1192">
        <v>10748</v>
      </c>
      <c r="W1192" t="s">
        <v>252</v>
      </c>
      <c r="X1192">
        <v>3395</v>
      </c>
      <c r="Y1192">
        <v>3</v>
      </c>
      <c r="Z1192" t="s">
        <v>47</v>
      </c>
      <c r="AA1192" t="s">
        <v>48</v>
      </c>
      <c r="AB1192">
        <v>23</v>
      </c>
      <c r="AC1192">
        <v>4</v>
      </c>
      <c r="AD1192">
        <v>4</v>
      </c>
      <c r="AE1192">
        <v>80</v>
      </c>
      <c r="AF1192">
        <v>1</v>
      </c>
      <c r="AG1192">
        <v>25</v>
      </c>
      <c r="AH1192">
        <v>3</v>
      </c>
      <c r="AI1192">
        <v>2</v>
      </c>
      <c r="AJ1192">
        <v>23</v>
      </c>
      <c r="AK1192">
        <v>15</v>
      </c>
      <c r="AL1192">
        <v>14</v>
      </c>
    </row>
    <row r="1193" spans="1:38" x14ac:dyDescent="0.3">
      <c r="A1193" t="s">
        <v>1262</v>
      </c>
      <c r="B1193">
        <v>45</v>
      </c>
      <c r="C1193" t="s">
        <v>800</v>
      </c>
      <c r="D1193" t="s">
        <v>48</v>
      </c>
      <c r="E1193">
        <f t="shared" si="18"/>
        <v>0</v>
      </c>
      <c r="F1193" t="s">
        <v>40</v>
      </c>
      <c r="G1193">
        <v>1005</v>
      </c>
      <c r="H1193" t="s">
        <v>41</v>
      </c>
      <c r="I1193">
        <v>28</v>
      </c>
      <c r="J1193">
        <v>2</v>
      </c>
      <c r="K1193" t="s">
        <v>67</v>
      </c>
      <c r="L1193">
        <v>1</v>
      </c>
      <c r="M1193">
        <v>1719</v>
      </c>
      <c r="N1193">
        <v>4</v>
      </c>
      <c r="O1193" t="s">
        <v>52</v>
      </c>
      <c r="P1193">
        <v>48</v>
      </c>
      <c r="Q1193">
        <v>2</v>
      </c>
      <c r="R1193">
        <v>4</v>
      </c>
      <c r="S1193" t="s">
        <v>251</v>
      </c>
      <c r="T1193">
        <v>2</v>
      </c>
      <c r="U1193" t="s">
        <v>45</v>
      </c>
      <c r="V1193">
        <v>16704</v>
      </c>
      <c r="W1193" t="s">
        <v>366</v>
      </c>
      <c r="X1193">
        <v>17119</v>
      </c>
      <c r="Y1193">
        <v>1</v>
      </c>
      <c r="Z1193" t="s">
        <v>47</v>
      </c>
      <c r="AA1193" t="s">
        <v>48</v>
      </c>
      <c r="AB1193">
        <v>11</v>
      </c>
      <c r="AC1193">
        <v>3</v>
      </c>
      <c r="AD1193">
        <v>3</v>
      </c>
      <c r="AE1193">
        <v>80</v>
      </c>
      <c r="AF1193">
        <v>0</v>
      </c>
      <c r="AG1193">
        <v>21</v>
      </c>
      <c r="AH1193">
        <v>2</v>
      </c>
      <c r="AI1193">
        <v>3</v>
      </c>
      <c r="AJ1193">
        <v>21</v>
      </c>
      <c r="AK1193">
        <v>6</v>
      </c>
      <c r="AL1193">
        <v>8</v>
      </c>
    </row>
    <row r="1194" spans="1:38" x14ac:dyDescent="0.3">
      <c r="A1194" t="s">
        <v>1263</v>
      </c>
      <c r="B1194">
        <v>45</v>
      </c>
      <c r="C1194" t="s">
        <v>800</v>
      </c>
      <c r="D1194" t="s">
        <v>48</v>
      </c>
      <c r="E1194">
        <f t="shared" si="18"/>
        <v>0</v>
      </c>
      <c r="F1194" t="s">
        <v>40</v>
      </c>
      <c r="G1194">
        <v>176</v>
      </c>
      <c r="H1194" t="s">
        <v>70</v>
      </c>
      <c r="I1194">
        <v>4</v>
      </c>
      <c r="J1194">
        <v>3</v>
      </c>
      <c r="K1194" t="s">
        <v>42</v>
      </c>
      <c r="L1194">
        <v>1</v>
      </c>
      <c r="M1194">
        <v>1744</v>
      </c>
      <c r="N1194">
        <v>3</v>
      </c>
      <c r="O1194" t="s">
        <v>52</v>
      </c>
      <c r="P1194">
        <v>56</v>
      </c>
      <c r="Q1194">
        <v>1</v>
      </c>
      <c r="R1194">
        <v>3</v>
      </c>
      <c r="S1194" t="s">
        <v>70</v>
      </c>
      <c r="T1194">
        <v>3</v>
      </c>
      <c r="U1194" t="s">
        <v>104</v>
      </c>
      <c r="V1194">
        <v>9756</v>
      </c>
      <c r="W1194" t="s">
        <v>162</v>
      </c>
      <c r="X1194">
        <v>6595</v>
      </c>
      <c r="Y1194">
        <v>4</v>
      </c>
      <c r="Z1194" t="s">
        <v>47</v>
      </c>
      <c r="AA1194" t="s">
        <v>48</v>
      </c>
      <c r="AB1194">
        <v>21</v>
      </c>
      <c r="AC1194">
        <v>4</v>
      </c>
      <c r="AD1194">
        <v>3</v>
      </c>
      <c r="AE1194">
        <v>80</v>
      </c>
      <c r="AF1194">
        <v>2</v>
      </c>
      <c r="AG1194">
        <v>9</v>
      </c>
      <c r="AH1194">
        <v>2</v>
      </c>
      <c r="AI1194">
        <v>4</v>
      </c>
      <c r="AJ1194">
        <v>5</v>
      </c>
      <c r="AK1194">
        <v>0</v>
      </c>
      <c r="AL1194">
        <v>0</v>
      </c>
    </row>
    <row r="1195" spans="1:38" x14ac:dyDescent="0.3">
      <c r="A1195" t="s">
        <v>1264</v>
      </c>
      <c r="B1195">
        <v>45</v>
      </c>
      <c r="C1195" t="s">
        <v>800</v>
      </c>
      <c r="D1195" t="s">
        <v>48</v>
      </c>
      <c r="E1195">
        <f t="shared" si="18"/>
        <v>0</v>
      </c>
      <c r="F1195" t="s">
        <v>58</v>
      </c>
      <c r="G1195">
        <v>589</v>
      </c>
      <c r="H1195" t="s">
        <v>50</v>
      </c>
      <c r="I1195">
        <v>2</v>
      </c>
      <c r="J1195">
        <v>4</v>
      </c>
      <c r="K1195" t="s">
        <v>42</v>
      </c>
      <c r="L1195">
        <v>1</v>
      </c>
      <c r="M1195">
        <v>1845</v>
      </c>
      <c r="N1195">
        <v>3</v>
      </c>
      <c r="O1195" t="s">
        <v>52</v>
      </c>
      <c r="P1195">
        <v>67</v>
      </c>
      <c r="Q1195">
        <v>3</v>
      </c>
      <c r="R1195">
        <v>2</v>
      </c>
      <c r="S1195" t="s">
        <v>136</v>
      </c>
      <c r="T1195">
        <v>3</v>
      </c>
      <c r="U1195" t="s">
        <v>104</v>
      </c>
      <c r="V1195">
        <v>5154</v>
      </c>
      <c r="W1195" t="s">
        <v>162</v>
      </c>
      <c r="X1195">
        <v>19665</v>
      </c>
      <c r="Y1195">
        <v>4</v>
      </c>
      <c r="Z1195" t="s">
        <v>47</v>
      </c>
      <c r="AA1195" t="s">
        <v>48</v>
      </c>
      <c r="AB1195">
        <v>22</v>
      </c>
      <c r="AC1195">
        <v>4</v>
      </c>
      <c r="AD1195">
        <v>2</v>
      </c>
      <c r="AE1195">
        <v>80</v>
      </c>
      <c r="AF1195">
        <v>2</v>
      </c>
      <c r="AG1195">
        <v>10</v>
      </c>
      <c r="AH1195">
        <v>3</v>
      </c>
      <c r="AI1195">
        <v>4</v>
      </c>
      <c r="AJ1195">
        <v>8</v>
      </c>
      <c r="AK1195">
        <v>7</v>
      </c>
      <c r="AL1195">
        <v>5</v>
      </c>
    </row>
    <row r="1196" spans="1:38" x14ac:dyDescent="0.3">
      <c r="A1196" t="s">
        <v>1265</v>
      </c>
      <c r="B1196">
        <v>45</v>
      </c>
      <c r="C1196" t="s">
        <v>800</v>
      </c>
      <c r="D1196" t="s">
        <v>48</v>
      </c>
      <c r="E1196">
        <f t="shared" si="18"/>
        <v>0</v>
      </c>
      <c r="F1196" t="s">
        <v>40</v>
      </c>
      <c r="G1196">
        <v>556</v>
      </c>
      <c r="H1196" t="s">
        <v>41</v>
      </c>
      <c r="I1196">
        <v>25</v>
      </c>
      <c r="J1196">
        <v>2</v>
      </c>
      <c r="K1196" t="s">
        <v>42</v>
      </c>
      <c r="L1196">
        <v>1</v>
      </c>
      <c r="M1196">
        <v>1888</v>
      </c>
      <c r="N1196">
        <v>2</v>
      </c>
      <c r="O1196" t="s">
        <v>52</v>
      </c>
      <c r="P1196">
        <v>93</v>
      </c>
      <c r="Q1196">
        <v>2</v>
      </c>
      <c r="R1196">
        <v>2</v>
      </c>
      <c r="S1196" t="s">
        <v>111</v>
      </c>
      <c r="T1196">
        <v>4</v>
      </c>
      <c r="U1196" t="s">
        <v>104</v>
      </c>
      <c r="V1196">
        <v>5906</v>
      </c>
      <c r="W1196" t="s">
        <v>162</v>
      </c>
      <c r="X1196">
        <v>23888</v>
      </c>
      <c r="Y1196">
        <v>0</v>
      </c>
      <c r="Z1196" t="s">
        <v>47</v>
      </c>
      <c r="AA1196" t="s">
        <v>48</v>
      </c>
      <c r="AB1196">
        <v>13</v>
      </c>
      <c r="AC1196">
        <v>3</v>
      </c>
      <c r="AD1196">
        <v>4</v>
      </c>
      <c r="AE1196">
        <v>80</v>
      </c>
      <c r="AF1196">
        <v>2</v>
      </c>
      <c r="AG1196">
        <v>10</v>
      </c>
      <c r="AH1196">
        <v>2</v>
      </c>
      <c r="AI1196">
        <v>2</v>
      </c>
      <c r="AJ1196">
        <v>9</v>
      </c>
      <c r="AK1196">
        <v>8</v>
      </c>
      <c r="AL1196">
        <v>3</v>
      </c>
    </row>
    <row r="1197" spans="1:38" x14ac:dyDescent="0.3">
      <c r="A1197" t="s">
        <v>1266</v>
      </c>
      <c r="B1197">
        <v>45</v>
      </c>
      <c r="C1197" t="s">
        <v>800</v>
      </c>
      <c r="D1197" t="s">
        <v>48</v>
      </c>
      <c r="E1197">
        <f t="shared" si="18"/>
        <v>0</v>
      </c>
      <c r="F1197" t="s">
        <v>55</v>
      </c>
      <c r="G1197">
        <v>1297</v>
      </c>
      <c r="H1197" t="s">
        <v>41</v>
      </c>
      <c r="I1197">
        <v>1</v>
      </c>
      <c r="J1197">
        <v>4</v>
      </c>
      <c r="K1197" t="s">
        <v>51</v>
      </c>
      <c r="L1197">
        <v>1</v>
      </c>
      <c r="M1197">
        <v>1922</v>
      </c>
      <c r="N1197">
        <v>2</v>
      </c>
      <c r="O1197" t="s">
        <v>43</v>
      </c>
      <c r="P1197">
        <v>44</v>
      </c>
      <c r="Q1197">
        <v>3</v>
      </c>
      <c r="R1197">
        <v>2</v>
      </c>
      <c r="S1197" t="s">
        <v>160</v>
      </c>
      <c r="T1197">
        <v>3</v>
      </c>
      <c r="U1197" t="s">
        <v>45</v>
      </c>
      <c r="V1197">
        <v>5399</v>
      </c>
      <c r="W1197" t="s">
        <v>162</v>
      </c>
      <c r="X1197">
        <v>14511</v>
      </c>
      <c r="Y1197">
        <v>4</v>
      </c>
      <c r="Z1197" t="s">
        <v>47</v>
      </c>
      <c r="AA1197" t="s">
        <v>48</v>
      </c>
      <c r="AB1197">
        <v>12</v>
      </c>
      <c r="AC1197">
        <v>3</v>
      </c>
      <c r="AD1197">
        <v>3</v>
      </c>
      <c r="AE1197">
        <v>80</v>
      </c>
      <c r="AF1197">
        <v>0</v>
      </c>
      <c r="AG1197">
        <v>12</v>
      </c>
      <c r="AH1197">
        <v>3</v>
      </c>
      <c r="AI1197">
        <v>3</v>
      </c>
      <c r="AJ1197">
        <v>4</v>
      </c>
      <c r="AK1197">
        <v>2</v>
      </c>
      <c r="AL1197">
        <v>0</v>
      </c>
    </row>
    <row r="1198" spans="1:38" x14ac:dyDescent="0.3">
      <c r="A1198" t="s">
        <v>1267</v>
      </c>
      <c r="B1198">
        <v>45</v>
      </c>
      <c r="C1198" t="s">
        <v>800</v>
      </c>
      <c r="D1198" t="s">
        <v>48</v>
      </c>
      <c r="E1198">
        <f t="shared" si="18"/>
        <v>0</v>
      </c>
      <c r="F1198" t="s">
        <v>40</v>
      </c>
      <c r="G1198">
        <v>374</v>
      </c>
      <c r="H1198" t="s">
        <v>50</v>
      </c>
      <c r="I1198">
        <v>20</v>
      </c>
      <c r="J1198">
        <v>3</v>
      </c>
      <c r="K1198" t="s">
        <v>42</v>
      </c>
      <c r="L1198">
        <v>1</v>
      </c>
      <c r="M1198">
        <v>2046</v>
      </c>
      <c r="N1198">
        <v>4</v>
      </c>
      <c r="O1198" t="s">
        <v>52</v>
      </c>
      <c r="P1198">
        <v>50</v>
      </c>
      <c r="Q1198">
        <v>3</v>
      </c>
      <c r="R1198">
        <v>2</v>
      </c>
      <c r="S1198" t="s">
        <v>136</v>
      </c>
      <c r="T1198">
        <v>3</v>
      </c>
      <c r="U1198" t="s">
        <v>45</v>
      </c>
      <c r="V1198">
        <v>4850</v>
      </c>
      <c r="W1198" t="s">
        <v>46</v>
      </c>
      <c r="X1198">
        <v>23333</v>
      </c>
      <c r="Y1198">
        <v>8</v>
      </c>
      <c r="Z1198" t="s">
        <v>47</v>
      </c>
      <c r="AA1198" t="s">
        <v>48</v>
      </c>
      <c r="AB1198">
        <v>15</v>
      </c>
      <c r="AC1198">
        <v>3</v>
      </c>
      <c r="AD1198">
        <v>3</v>
      </c>
      <c r="AE1198">
        <v>80</v>
      </c>
      <c r="AF1198">
        <v>0</v>
      </c>
      <c r="AG1198">
        <v>8</v>
      </c>
      <c r="AH1198">
        <v>3</v>
      </c>
      <c r="AI1198">
        <v>3</v>
      </c>
      <c r="AJ1198">
        <v>5</v>
      </c>
      <c r="AK1198">
        <v>3</v>
      </c>
      <c r="AL1198">
        <v>0</v>
      </c>
    </row>
    <row r="1199" spans="1:38" x14ac:dyDescent="0.3">
      <c r="A1199" t="s">
        <v>1268</v>
      </c>
      <c r="B1199">
        <v>46</v>
      </c>
      <c r="C1199" t="s">
        <v>1269</v>
      </c>
      <c r="D1199" t="s">
        <v>48</v>
      </c>
      <c r="E1199">
        <f t="shared" si="18"/>
        <v>0</v>
      </c>
      <c r="F1199" t="s">
        <v>40</v>
      </c>
      <c r="G1199">
        <v>705</v>
      </c>
      <c r="H1199" t="s">
        <v>50</v>
      </c>
      <c r="I1199">
        <v>2</v>
      </c>
      <c r="J1199">
        <v>4</v>
      </c>
      <c r="K1199" t="s">
        <v>56</v>
      </c>
      <c r="L1199">
        <v>1</v>
      </c>
      <c r="M1199">
        <v>38</v>
      </c>
      <c r="N1199">
        <v>2</v>
      </c>
      <c r="O1199" t="s">
        <v>52</v>
      </c>
      <c r="P1199">
        <v>83</v>
      </c>
      <c r="Q1199">
        <v>3</v>
      </c>
      <c r="R1199">
        <v>5</v>
      </c>
      <c r="S1199" t="s">
        <v>440</v>
      </c>
      <c r="T1199">
        <v>1</v>
      </c>
      <c r="U1199" t="s">
        <v>45</v>
      </c>
      <c r="V1199">
        <v>18947</v>
      </c>
      <c r="W1199" t="s">
        <v>366</v>
      </c>
      <c r="X1199">
        <v>22822</v>
      </c>
      <c r="Y1199">
        <v>3</v>
      </c>
      <c r="Z1199" t="s">
        <v>47</v>
      </c>
      <c r="AA1199" t="s">
        <v>48</v>
      </c>
      <c r="AB1199">
        <v>12</v>
      </c>
      <c r="AC1199">
        <v>3</v>
      </c>
      <c r="AD1199">
        <v>4</v>
      </c>
      <c r="AE1199">
        <v>80</v>
      </c>
      <c r="AF1199">
        <v>0</v>
      </c>
      <c r="AG1199">
        <v>22</v>
      </c>
      <c r="AH1199">
        <v>2</v>
      </c>
      <c r="AI1199">
        <v>2</v>
      </c>
      <c r="AJ1199">
        <v>2</v>
      </c>
      <c r="AK1199">
        <v>2</v>
      </c>
      <c r="AL1199">
        <v>2</v>
      </c>
    </row>
    <row r="1200" spans="1:38" x14ac:dyDescent="0.3">
      <c r="A1200" t="s">
        <v>1270</v>
      </c>
      <c r="B1200">
        <v>46</v>
      </c>
      <c r="C1200" t="s">
        <v>1269</v>
      </c>
      <c r="D1200" t="s">
        <v>48</v>
      </c>
      <c r="E1200">
        <f t="shared" si="18"/>
        <v>0</v>
      </c>
      <c r="F1200" t="s">
        <v>55</v>
      </c>
      <c r="G1200">
        <v>1211</v>
      </c>
      <c r="H1200" t="s">
        <v>50</v>
      </c>
      <c r="I1200">
        <v>5</v>
      </c>
      <c r="J1200">
        <v>4</v>
      </c>
      <c r="K1200" t="s">
        <v>56</v>
      </c>
      <c r="L1200">
        <v>1</v>
      </c>
      <c r="M1200">
        <v>62</v>
      </c>
      <c r="N1200">
        <v>1</v>
      </c>
      <c r="O1200" t="s">
        <v>43</v>
      </c>
      <c r="P1200">
        <v>98</v>
      </c>
      <c r="Q1200">
        <v>3</v>
      </c>
      <c r="R1200">
        <v>2</v>
      </c>
      <c r="S1200" t="s">
        <v>136</v>
      </c>
      <c r="T1200">
        <v>4</v>
      </c>
      <c r="U1200" t="s">
        <v>45</v>
      </c>
      <c r="V1200">
        <v>5772</v>
      </c>
      <c r="W1200" t="s">
        <v>162</v>
      </c>
      <c r="X1200">
        <v>20445</v>
      </c>
      <c r="Y1200">
        <v>4</v>
      </c>
      <c r="Z1200" t="s">
        <v>47</v>
      </c>
      <c r="AA1200" t="s">
        <v>39</v>
      </c>
      <c r="AB1200">
        <v>21</v>
      </c>
      <c r="AC1200">
        <v>4</v>
      </c>
      <c r="AD1200">
        <v>3</v>
      </c>
      <c r="AE1200">
        <v>80</v>
      </c>
      <c r="AF1200">
        <v>0</v>
      </c>
      <c r="AG1200">
        <v>14</v>
      </c>
      <c r="AH1200">
        <v>4</v>
      </c>
      <c r="AI1200">
        <v>3</v>
      </c>
      <c r="AJ1200">
        <v>9</v>
      </c>
      <c r="AK1200">
        <v>6</v>
      </c>
      <c r="AL1200">
        <v>0</v>
      </c>
    </row>
    <row r="1201" spans="1:38" x14ac:dyDescent="0.3">
      <c r="A1201" t="s">
        <v>1271</v>
      </c>
      <c r="B1201">
        <v>46</v>
      </c>
      <c r="C1201" t="s">
        <v>1269</v>
      </c>
      <c r="D1201" t="s">
        <v>48</v>
      </c>
      <c r="E1201">
        <f t="shared" si="18"/>
        <v>0</v>
      </c>
      <c r="F1201" t="s">
        <v>40</v>
      </c>
      <c r="G1201">
        <v>945</v>
      </c>
      <c r="H1201" t="s">
        <v>70</v>
      </c>
      <c r="I1201">
        <v>5</v>
      </c>
      <c r="J1201">
        <v>2</v>
      </c>
      <c r="K1201" t="s">
        <v>51</v>
      </c>
      <c r="L1201">
        <v>1</v>
      </c>
      <c r="M1201">
        <v>103</v>
      </c>
      <c r="N1201">
        <v>2</v>
      </c>
      <c r="O1201" t="s">
        <v>43</v>
      </c>
      <c r="P1201">
        <v>80</v>
      </c>
      <c r="Q1201">
        <v>3</v>
      </c>
      <c r="R1201">
        <v>2</v>
      </c>
      <c r="S1201" t="s">
        <v>70</v>
      </c>
      <c r="T1201">
        <v>2</v>
      </c>
      <c r="U1201" t="s">
        <v>101</v>
      </c>
      <c r="V1201">
        <v>5021</v>
      </c>
      <c r="W1201" t="s">
        <v>162</v>
      </c>
      <c r="X1201">
        <v>10425</v>
      </c>
      <c r="Y1201">
        <v>8</v>
      </c>
      <c r="Z1201" t="s">
        <v>47</v>
      </c>
      <c r="AA1201" t="s">
        <v>39</v>
      </c>
      <c r="AB1201">
        <v>22</v>
      </c>
      <c r="AC1201">
        <v>4</v>
      </c>
      <c r="AD1201">
        <v>4</v>
      </c>
      <c r="AE1201">
        <v>80</v>
      </c>
      <c r="AF1201">
        <v>1</v>
      </c>
      <c r="AG1201">
        <v>16</v>
      </c>
      <c r="AH1201">
        <v>2</v>
      </c>
      <c r="AI1201">
        <v>3</v>
      </c>
      <c r="AJ1201">
        <v>4</v>
      </c>
      <c r="AK1201">
        <v>2</v>
      </c>
      <c r="AL1201">
        <v>0</v>
      </c>
    </row>
    <row r="1202" spans="1:38" x14ac:dyDescent="0.3">
      <c r="A1202" t="s">
        <v>1272</v>
      </c>
      <c r="B1202">
        <v>46</v>
      </c>
      <c r="C1202" t="s">
        <v>1269</v>
      </c>
      <c r="D1202" t="s">
        <v>39</v>
      </c>
      <c r="E1202">
        <f t="shared" si="18"/>
        <v>1</v>
      </c>
      <c r="F1202" t="s">
        <v>40</v>
      </c>
      <c r="G1202">
        <v>669</v>
      </c>
      <c r="H1202" t="s">
        <v>50</v>
      </c>
      <c r="I1202">
        <v>9</v>
      </c>
      <c r="J1202">
        <v>2</v>
      </c>
      <c r="K1202" t="s">
        <v>51</v>
      </c>
      <c r="L1202">
        <v>1</v>
      </c>
      <c r="M1202">
        <v>118</v>
      </c>
      <c r="N1202">
        <v>3</v>
      </c>
      <c r="O1202" t="s">
        <v>43</v>
      </c>
      <c r="P1202">
        <v>64</v>
      </c>
      <c r="Q1202">
        <v>2</v>
      </c>
      <c r="R1202">
        <v>3</v>
      </c>
      <c r="S1202" t="s">
        <v>136</v>
      </c>
      <c r="T1202">
        <v>4</v>
      </c>
      <c r="U1202" t="s">
        <v>45</v>
      </c>
      <c r="V1202">
        <v>9619</v>
      </c>
      <c r="W1202" t="s">
        <v>162</v>
      </c>
      <c r="X1202">
        <v>13596</v>
      </c>
      <c r="Y1202">
        <v>1</v>
      </c>
      <c r="Z1202" t="s">
        <v>47</v>
      </c>
      <c r="AA1202" t="s">
        <v>48</v>
      </c>
      <c r="AB1202">
        <v>16</v>
      </c>
      <c r="AC1202">
        <v>3</v>
      </c>
      <c r="AD1202">
        <v>4</v>
      </c>
      <c r="AE1202">
        <v>80</v>
      </c>
      <c r="AF1202">
        <v>0</v>
      </c>
      <c r="AG1202">
        <v>9</v>
      </c>
      <c r="AH1202">
        <v>3</v>
      </c>
      <c r="AI1202">
        <v>3</v>
      </c>
      <c r="AJ1202">
        <v>9</v>
      </c>
      <c r="AK1202">
        <v>8</v>
      </c>
      <c r="AL1202">
        <v>4</v>
      </c>
    </row>
    <row r="1203" spans="1:38" x14ac:dyDescent="0.3">
      <c r="A1203" t="s">
        <v>1273</v>
      </c>
      <c r="B1203">
        <v>46</v>
      </c>
      <c r="C1203" t="s">
        <v>1269</v>
      </c>
      <c r="D1203" t="s">
        <v>48</v>
      </c>
      <c r="E1203">
        <f t="shared" si="18"/>
        <v>0</v>
      </c>
      <c r="F1203" t="s">
        <v>55</v>
      </c>
      <c r="G1203">
        <v>638</v>
      </c>
      <c r="H1203" t="s">
        <v>41</v>
      </c>
      <c r="I1203">
        <v>1</v>
      </c>
      <c r="J1203">
        <v>3</v>
      </c>
      <c r="K1203" t="s">
        <v>51</v>
      </c>
      <c r="L1203">
        <v>1</v>
      </c>
      <c r="M1203">
        <v>124</v>
      </c>
      <c r="N1203">
        <v>3</v>
      </c>
      <c r="O1203" t="s">
        <v>43</v>
      </c>
      <c r="P1203">
        <v>40</v>
      </c>
      <c r="Q1203">
        <v>2</v>
      </c>
      <c r="R1203">
        <v>3</v>
      </c>
      <c r="S1203" t="s">
        <v>160</v>
      </c>
      <c r="T1203">
        <v>1</v>
      </c>
      <c r="U1203" t="s">
        <v>104</v>
      </c>
      <c r="V1203">
        <v>10673</v>
      </c>
      <c r="W1203" t="s">
        <v>252</v>
      </c>
      <c r="X1203">
        <v>3142</v>
      </c>
      <c r="Y1203">
        <v>2</v>
      </c>
      <c r="Z1203" t="s">
        <v>47</v>
      </c>
      <c r="AA1203" t="s">
        <v>39</v>
      </c>
      <c r="AB1203">
        <v>13</v>
      </c>
      <c r="AC1203">
        <v>3</v>
      </c>
      <c r="AD1203">
        <v>3</v>
      </c>
      <c r="AE1203">
        <v>80</v>
      </c>
      <c r="AF1203">
        <v>1</v>
      </c>
      <c r="AG1203">
        <v>21</v>
      </c>
      <c r="AH1203">
        <v>5</v>
      </c>
      <c r="AI1203">
        <v>2</v>
      </c>
      <c r="AJ1203">
        <v>10</v>
      </c>
      <c r="AK1203">
        <v>9</v>
      </c>
      <c r="AL1203">
        <v>9</v>
      </c>
    </row>
    <row r="1204" spans="1:38" x14ac:dyDescent="0.3">
      <c r="A1204" t="s">
        <v>1274</v>
      </c>
      <c r="B1204">
        <v>46</v>
      </c>
      <c r="C1204" t="s">
        <v>1269</v>
      </c>
      <c r="D1204" t="s">
        <v>48</v>
      </c>
      <c r="E1204">
        <f t="shared" si="18"/>
        <v>0</v>
      </c>
      <c r="F1204" t="s">
        <v>40</v>
      </c>
      <c r="G1204">
        <v>526</v>
      </c>
      <c r="H1204" t="s">
        <v>50</v>
      </c>
      <c r="I1204">
        <v>1</v>
      </c>
      <c r="J1204">
        <v>2</v>
      </c>
      <c r="K1204" t="s">
        <v>56</v>
      </c>
      <c r="L1204">
        <v>1</v>
      </c>
      <c r="M1204">
        <v>244</v>
      </c>
      <c r="N1204">
        <v>2</v>
      </c>
      <c r="O1204" t="s">
        <v>52</v>
      </c>
      <c r="P1204">
        <v>92</v>
      </c>
      <c r="Q1204">
        <v>3</v>
      </c>
      <c r="R1204">
        <v>3</v>
      </c>
      <c r="S1204" t="s">
        <v>136</v>
      </c>
      <c r="T1204">
        <v>1</v>
      </c>
      <c r="U1204" t="s">
        <v>101</v>
      </c>
      <c r="V1204">
        <v>10453</v>
      </c>
      <c r="W1204" t="s">
        <v>252</v>
      </c>
      <c r="X1204">
        <v>2137</v>
      </c>
      <c r="Y1204">
        <v>1</v>
      </c>
      <c r="Z1204" t="s">
        <v>47</v>
      </c>
      <c r="AA1204" t="s">
        <v>48</v>
      </c>
      <c r="AB1204">
        <v>25</v>
      </c>
      <c r="AC1204">
        <v>4</v>
      </c>
      <c r="AD1204">
        <v>3</v>
      </c>
      <c r="AE1204">
        <v>80</v>
      </c>
      <c r="AF1204">
        <v>3</v>
      </c>
      <c r="AG1204">
        <v>24</v>
      </c>
      <c r="AH1204">
        <v>2</v>
      </c>
      <c r="AI1204">
        <v>3</v>
      </c>
      <c r="AJ1204">
        <v>24</v>
      </c>
      <c r="AK1204">
        <v>13</v>
      </c>
      <c r="AL1204">
        <v>15</v>
      </c>
    </row>
    <row r="1205" spans="1:38" x14ac:dyDescent="0.3">
      <c r="A1205" t="s">
        <v>1275</v>
      </c>
      <c r="B1205">
        <v>46</v>
      </c>
      <c r="C1205" t="s">
        <v>1269</v>
      </c>
      <c r="D1205" t="s">
        <v>48</v>
      </c>
      <c r="E1205">
        <f t="shared" si="18"/>
        <v>0</v>
      </c>
      <c r="F1205" t="s">
        <v>40</v>
      </c>
      <c r="G1205">
        <v>644</v>
      </c>
      <c r="H1205" t="s">
        <v>41</v>
      </c>
      <c r="I1205">
        <v>1</v>
      </c>
      <c r="J1205">
        <v>4</v>
      </c>
      <c r="K1205" t="s">
        <v>51</v>
      </c>
      <c r="L1205">
        <v>1</v>
      </c>
      <c r="M1205">
        <v>288</v>
      </c>
      <c r="N1205">
        <v>4</v>
      </c>
      <c r="O1205" t="s">
        <v>43</v>
      </c>
      <c r="P1205">
        <v>97</v>
      </c>
      <c r="Q1205">
        <v>3</v>
      </c>
      <c r="R1205">
        <v>3</v>
      </c>
      <c r="S1205" t="s">
        <v>160</v>
      </c>
      <c r="T1205">
        <v>1</v>
      </c>
      <c r="U1205" t="s">
        <v>101</v>
      </c>
      <c r="V1205">
        <v>9396</v>
      </c>
      <c r="W1205" t="s">
        <v>162</v>
      </c>
      <c r="X1205">
        <v>12368</v>
      </c>
      <c r="Y1205">
        <v>7</v>
      </c>
      <c r="Z1205" t="s">
        <v>47</v>
      </c>
      <c r="AA1205" t="s">
        <v>48</v>
      </c>
      <c r="AB1205">
        <v>16</v>
      </c>
      <c r="AC1205">
        <v>3</v>
      </c>
      <c r="AD1205">
        <v>3</v>
      </c>
      <c r="AE1205">
        <v>80</v>
      </c>
      <c r="AF1205">
        <v>1</v>
      </c>
      <c r="AG1205">
        <v>17</v>
      </c>
      <c r="AH1205">
        <v>3</v>
      </c>
      <c r="AI1205">
        <v>3</v>
      </c>
      <c r="AJ1205">
        <v>4</v>
      </c>
      <c r="AK1205">
        <v>2</v>
      </c>
      <c r="AL1205">
        <v>0</v>
      </c>
    </row>
    <row r="1206" spans="1:38" x14ac:dyDescent="0.3">
      <c r="A1206" t="s">
        <v>1276</v>
      </c>
      <c r="B1206">
        <v>46</v>
      </c>
      <c r="C1206" t="s">
        <v>1269</v>
      </c>
      <c r="D1206" t="s">
        <v>48</v>
      </c>
      <c r="E1206">
        <f t="shared" si="18"/>
        <v>0</v>
      </c>
      <c r="F1206" t="s">
        <v>40</v>
      </c>
      <c r="G1206">
        <v>488</v>
      </c>
      <c r="H1206" t="s">
        <v>50</v>
      </c>
      <c r="I1206">
        <v>2</v>
      </c>
      <c r="J1206">
        <v>3</v>
      </c>
      <c r="K1206" t="s">
        <v>67</v>
      </c>
      <c r="L1206">
        <v>1</v>
      </c>
      <c r="M1206">
        <v>363</v>
      </c>
      <c r="N1206">
        <v>3</v>
      </c>
      <c r="O1206" t="s">
        <v>52</v>
      </c>
      <c r="P1206">
        <v>75</v>
      </c>
      <c r="Q1206">
        <v>1</v>
      </c>
      <c r="R1206">
        <v>4</v>
      </c>
      <c r="S1206" t="s">
        <v>440</v>
      </c>
      <c r="T1206">
        <v>2</v>
      </c>
      <c r="U1206" t="s">
        <v>104</v>
      </c>
      <c r="V1206">
        <v>16872</v>
      </c>
      <c r="W1206" t="s">
        <v>366</v>
      </c>
      <c r="X1206">
        <v>14977</v>
      </c>
      <c r="Y1206">
        <v>3</v>
      </c>
      <c r="Z1206" t="s">
        <v>47</v>
      </c>
      <c r="AA1206" t="s">
        <v>39</v>
      </c>
      <c r="AB1206">
        <v>12</v>
      </c>
      <c r="AC1206">
        <v>3</v>
      </c>
      <c r="AD1206">
        <v>2</v>
      </c>
      <c r="AE1206">
        <v>80</v>
      </c>
      <c r="AF1206">
        <v>1</v>
      </c>
      <c r="AG1206">
        <v>28</v>
      </c>
      <c r="AH1206">
        <v>2</v>
      </c>
      <c r="AI1206">
        <v>2</v>
      </c>
      <c r="AJ1206">
        <v>7</v>
      </c>
      <c r="AK1206">
        <v>7</v>
      </c>
      <c r="AL1206">
        <v>7</v>
      </c>
    </row>
    <row r="1207" spans="1:38" x14ac:dyDescent="0.3">
      <c r="A1207" t="s">
        <v>1277</v>
      </c>
      <c r="B1207">
        <v>46</v>
      </c>
      <c r="C1207" t="s">
        <v>1269</v>
      </c>
      <c r="D1207" t="s">
        <v>48</v>
      </c>
      <c r="E1207">
        <f t="shared" si="18"/>
        <v>0</v>
      </c>
      <c r="F1207" t="s">
        <v>58</v>
      </c>
      <c r="G1207">
        <v>1144</v>
      </c>
      <c r="H1207" t="s">
        <v>41</v>
      </c>
      <c r="I1207">
        <v>7</v>
      </c>
      <c r="J1207">
        <v>4</v>
      </c>
      <c r="K1207" t="s">
        <v>51</v>
      </c>
      <c r="L1207">
        <v>1</v>
      </c>
      <c r="M1207">
        <v>487</v>
      </c>
      <c r="N1207">
        <v>3</v>
      </c>
      <c r="O1207" t="s">
        <v>52</v>
      </c>
      <c r="P1207">
        <v>30</v>
      </c>
      <c r="Q1207">
        <v>3</v>
      </c>
      <c r="R1207">
        <v>2</v>
      </c>
      <c r="S1207" t="s">
        <v>111</v>
      </c>
      <c r="T1207">
        <v>3</v>
      </c>
      <c r="U1207" t="s">
        <v>104</v>
      </c>
      <c r="V1207">
        <v>5258</v>
      </c>
      <c r="W1207" t="s">
        <v>162</v>
      </c>
      <c r="X1207">
        <v>16044</v>
      </c>
      <c r="Y1207">
        <v>2</v>
      </c>
      <c r="Z1207" t="s">
        <v>47</v>
      </c>
      <c r="AA1207" t="s">
        <v>48</v>
      </c>
      <c r="AB1207">
        <v>14</v>
      </c>
      <c r="AC1207">
        <v>3</v>
      </c>
      <c r="AD1207">
        <v>3</v>
      </c>
      <c r="AE1207">
        <v>80</v>
      </c>
      <c r="AF1207">
        <v>0</v>
      </c>
      <c r="AG1207">
        <v>7</v>
      </c>
      <c r="AH1207">
        <v>2</v>
      </c>
      <c r="AI1207">
        <v>4</v>
      </c>
      <c r="AJ1207">
        <v>1</v>
      </c>
      <c r="AK1207">
        <v>0</v>
      </c>
      <c r="AL1207">
        <v>0</v>
      </c>
    </row>
    <row r="1208" spans="1:38" x14ac:dyDescent="0.3">
      <c r="A1208" t="s">
        <v>1278</v>
      </c>
      <c r="B1208">
        <v>46</v>
      </c>
      <c r="C1208" t="s">
        <v>1269</v>
      </c>
      <c r="D1208" t="s">
        <v>48</v>
      </c>
      <c r="E1208">
        <f t="shared" si="18"/>
        <v>0</v>
      </c>
      <c r="F1208" t="s">
        <v>40</v>
      </c>
      <c r="G1208">
        <v>1485</v>
      </c>
      <c r="H1208" t="s">
        <v>41</v>
      </c>
      <c r="I1208">
        <v>18</v>
      </c>
      <c r="J1208">
        <v>3</v>
      </c>
      <c r="K1208" t="s">
        <v>51</v>
      </c>
      <c r="L1208">
        <v>1</v>
      </c>
      <c r="M1208">
        <v>550</v>
      </c>
      <c r="N1208">
        <v>3</v>
      </c>
      <c r="O1208" t="s">
        <v>52</v>
      </c>
      <c r="P1208">
        <v>87</v>
      </c>
      <c r="Q1208">
        <v>3</v>
      </c>
      <c r="R1208">
        <v>2</v>
      </c>
      <c r="S1208" t="s">
        <v>111</v>
      </c>
      <c r="T1208">
        <v>3</v>
      </c>
      <c r="U1208" t="s">
        <v>101</v>
      </c>
      <c r="V1208">
        <v>4810</v>
      </c>
      <c r="W1208" t="s">
        <v>46</v>
      </c>
      <c r="X1208">
        <v>26314</v>
      </c>
      <c r="Y1208">
        <v>2</v>
      </c>
      <c r="Z1208" t="s">
        <v>47</v>
      </c>
      <c r="AA1208" t="s">
        <v>48</v>
      </c>
      <c r="AB1208">
        <v>14</v>
      </c>
      <c r="AC1208">
        <v>3</v>
      </c>
      <c r="AD1208">
        <v>3</v>
      </c>
      <c r="AE1208">
        <v>80</v>
      </c>
      <c r="AF1208">
        <v>1</v>
      </c>
      <c r="AG1208">
        <v>19</v>
      </c>
      <c r="AH1208">
        <v>5</v>
      </c>
      <c r="AI1208">
        <v>2</v>
      </c>
      <c r="AJ1208">
        <v>10</v>
      </c>
      <c r="AK1208">
        <v>7</v>
      </c>
      <c r="AL1208">
        <v>0</v>
      </c>
    </row>
    <row r="1209" spans="1:38" x14ac:dyDescent="0.3">
      <c r="A1209" t="s">
        <v>1279</v>
      </c>
      <c r="B1209">
        <v>46</v>
      </c>
      <c r="C1209" t="s">
        <v>1269</v>
      </c>
      <c r="D1209" t="s">
        <v>48</v>
      </c>
      <c r="E1209">
        <f t="shared" si="18"/>
        <v>0</v>
      </c>
      <c r="F1209" t="s">
        <v>40</v>
      </c>
      <c r="G1209">
        <v>1009</v>
      </c>
      <c r="H1209" t="s">
        <v>41</v>
      </c>
      <c r="I1209">
        <v>2</v>
      </c>
      <c r="J1209">
        <v>3</v>
      </c>
      <c r="K1209" t="s">
        <v>42</v>
      </c>
      <c r="L1209">
        <v>1</v>
      </c>
      <c r="M1209">
        <v>575</v>
      </c>
      <c r="N1209">
        <v>1</v>
      </c>
      <c r="O1209" t="s">
        <v>43</v>
      </c>
      <c r="P1209">
        <v>51</v>
      </c>
      <c r="Q1209">
        <v>3</v>
      </c>
      <c r="R1209">
        <v>4</v>
      </c>
      <c r="S1209" t="s">
        <v>251</v>
      </c>
      <c r="T1209">
        <v>3</v>
      </c>
      <c r="U1209" t="s">
        <v>104</v>
      </c>
      <c r="V1209">
        <v>17861</v>
      </c>
      <c r="W1209" t="s">
        <v>366</v>
      </c>
      <c r="X1209">
        <v>2288</v>
      </c>
      <c r="Y1209">
        <v>6</v>
      </c>
      <c r="Z1209" t="s">
        <v>47</v>
      </c>
      <c r="AA1209" t="s">
        <v>48</v>
      </c>
      <c r="AB1209">
        <v>13</v>
      </c>
      <c r="AC1209">
        <v>3</v>
      </c>
      <c r="AD1209">
        <v>3</v>
      </c>
      <c r="AE1209">
        <v>80</v>
      </c>
      <c r="AF1209">
        <v>0</v>
      </c>
      <c r="AG1209">
        <v>26</v>
      </c>
      <c r="AH1209">
        <v>2</v>
      </c>
      <c r="AI1209">
        <v>1</v>
      </c>
      <c r="AJ1209">
        <v>3</v>
      </c>
      <c r="AK1209">
        <v>2</v>
      </c>
      <c r="AL1209">
        <v>0</v>
      </c>
    </row>
    <row r="1210" spans="1:38" x14ac:dyDescent="0.3">
      <c r="A1210" t="s">
        <v>1280</v>
      </c>
      <c r="B1210">
        <v>46</v>
      </c>
      <c r="C1210" t="s">
        <v>1269</v>
      </c>
      <c r="D1210" t="s">
        <v>48</v>
      </c>
      <c r="E1210">
        <f t="shared" si="18"/>
        <v>0</v>
      </c>
      <c r="F1210" t="s">
        <v>40</v>
      </c>
      <c r="G1210">
        <v>1125</v>
      </c>
      <c r="H1210" t="s">
        <v>50</v>
      </c>
      <c r="I1210">
        <v>10</v>
      </c>
      <c r="J1210">
        <v>3</v>
      </c>
      <c r="K1210" t="s">
        <v>56</v>
      </c>
      <c r="L1210">
        <v>1</v>
      </c>
      <c r="M1210">
        <v>580</v>
      </c>
      <c r="N1210">
        <v>3</v>
      </c>
      <c r="O1210" t="s">
        <v>52</v>
      </c>
      <c r="P1210">
        <v>94</v>
      </c>
      <c r="Q1210">
        <v>2</v>
      </c>
      <c r="R1210">
        <v>3</v>
      </c>
      <c r="S1210" t="s">
        <v>136</v>
      </c>
      <c r="T1210">
        <v>4</v>
      </c>
      <c r="U1210" t="s">
        <v>104</v>
      </c>
      <c r="V1210">
        <v>9071</v>
      </c>
      <c r="W1210" t="s">
        <v>162</v>
      </c>
      <c r="X1210">
        <v>11563</v>
      </c>
      <c r="Y1210">
        <v>2</v>
      </c>
      <c r="Z1210" t="s">
        <v>47</v>
      </c>
      <c r="AA1210" t="s">
        <v>39</v>
      </c>
      <c r="AB1210">
        <v>19</v>
      </c>
      <c r="AC1210">
        <v>3</v>
      </c>
      <c r="AD1210">
        <v>3</v>
      </c>
      <c r="AE1210">
        <v>80</v>
      </c>
      <c r="AF1210">
        <v>1</v>
      </c>
      <c r="AG1210">
        <v>15</v>
      </c>
      <c r="AH1210">
        <v>3</v>
      </c>
      <c r="AI1210">
        <v>3</v>
      </c>
      <c r="AJ1210">
        <v>3</v>
      </c>
      <c r="AK1210">
        <v>2</v>
      </c>
      <c r="AL1210">
        <v>1</v>
      </c>
    </row>
    <row r="1211" spans="1:38" x14ac:dyDescent="0.3">
      <c r="A1211" t="s">
        <v>1281</v>
      </c>
      <c r="B1211">
        <v>46</v>
      </c>
      <c r="C1211" t="s">
        <v>1269</v>
      </c>
      <c r="D1211" t="s">
        <v>48</v>
      </c>
      <c r="E1211">
        <f t="shared" si="18"/>
        <v>0</v>
      </c>
      <c r="F1211" t="s">
        <v>55</v>
      </c>
      <c r="G1211">
        <v>1034</v>
      </c>
      <c r="H1211" t="s">
        <v>41</v>
      </c>
      <c r="I1211">
        <v>18</v>
      </c>
      <c r="J1211">
        <v>1</v>
      </c>
      <c r="K1211" t="s">
        <v>51</v>
      </c>
      <c r="L1211">
        <v>1</v>
      </c>
      <c r="M1211">
        <v>624</v>
      </c>
      <c r="N1211">
        <v>1</v>
      </c>
      <c r="O1211" t="s">
        <v>52</v>
      </c>
      <c r="P1211">
        <v>86</v>
      </c>
      <c r="Q1211">
        <v>3</v>
      </c>
      <c r="R1211">
        <v>3</v>
      </c>
      <c r="S1211" t="s">
        <v>160</v>
      </c>
      <c r="T1211">
        <v>3</v>
      </c>
      <c r="U1211" t="s">
        <v>104</v>
      </c>
      <c r="V1211">
        <v>10527</v>
      </c>
      <c r="W1211" t="s">
        <v>252</v>
      </c>
      <c r="X1211">
        <v>8984</v>
      </c>
      <c r="Y1211">
        <v>5</v>
      </c>
      <c r="Z1211" t="s">
        <v>47</v>
      </c>
      <c r="AA1211" t="s">
        <v>48</v>
      </c>
      <c r="AB1211">
        <v>11</v>
      </c>
      <c r="AC1211">
        <v>3</v>
      </c>
      <c r="AD1211">
        <v>4</v>
      </c>
      <c r="AE1211">
        <v>80</v>
      </c>
      <c r="AF1211">
        <v>0</v>
      </c>
      <c r="AG1211">
        <v>28</v>
      </c>
      <c r="AH1211">
        <v>3</v>
      </c>
      <c r="AI1211">
        <v>2</v>
      </c>
      <c r="AJ1211">
        <v>2</v>
      </c>
      <c r="AK1211">
        <v>2</v>
      </c>
      <c r="AL1211">
        <v>1</v>
      </c>
    </row>
    <row r="1212" spans="1:38" x14ac:dyDescent="0.3">
      <c r="A1212" t="s">
        <v>1282</v>
      </c>
      <c r="B1212">
        <v>46</v>
      </c>
      <c r="C1212" t="s">
        <v>1269</v>
      </c>
      <c r="D1212" t="s">
        <v>48</v>
      </c>
      <c r="E1212">
        <f t="shared" si="18"/>
        <v>0</v>
      </c>
      <c r="F1212" t="s">
        <v>40</v>
      </c>
      <c r="G1212">
        <v>566</v>
      </c>
      <c r="H1212" t="s">
        <v>41</v>
      </c>
      <c r="I1212">
        <v>7</v>
      </c>
      <c r="J1212">
        <v>2</v>
      </c>
      <c r="K1212" t="s">
        <v>51</v>
      </c>
      <c r="L1212">
        <v>1</v>
      </c>
      <c r="M1212">
        <v>1007</v>
      </c>
      <c r="N1212">
        <v>4</v>
      </c>
      <c r="O1212" t="s">
        <v>43</v>
      </c>
      <c r="P1212">
        <v>75</v>
      </c>
      <c r="Q1212">
        <v>3</v>
      </c>
      <c r="R1212">
        <v>3</v>
      </c>
      <c r="S1212" t="s">
        <v>111</v>
      </c>
      <c r="T1212">
        <v>3</v>
      </c>
      <c r="U1212" t="s">
        <v>101</v>
      </c>
      <c r="V1212">
        <v>10845</v>
      </c>
      <c r="W1212" t="s">
        <v>252</v>
      </c>
      <c r="X1212">
        <v>24208</v>
      </c>
      <c r="Y1212">
        <v>6</v>
      </c>
      <c r="Z1212" t="s">
        <v>47</v>
      </c>
      <c r="AA1212" t="s">
        <v>48</v>
      </c>
      <c r="AB1212">
        <v>13</v>
      </c>
      <c r="AC1212">
        <v>3</v>
      </c>
      <c r="AD1212">
        <v>2</v>
      </c>
      <c r="AE1212">
        <v>80</v>
      </c>
      <c r="AF1212">
        <v>1</v>
      </c>
      <c r="AG1212">
        <v>13</v>
      </c>
      <c r="AH1212">
        <v>3</v>
      </c>
      <c r="AI1212">
        <v>3</v>
      </c>
      <c r="AJ1212">
        <v>8</v>
      </c>
      <c r="AK1212">
        <v>7</v>
      </c>
      <c r="AL1212">
        <v>0</v>
      </c>
    </row>
    <row r="1213" spans="1:38" x14ac:dyDescent="0.3">
      <c r="A1213" t="s">
        <v>1283</v>
      </c>
      <c r="B1213">
        <v>46</v>
      </c>
      <c r="C1213" t="s">
        <v>1269</v>
      </c>
      <c r="D1213" t="s">
        <v>48</v>
      </c>
      <c r="E1213">
        <f t="shared" si="18"/>
        <v>0</v>
      </c>
      <c r="F1213" t="s">
        <v>40</v>
      </c>
      <c r="G1213">
        <v>430</v>
      </c>
      <c r="H1213" t="s">
        <v>41</v>
      </c>
      <c r="I1213">
        <v>1</v>
      </c>
      <c r="J1213">
        <v>4</v>
      </c>
      <c r="K1213" t="s">
        <v>51</v>
      </c>
      <c r="L1213">
        <v>1</v>
      </c>
      <c r="M1213">
        <v>1069</v>
      </c>
      <c r="N1213">
        <v>4</v>
      </c>
      <c r="O1213" t="s">
        <v>43</v>
      </c>
      <c r="P1213">
        <v>40</v>
      </c>
      <c r="Q1213">
        <v>3</v>
      </c>
      <c r="R1213">
        <v>5</v>
      </c>
      <c r="S1213" t="s">
        <v>251</v>
      </c>
      <c r="T1213">
        <v>4</v>
      </c>
      <c r="U1213" t="s">
        <v>101</v>
      </c>
      <c r="V1213">
        <v>19627</v>
      </c>
      <c r="W1213" t="s">
        <v>366</v>
      </c>
      <c r="X1213">
        <v>21445</v>
      </c>
      <c r="Y1213">
        <v>9</v>
      </c>
      <c r="Z1213" t="s">
        <v>47</v>
      </c>
      <c r="AA1213" t="s">
        <v>48</v>
      </c>
      <c r="AB1213">
        <v>17</v>
      </c>
      <c r="AC1213">
        <v>3</v>
      </c>
      <c r="AD1213">
        <v>4</v>
      </c>
      <c r="AE1213">
        <v>80</v>
      </c>
      <c r="AF1213">
        <v>2</v>
      </c>
      <c r="AG1213">
        <v>23</v>
      </c>
      <c r="AH1213">
        <v>0</v>
      </c>
      <c r="AI1213">
        <v>3</v>
      </c>
      <c r="AJ1213">
        <v>2</v>
      </c>
      <c r="AK1213">
        <v>2</v>
      </c>
      <c r="AL1213">
        <v>2</v>
      </c>
    </row>
    <row r="1214" spans="1:38" x14ac:dyDescent="0.3">
      <c r="A1214" t="s">
        <v>1284</v>
      </c>
      <c r="B1214">
        <v>46</v>
      </c>
      <c r="C1214" t="s">
        <v>1269</v>
      </c>
      <c r="D1214" t="s">
        <v>48</v>
      </c>
      <c r="E1214">
        <f t="shared" si="18"/>
        <v>0</v>
      </c>
      <c r="F1214" t="s">
        <v>40</v>
      </c>
      <c r="G1214">
        <v>1003</v>
      </c>
      <c r="H1214" t="s">
        <v>41</v>
      </c>
      <c r="I1214">
        <v>8</v>
      </c>
      <c r="J1214">
        <v>4</v>
      </c>
      <c r="K1214" t="s">
        <v>42</v>
      </c>
      <c r="L1214">
        <v>1</v>
      </c>
      <c r="M1214">
        <v>1080</v>
      </c>
      <c r="N1214">
        <v>4</v>
      </c>
      <c r="O1214" t="s">
        <v>52</v>
      </c>
      <c r="P1214">
        <v>74</v>
      </c>
      <c r="Q1214">
        <v>2</v>
      </c>
      <c r="R1214">
        <v>2</v>
      </c>
      <c r="S1214" t="s">
        <v>59</v>
      </c>
      <c r="T1214">
        <v>1</v>
      </c>
      <c r="U1214" t="s">
        <v>101</v>
      </c>
      <c r="V1214">
        <v>4615</v>
      </c>
      <c r="W1214" t="s">
        <v>46</v>
      </c>
      <c r="X1214">
        <v>21029</v>
      </c>
      <c r="Y1214">
        <v>8</v>
      </c>
      <c r="Z1214" t="s">
        <v>47</v>
      </c>
      <c r="AA1214" t="s">
        <v>39</v>
      </c>
      <c r="AB1214">
        <v>23</v>
      </c>
      <c r="AC1214">
        <v>4</v>
      </c>
      <c r="AD1214">
        <v>1</v>
      </c>
      <c r="AE1214">
        <v>80</v>
      </c>
      <c r="AF1214">
        <v>3</v>
      </c>
      <c r="AG1214">
        <v>19</v>
      </c>
      <c r="AH1214">
        <v>2</v>
      </c>
      <c r="AI1214">
        <v>3</v>
      </c>
      <c r="AJ1214">
        <v>16</v>
      </c>
      <c r="AK1214">
        <v>13</v>
      </c>
      <c r="AL1214">
        <v>1</v>
      </c>
    </row>
    <row r="1215" spans="1:38" x14ac:dyDescent="0.3">
      <c r="A1215" t="s">
        <v>1285</v>
      </c>
      <c r="B1215">
        <v>46</v>
      </c>
      <c r="C1215" t="s">
        <v>1269</v>
      </c>
      <c r="D1215" t="s">
        <v>48</v>
      </c>
      <c r="E1215">
        <f t="shared" si="18"/>
        <v>0</v>
      </c>
      <c r="F1215" t="s">
        <v>40</v>
      </c>
      <c r="G1215">
        <v>406</v>
      </c>
      <c r="H1215" t="s">
        <v>50</v>
      </c>
      <c r="I1215">
        <v>3</v>
      </c>
      <c r="J1215">
        <v>1</v>
      </c>
      <c r="K1215" t="s">
        <v>56</v>
      </c>
      <c r="L1215">
        <v>1</v>
      </c>
      <c r="M1215">
        <v>1124</v>
      </c>
      <c r="N1215">
        <v>1</v>
      </c>
      <c r="O1215" t="s">
        <v>43</v>
      </c>
      <c r="P1215">
        <v>52</v>
      </c>
      <c r="Q1215">
        <v>3</v>
      </c>
      <c r="R1215">
        <v>4</v>
      </c>
      <c r="S1215" t="s">
        <v>440</v>
      </c>
      <c r="T1215">
        <v>3</v>
      </c>
      <c r="U1215" t="s">
        <v>104</v>
      </c>
      <c r="V1215">
        <v>17465</v>
      </c>
      <c r="W1215" t="s">
        <v>366</v>
      </c>
      <c r="X1215">
        <v>15596</v>
      </c>
      <c r="Y1215">
        <v>3</v>
      </c>
      <c r="Z1215" t="s">
        <v>47</v>
      </c>
      <c r="AA1215" t="s">
        <v>48</v>
      </c>
      <c r="AB1215">
        <v>12</v>
      </c>
      <c r="AC1215">
        <v>3</v>
      </c>
      <c r="AD1215">
        <v>4</v>
      </c>
      <c r="AE1215">
        <v>80</v>
      </c>
      <c r="AF1215">
        <v>1</v>
      </c>
      <c r="AG1215">
        <v>23</v>
      </c>
      <c r="AH1215">
        <v>3</v>
      </c>
      <c r="AI1215">
        <v>3</v>
      </c>
      <c r="AJ1215">
        <v>12</v>
      </c>
      <c r="AK1215">
        <v>9</v>
      </c>
      <c r="AL1215">
        <v>4</v>
      </c>
    </row>
    <row r="1216" spans="1:38" x14ac:dyDescent="0.3">
      <c r="A1216" t="s">
        <v>1286</v>
      </c>
      <c r="B1216">
        <v>46</v>
      </c>
      <c r="C1216" t="s">
        <v>1269</v>
      </c>
      <c r="D1216" t="s">
        <v>48</v>
      </c>
      <c r="E1216">
        <f t="shared" si="18"/>
        <v>0</v>
      </c>
      <c r="F1216" t="s">
        <v>40</v>
      </c>
      <c r="G1216">
        <v>1402</v>
      </c>
      <c r="H1216" t="s">
        <v>50</v>
      </c>
      <c r="I1216">
        <v>2</v>
      </c>
      <c r="J1216">
        <v>3</v>
      </c>
      <c r="K1216" t="s">
        <v>56</v>
      </c>
      <c r="L1216">
        <v>1</v>
      </c>
      <c r="M1216">
        <v>1204</v>
      </c>
      <c r="N1216">
        <v>3</v>
      </c>
      <c r="O1216" t="s">
        <v>52</v>
      </c>
      <c r="P1216">
        <v>69</v>
      </c>
      <c r="Q1216">
        <v>3</v>
      </c>
      <c r="R1216">
        <v>4</v>
      </c>
      <c r="S1216" t="s">
        <v>440</v>
      </c>
      <c r="T1216">
        <v>1</v>
      </c>
      <c r="U1216" t="s">
        <v>104</v>
      </c>
      <c r="V1216">
        <v>17048</v>
      </c>
      <c r="W1216" t="s">
        <v>366</v>
      </c>
      <c r="X1216">
        <v>24097</v>
      </c>
      <c r="Y1216">
        <v>8</v>
      </c>
      <c r="Z1216" t="s">
        <v>47</v>
      </c>
      <c r="AA1216" t="s">
        <v>48</v>
      </c>
      <c r="AB1216">
        <v>23</v>
      </c>
      <c r="AC1216">
        <v>4</v>
      </c>
      <c r="AD1216">
        <v>1</v>
      </c>
      <c r="AE1216">
        <v>80</v>
      </c>
      <c r="AF1216">
        <v>0</v>
      </c>
      <c r="AG1216">
        <v>28</v>
      </c>
      <c r="AH1216">
        <v>2</v>
      </c>
      <c r="AI1216">
        <v>3</v>
      </c>
      <c r="AJ1216">
        <v>26</v>
      </c>
      <c r="AK1216">
        <v>15</v>
      </c>
      <c r="AL1216">
        <v>15</v>
      </c>
    </row>
    <row r="1217" spans="1:38" x14ac:dyDescent="0.3">
      <c r="A1217" t="s">
        <v>1287</v>
      </c>
      <c r="B1217">
        <v>46</v>
      </c>
      <c r="C1217" t="s">
        <v>1269</v>
      </c>
      <c r="D1217" t="s">
        <v>48</v>
      </c>
      <c r="E1217">
        <f t="shared" si="18"/>
        <v>0</v>
      </c>
      <c r="F1217" t="s">
        <v>40</v>
      </c>
      <c r="G1217">
        <v>1450</v>
      </c>
      <c r="H1217" t="s">
        <v>41</v>
      </c>
      <c r="I1217">
        <v>15</v>
      </c>
      <c r="J1217">
        <v>2</v>
      </c>
      <c r="K1217" t="s">
        <v>42</v>
      </c>
      <c r="L1217">
        <v>1</v>
      </c>
      <c r="M1217">
        <v>1217</v>
      </c>
      <c r="N1217">
        <v>4</v>
      </c>
      <c r="O1217" t="s">
        <v>43</v>
      </c>
      <c r="P1217">
        <v>52</v>
      </c>
      <c r="Q1217">
        <v>3</v>
      </c>
      <c r="R1217">
        <v>5</v>
      </c>
      <c r="S1217" t="s">
        <v>251</v>
      </c>
      <c r="T1217">
        <v>2</v>
      </c>
      <c r="U1217" t="s">
        <v>104</v>
      </c>
      <c r="V1217">
        <v>19081</v>
      </c>
      <c r="W1217" t="s">
        <v>366</v>
      </c>
      <c r="X1217">
        <v>10849</v>
      </c>
      <c r="Y1217">
        <v>5</v>
      </c>
      <c r="Z1217" t="s">
        <v>47</v>
      </c>
      <c r="AA1217" t="s">
        <v>48</v>
      </c>
      <c r="AB1217">
        <v>11</v>
      </c>
      <c r="AC1217">
        <v>3</v>
      </c>
      <c r="AD1217">
        <v>1</v>
      </c>
      <c r="AE1217">
        <v>80</v>
      </c>
      <c r="AF1217">
        <v>1</v>
      </c>
      <c r="AG1217">
        <v>25</v>
      </c>
      <c r="AH1217">
        <v>2</v>
      </c>
      <c r="AI1217">
        <v>3</v>
      </c>
      <c r="AJ1217">
        <v>4</v>
      </c>
      <c r="AK1217">
        <v>2</v>
      </c>
      <c r="AL1217">
        <v>0</v>
      </c>
    </row>
    <row r="1218" spans="1:38" x14ac:dyDescent="0.3">
      <c r="A1218" t="s">
        <v>1288</v>
      </c>
      <c r="B1218">
        <v>46</v>
      </c>
      <c r="C1218" t="s">
        <v>1269</v>
      </c>
      <c r="D1218" t="s">
        <v>48</v>
      </c>
      <c r="E1218">
        <f t="shared" si="18"/>
        <v>0</v>
      </c>
      <c r="F1218" t="s">
        <v>40</v>
      </c>
      <c r="G1218">
        <v>150</v>
      </c>
      <c r="H1218" t="s">
        <v>41</v>
      </c>
      <c r="I1218">
        <v>2</v>
      </c>
      <c r="J1218">
        <v>4</v>
      </c>
      <c r="K1218" t="s">
        <v>67</v>
      </c>
      <c r="L1218">
        <v>1</v>
      </c>
      <c r="M1218">
        <v>1228</v>
      </c>
      <c r="N1218">
        <v>4</v>
      </c>
      <c r="O1218" t="s">
        <v>43</v>
      </c>
      <c r="P1218">
        <v>60</v>
      </c>
      <c r="Q1218">
        <v>3</v>
      </c>
      <c r="R1218">
        <v>2</v>
      </c>
      <c r="S1218" t="s">
        <v>111</v>
      </c>
      <c r="T1218">
        <v>4</v>
      </c>
      <c r="U1218" t="s">
        <v>101</v>
      </c>
      <c r="V1218">
        <v>7379</v>
      </c>
      <c r="W1218" t="s">
        <v>162</v>
      </c>
      <c r="X1218">
        <v>17433</v>
      </c>
      <c r="Y1218">
        <v>2</v>
      </c>
      <c r="Z1218" t="s">
        <v>47</v>
      </c>
      <c r="AA1218" t="s">
        <v>48</v>
      </c>
      <c r="AB1218">
        <v>11</v>
      </c>
      <c r="AC1218">
        <v>3</v>
      </c>
      <c r="AD1218">
        <v>3</v>
      </c>
      <c r="AE1218">
        <v>80</v>
      </c>
      <c r="AF1218">
        <v>1</v>
      </c>
      <c r="AG1218">
        <v>12</v>
      </c>
      <c r="AH1218">
        <v>3</v>
      </c>
      <c r="AI1218">
        <v>2</v>
      </c>
      <c r="AJ1218">
        <v>6</v>
      </c>
      <c r="AK1218">
        <v>3</v>
      </c>
      <c r="AL1218">
        <v>1</v>
      </c>
    </row>
    <row r="1219" spans="1:38" x14ac:dyDescent="0.3">
      <c r="A1219" t="s">
        <v>1289</v>
      </c>
      <c r="B1219">
        <v>46</v>
      </c>
      <c r="C1219" t="s">
        <v>1269</v>
      </c>
      <c r="D1219" t="s">
        <v>48</v>
      </c>
      <c r="E1219">
        <f t="shared" ref="E1219:E1282" si="19">IF(D1219="Yes",1,0)</f>
        <v>0</v>
      </c>
      <c r="F1219" t="s">
        <v>40</v>
      </c>
      <c r="G1219">
        <v>168</v>
      </c>
      <c r="H1219" t="s">
        <v>50</v>
      </c>
      <c r="I1219">
        <v>4</v>
      </c>
      <c r="J1219">
        <v>2</v>
      </c>
      <c r="K1219" t="s">
        <v>56</v>
      </c>
      <c r="L1219">
        <v>1</v>
      </c>
      <c r="M1219">
        <v>1280</v>
      </c>
      <c r="N1219">
        <v>4</v>
      </c>
      <c r="O1219" t="s">
        <v>52</v>
      </c>
      <c r="P1219">
        <v>33</v>
      </c>
      <c r="Q1219">
        <v>2</v>
      </c>
      <c r="R1219">
        <v>5</v>
      </c>
      <c r="S1219" t="s">
        <v>440</v>
      </c>
      <c r="T1219">
        <v>2</v>
      </c>
      <c r="U1219" t="s">
        <v>104</v>
      </c>
      <c r="V1219">
        <v>18789</v>
      </c>
      <c r="W1219" t="s">
        <v>366</v>
      </c>
      <c r="X1219">
        <v>9946</v>
      </c>
      <c r="Y1219">
        <v>2</v>
      </c>
      <c r="Z1219" t="s">
        <v>47</v>
      </c>
      <c r="AA1219" t="s">
        <v>48</v>
      </c>
      <c r="AB1219">
        <v>14</v>
      </c>
      <c r="AC1219">
        <v>3</v>
      </c>
      <c r="AD1219">
        <v>3</v>
      </c>
      <c r="AE1219">
        <v>80</v>
      </c>
      <c r="AF1219">
        <v>1</v>
      </c>
      <c r="AG1219">
        <v>26</v>
      </c>
      <c r="AH1219">
        <v>2</v>
      </c>
      <c r="AI1219">
        <v>3</v>
      </c>
      <c r="AJ1219">
        <v>11</v>
      </c>
      <c r="AK1219">
        <v>4</v>
      </c>
      <c r="AL1219">
        <v>0</v>
      </c>
    </row>
    <row r="1220" spans="1:38" x14ac:dyDescent="0.3">
      <c r="A1220" t="s">
        <v>1290</v>
      </c>
      <c r="B1220">
        <v>46</v>
      </c>
      <c r="C1220" t="s">
        <v>1269</v>
      </c>
      <c r="D1220" t="s">
        <v>48</v>
      </c>
      <c r="E1220">
        <f t="shared" si="19"/>
        <v>0</v>
      </c>
      <c r="F1220" t="s">
        <v>40</v>
      </c>
      <c r="G1220">
        <v>991</v>
      </c>
      <c r="H1220" t="s">
        <v>70</v>
      </c>
      <c r="I1220">
        <v>1</v>
      </c>
      <c r="J1220">
        <v>2</v>
      </c>
      <c r="K1220" t="s">
        <v>42</v>
      </c>
      <c r="L1220">
        <v>1</v>
      </c>
      <c r="M1220">
        <v>1314</v>
      </c>
      <c r="N1220">
        <v>4</v>
      </c>
      <c r="O1220" t="s">
        <v>52</v>
      </c>
      <c r="P1220">
        <v>44</v>
      </c>
      <c r="Q1220">
        <v>3</v>
      </c>
      <c r="R1220">
        <v>1</v>
      </c>
      <c r="S1220" t="s">
        <v>70</v>
      </c>
      <c r="T1220">
        <v>1</v>
      </c>
      <c r="U1220" t="s">
        <v>45</v>
      </c>
      <c r="V1220">
        <v>3423</v>
      </c>
      <c r="W1220" t="s">
        <v>46</v>
      </c>
      <c r="X1220">
        <v>22957</v>
      </c>
      <c r="Y1220">
        <v>6</v>
      </c>
      <c r="Z1220" t="s">
        <v>47</v>
      </c>
      <c r="AA1220" t="s">
        <v>48</v>
      </c>
      <c r="AB1220">
        <v>12</v>
      </c>
      <c r="AC1220">
        <v>3</v>
      </c>
      <c r="AD1220">
        <v>3</v>
      </c>
      <c r="AE1220">
        <v>80</v>
      </c>
      <c r="AF1220">
        <v>0</v>
      </c>
      <c r="AG1220">
        <v>10</v>
      </c>
      <c r="AH1220">
        <v>3</v>
      </c>
      <c r="AI1220">
        <v>4</v>
      </c>
      <c r="AJ1220">
        <v>7</v>
      </c>
      <c r="AK1220">
        <v>6</v>
      </c>
      <c r="AL1220">
        <v>5</v>
      </c>
    </row>
    <row r="1221" spans="1:38" x14ac:dyDescent="0.3">
      <c r="A1221" t="s">
        <v>1291</v>
      </c>
      <c r="B1221">
        <v>46</v>
      </c>
      <c r="C1221" t="s">
        <v>1269</v>
      </c>
      <c r="D1221" t="s">
        <v>39</v>
      </c>
      <c r="E1221">
        <f t="shared" si="19"/>
        <v>1</v>
      </c>
      <c r="F1221" t="s">
        <v>40</v>
      </c>
      <c r="G1221">
        <v>377</v>
      </c>
      <c r="H1221" t="s">
        <v>50</v>
      </c>
      <c r="I1221">
        <v>9</v>
      </c>
      <c r="J1221">
        <v>3</v>
      </c>
      <c r="K1221" t="s">
        <v>56</v>
      </c>
      <c r="L1221">
        <v>1</v>
      </c>
      <c r="M1221">
        <v>1457</v>
      </c>
      <c r="N1221">
        <v>1</v>
      </c>
      <c r="O1221" t="s">
        <v>43</v>
      </c>
      <c r="P1221">
        <v>52</v>
      </c>
      <c r="Q1221">
        <v>3</v>
      </c>
      <c r="R1221">
        <v>3</v>
      </c>
      <c r="S1221" t="s">
        <v>136</v>
      </c>
      <c r="T1221">
        <v>4</v>
      </c>
      <c r="U1221" t="s">
        <v>101</v>
      </c>
      <c r="V1221">
        <v>10096</v>
      </c>
      <c r="W1221" t="s">
        <v>252</v>
      </c>
      <c r="X1221">
        <v>15986</v>
      </c>
      <c r="Y1221">
        <v>4</v>
      </c>
      <c r="Z1221" t="s">
        <v>47</v>
      </c>
      <c r="AA1221" t="s">
        <v>48</v>
      </c>
      <c r="AB1221">
        <v>11</v>
      </c>
      <c r="AC1221">
        <v>3</v>
      </c>
      <c r="AD1221">
        <v>1</v>
      </c>
      <c r="AE1221">
        <v>80</v>
      </c>
      <c r="AF1221">
        <v>1</v>
      </c>
      <c r="AG1221">
        <v>28</v>
      </c>
      <c r="AH1221">
        <v>1</v>
      </c>
      <c r="AI1221">
        <v>4</v>
      </c>
      <c r="AJ1221">
        <v>7</v>
      </c>
      <c r="AK1221">
        <v>7</v>
      </c>
      <c r="AL1221">
        <v>4</v>
      </c>
    </row>
    <row r="1222" spans="1:38" x14ac:dyDescent="0.3">
      <c r="A1222" t="s">
        <v>1292</v>
      </c>
      <c r="B1222">
        <v>46</v>
      </c>
      <c r="C1222" t="s">
        <v>1269</v>
      </c>
      <c r="D1222" t="s">
        <v>48</v>
      </c>
      <c r="E1222">
        <f t="shared" si="19"/>
        <v>0</v>
      </c>
      <c r="F1222" t="s">
        <v>40</v>
      </c>
      <c r="G1222">
        <v>228</v>
      </c>
      <c r="H1222" t="s">
        <v>50</v>
      </c>
      <c r="I1222">
        <v>3</v>
      </c>
      <c r="J1222">
        <v>3</v>
      </c>
      <c r="K1222" t="s">
        <v>42</v>
      </c>
      <c r="L1222">
        <v>1</v>
      </c>
      <c r="M1222">
        <v>1527</v>
      </c>
      <c r="N1222">
        <v>3</v>
      </c>
      <c r="O1222" t="s">
        <v>52</v>
      </c>
      <c r="P1222">
        <v>51</v>
      </c>
      <c r="Q1222">
        <v>3</v>
      </c>
      <c r="R1222">
        <v>4</v>
      </c>
      <c r="S1222" t="s">
        <v>440</v>
      </c>
      <c r="T1222">
        <v>2</v>
      </c>
      <c r="U1222" t="s">
        <v>104</v>
      </c>
      <c r="V1222">
        <v>16606</v>
      </c>
      <c r="W1222" t="s">
        <v>366</v>
      </c>
      <c r="X1222">
        <v>11380</v>
      </c>
      <c r="Y1222">
        <v>8</v>
      </c>
      <c r="Z1222" t="s">
        <v>47</v>
      </c>
      <c r="AA1222" t="s">
        <v>48</v>
      </c>
      <c r="AB1222">
        <v>12</v>
      </c>
      <c r="AC1222">
        <v>3</v>
      </c>
      <c r="AD1222">
        <v>4</v>
      </c>
      <c r="AE1222">
        <v>80</v>
      </c>
      <c r="AF1222">
        <v>1</v>
      </c>
      <c r="AG1222">
        <v>23</v>
      </c>
      <c r="AH1222">
        <v>2</v>
      </c>
      <c r="AI1222">
        <v>4</v>
      </c>
      <c r="AJ1222">
        <v>13</v>
      </c>
      <c r="AK1222">
        <v>12</v>
      </c>
      <c r="AL1222">
        <v>5</v>
      </c>
    </row>
    <row r="1223" spans="1:38" x14ac:dyDescent="0.3">
      <c r="A1223" t="s">
        <v>1293</v>
      </c>
      <c r="B1223">
        <v>46</v>
      </c>
      <c r="C1223" t="s">
        <v>1269</v>
      </c>
      <c r="D1223" t="s">
        <v>48</v>
      </c>
      <c r="E1223">
        <f t="shared" si="19"/>
        <v>0</v>
      </c>
      <c r="F1223" t="s">
        <v>40</v>
      </c>
      <c r="G1223">
        <v>563</v>
      </c>
      <c r="H1223" t="s">
        <v>50</v>
      </c>
      <c r="I1223">
        <v>1</v>
      </c>
      <c r="J1223">
        <v>4</v>
      </c>
      <c r="K1223" t="s">
        <v>42</v>
      </c>
      <c r="L1223">
        <v>1</v>
      </c>
      <c r="M1223">
        <v>1602</v>
      </c>
      <c r="N1223">
        <v>4</v>
      </c>
      <c r="O1223" t="s">
        <v>43</v>
      </c>
      <c r="P1223">
        <v>56</v>
      </c>
      <c r="Q1223">
        <v>4</v>
      </c>
      <c r="R1223">
        <v>4</v>
      </c>
      <c r="S1223" t="s">
        <v>440</v>
      </c>
      <c r="T1223">
        <v>1</v>
      </c>
      <c r="U1223" t="s">
        <v>45</v>
      </c>
      <c r="V1223">
        <v>17567</v>
      </c>
      <c r="W1223" t="s">
        <v>366</v>
      </c>
      <c r="X1223">
        <v>3156</v>
      </c>
      <c r="Y1223">
        <v>1</v>
      </c>
      <c r="Z1223" t="s">
        <v>47</v>
      </c>
      <c r="AA1223" t="s">
        <v>48</v>
      </c>
      <c r="AB1223">
        <v>15</v>
      </c>
      <c r="AC1223">
        <v>3</v>
      </c>
      <c r="AD1223">
        <v>2</v>
      </c>
      <c r="AE1223">
        <v>80</v>
      </c>
      <c r="AF1223">
        <v>0</v>
      </c>
      <c r="AG1223">
        <v>27</v>
      </c>
      <c r="AH1223">
        <v>5</v>
      </c>
      <c r="AI1223">
        <v>1</v>
      </c>
      <c r="AJ1223">
        <v>26</v>
      </c>
      <c r="AK1223">
        <v>0</v>
      </c>
      <c r="AL1223">
        <v>0</v>
      </c>
    </row>
    <row r="1224" spans="1:38" x14ac:dyDescent="0.3">
      <c r="A1224" t="s">
        <v>1294</v>
      </c>
      <c r="B1224">
        <v>46</v>
      </c>
      <c r="C1224" t="s">
        <v>1269</v>
      </c>
      <c r="D1224" t="s">
        <v>48</v>
      </c>
      <c r="E1224">
        <f t="shared" si="19"/>
        <v>0</v>
      </c>
      <c r="F1224" t="s">
        <v>40</v>
      </c>
      <c r="G1224">
        <v>717</v>
      </c>
      <c r="H1224" t="s">
        <v>41</v>
      </c>
      <c r="I1224">
        <v>13</v>
      </c>
      <c r="J1224">
        <v>4</v>
      </c>
      <c r="K1224" t="s">
        <v>42</v>
      </c>
      <c r="L1224">
        <v>1</v>
      </c>
      <c r="M1224">
        <v>1727</v>
      </c>
      <c r="N1224">
        <v>3</v>
      </c>
      <c r="O1224" t="s">
        <v>43</v>
      </c>
      <c r="P1224">
        <v>34</v>
      </c>
      <c r="Q1224">
        <v>3</v>
      </c>
      <c r="R1224">
        <v>2</v>
      </c>
      <c r="S1224" t="s">
        <v>160</v>
      </c>
      <c r="T1224">
        <v>2</v>
      </c>
      <c r="U1224" t="s">
        <v>45</v>
      </c>
      <c r="V1224">
        <v>5562</v>
      </c>
      <c r="W1224" t="s">
        <v>162</v>
      </c>
      <c r="X1224">
        <v>9697</v>
      </c>
      <c r="Y1224">
        <v>6</v>
      </c>
      <c r="Z1224" t="s">
        <v>47</v>
      </c>
      <c r="AA1224" t="s">
        <v>48</v>
      </c>
      <c r="AB1224">
        <v>14</v>
      </c>
      <c r="AC1224">
        <v>3</v>
      </c>
      <c r="AD1224">
        <v>4</v>
      </c>
      <c r="AE1224">
        <v>80</v>
      </c>
      <c r="AF1224">
        <v>0</v>
      </c>
      <c r="AG1224">
        <v>19</v>
      </c>
      <c r="AH1224">
        <v>3</v>
      </c>
      <c r="AI1224">
        <v>3</v>
      </c>
      <c r="AJ1224">
        <v>10</v>
      </c>
      <c r="AK1224">
        <v>7</v>
      </c>
      <c r="AL1224">
        <v>0</v>
      </c>
    </row>
    <row r="1225" spans="1:38" x14ac:dyDescent="0.3">
      <c r="A1225" t="s">
        <v>1295</v>
      </c>
      <c r="B1225">
        <v>46</v>
      </c>
      <c r="C1225" t="s">
        <v>1269</v>
      </c>
      <c r="D1225" t="s">
        <v>48</v>
      </c>
      <c r="E1225">
        <f t="shared" si="19"/>
        <v>0</v>
      </c>
      <c r="F1225" t="s">
        <v>40</v>
      </c>
      <c r="G1225">
        <v>1277</v>
      </c>
      <c r="H1225" t="s">
        <v>50</v>
      </c>
      <c r="I1225">
        <v>2</v>
      </c>
      <c r="J1225">
        <v>3</v>
      </c>
      <c r="K1225" t="s">
        <v>42</v>
      </c>
      <c r="L1225">
        <v>1</v>
      </c>
      <c r="M1225">
        <v>1732</v>
      </c>
      <c r="N1225">
        <v>3</v>
      </c>
      <c r="O1225" t="s">
        <v>43</v>
      </c>
      <c r="P1225">
        <v>74</v>
      </c>
      <c r="Q1225">
        <v>3</v>
      </c>
      <c r="R1225">
        <v>3</v>
      </c>
      <c r="S1225" t="s">
        <v>136</v>
      </c>
      <c r="T1225">
        <v>4</v>
      </c>
      <c r="U1225" t="s">
        <v>101</v>
      </c>
      <c r="V1225">
        <v>10368</v>
      </c>
      <c r="W1225" t="s">
        <v>252</v>
      </c>
      <c r="X1225">
        <v>5596</v>
      </c>
      <c r="Y1225">
        <v>4</v>
      </c>
      <c r="Z1225" t="s">
        <v>47</v>
      </c>
      <c r="AA1225" t="s">
        <v>39</v>
      </c>
      <c r="AB1225">
        <v>12</v>
      </c>
      <c r="AC1225">
        <v>3</v>
      </c>
      <c r="AD1225">
        <v>2</v>
      </c>
      <c r="AE1225">
        <v>80</v>
      </c>
      <c r="AF1225">
        <v>1</v>
      </c>
      <c r="AG1225">
        <v>13</v>
      </c>
      <c r="AH1225">
        <v>5</v>
      </c>
      <c r="AI1225">
        <v>2</v>
      </c>
      <c r="AJ1225">
        <v>10</v>
      </c>
      <c r="AK1225">
        <v>6</v>
      </c>
      <c r="AL1225">
        <v>0</v>
      </c>
    </row>
    <row r="1226" spans="1:38" x14ac:dyDescent="0.3">
      <c r="A1226" t="s">
        <v>1296</v>
      </c>
      <c r="B1226">
        <v>46</v>
      </c>
      <c r="C1226" t="s">
        <v>1269</v>
      </c>
      <c r="D1226" t="s">
        <v>48</v>
      </c>
      <c r="E1226">
        <f t="shared" si="19"/>
        <v>0</v>
      </c>
      <c r="F1226" t="s">
        <v>40</v>
      </c>
      <c r="G1226">
        <v>734</v>
      </c>
      <c r="H1226" t="s">
        <v>41</v>
      </c>
      <c r="I1226">
        <v>2</v>
      </c>
      <c r="J1226">
        <v>4</v>
      </c>
      <c r="K1226" t="s">
        <v>51</v>
      </c>
      <c r="L1226">
        <v>1</v>
      </c>
      <c r="M1226">
        <v>1789</v>
      </c>
      <c r="N1226">
        <v>3</v>
      </c>
      <c r="O1226" t="s">
        <v>43</v>
      </c>
      <c r="P1226">
        <v>46</v>
      </c>
      <c r="Q1226">
        <v>3</v>
      </c>
      <c r="R1226">
        <v>5</v>
      </c>
      <c r="S1226" t="s">
        <v>251</v>
      </c>
      <c r="T1226">
        <v>4</v>
      </c>
      <c r="U1226" t="s">
        <v>101</v>
      </c>
      <c r="V1226">
        <v>19328</v>
      </c>
      <c r="W1226" t="s">
        <v>366</v>
      </c>
      <c r="X1226">
        <v>14218</v>
      </c>
      <c r="Y1226">
        <v>7</v>
      </c>
      <c r="Z1226" t="s">
        <v>47</v>
      </c>
      <c r="AA1226" t="s">
        <v>39</v>
      </c>
      <c r="AB1226">
        <v>17</v>
      </c>
      <c r="AC1226">
        <v>3</v>
      </c>
      <c r="AD1226">
        <v>3</v>
      </c>
      <c r="AE1226">
        <v>80</v>
      </c>
      <c r="AF1226">
        <v>1</v>
      </c>
      <c r="AG1226">
        <v>24</v>
      </c>
      <c r="AH1226">
        <v>3</v>
      </c>
      <c r="AI1226">
        <v>3</v>
      </c>
      <c r="AJ1226">
        <v>2</v>
      </c>
      <c r="AK1226">
        <v>1</v>
      </c>
      <c r="AL1226">
        <v>2</v>
      </c>
    </row>
    <row r="1227" spans="1:38" x14ac:dyDescent="0.3">
      <c r="A1227" t="s">
        <v>1297</v>
      </c>
      <c r="B1227">
        <v>46</v>
      </c>
      <c r="C1227" t="s">
        <v>1269</v>
      </c>
      <c r="D1227" t="s">
        <v>48</v>
      </c>
      <c r="E1227">
        <f t="shared" si="19"/>
        <v>0</v>
      </c>
      <c r="F1227" t="s">
        <v>58</v>
      </c>
      <c r="G1227">
        <v>849</v>
      </c>
      <c r="H1227" t="s">
        <v>50</v>
      </c>
      <c r="I1227">
        <v>26</v>
      </c>
      <c r="J1227">
        <v>2</v>
      </c>
      <c r="K1227" t="s">
        <v>42</v>
      </c>
      <c r="L1227">
        <v>1</v>
      </c>
      <c r="M1227">
        <v>1801</v>
      </c>
      <c r="N1227">
        <v>2</v>
      </c>
      <c r="O1227" t="s">
        <v>43</v>
      </c>
      <c r="P1227">
        <v>98</v>
      </c>
      <c r="Q1227">
        <v>2</v>
      </c>
      <c r="R1227">
        <v>2</v>
      </c>
      <c r="S1227" t="s">
        <v>136</v>
      </c>
      <c r="T1227">
        <v>2</v>
      </c>
      <c r="U1227" t="s">
        <v>45</v>
      </c>
      <c r="V1227">
        <v>7991</v>
      </c>
      <c r="W1227" t="s">
        <v>162</v>
      </c>
      <c r="X1227">
        <v>25166</v>
      </c>
      <c r="Y1227">
        <v>8</v>
      </c>
      <c r="Z1227" t="s">
        <v>47</v>
      </c>
      <c r="AA1227" t="s">
        <v>48</v>
      </c>
      <c r="AB1227">
        <v>15</v>
      </c>
      <c r="AC1227">
        <v>3</v>
      </c>
      <c r="AD1227">
        <v>3</v>
      </c>
      <c r="AE1227">
        <v>80</v>
      </c>
      <c r="AF1227">
        <v>0</v>
      </c>
      <c r="AG1227">
        <v>6</v>
      </c>
      <c r="AH1227">
        <v>3</v>
      </c>
      <c r="AI1227">
        <v>3</v>
      </c>
      <c r="AJ1227">
        <v>2</v>
      </c>
      <c r="AK1227">
        <v>2</v>
      </c>
      <c r="AL1227">
        <v>2</v>
      </c>
    </row>
    <row r="1228" spans="1:38" x14ac:dyDescent="0.3">
      <c r="A1228" t="s">
        <v>1298</v>
      </c>
      <c r="B1228">
        <v>46</v>
      </c>
      <c r="C1228" t="s">
        <v>1269</v>
      </c>
      <c r="D1228" t="s">
        <v>39</v>
      </c>
      <c r="E1228">
        <f t="shared" si="19"/>
        <v>1</v>
      </c>
      <c r="F1228" t="s">
        <v>40</v>
      </c>
      <c r="G1228">
        <v>261</v>
      </c>
      <c r="H1228" t="s">
        <v>41</v>
      </c>
      <c r="I1228">
        <v>21</v>
      </c>
      <c r="J1228">
        <v>2</v>
      </c>
      <c r="K1228" t="s">
        <v>51</v>
      </c>
      <c r="L1228">
        <v>1</v>
      </c>
      <c r="M1228">
        <v>1821</v>
      </c>
      <c r="N1228">
        <v>4</v>
      </c>
      <c r="O1228" t="s">
        <v>52</v>
      </c>
      <c r="P1228">
        <v>66</v>
      </c>
      <c r="Q1228">
        <v>3</v>
      </c>
      <c r="R1228">
        <v>2</v>
      </c>
      <c r="S1228" t="s">
        <v>160</v>
      </c>
      <c r="T1228">
        <v>2</v>
      </c>
      <c r="U1228" t="s">
        <v>104</v>
      </c>
      <c r="V1228">
        <v>8926</v>
      </c>
      <c r="W1228" t="s">
        <v>162</v>
      </c>
      <c r="X1228">
        <v>10842</v>
      </c>
      <c r="Y1228">
        <v>4</v>
      </c>
      <c r="Z1228" t="s">
        <v>47</v>
      </c>
      <c r="AA1228" t="s">
        <v>48</v>
      </c>
      <c r="AB1228">
        <v>22</v>
      </c>
      <c r="AC1228">
        <v>4</v>
      </c>
      <c r="AD1228">
        <v>4</v>
      </c>
      <c r="AE1228">
        <v>80</v>
      </c>
      <c r="AF1228">
        <v>1</v>
      </c>
      <c r="AG1228">
        <v>13</v>
      </c>
      <c r="AH1228">
        <v>2</v>
      </c>
      <c r="AI1228">
        <v>4</v>
      </c>
      <c r="AJ1228">
        <v>9</v>
      </c>
      <c r="AK1228">
        <v>7</v>
      </c>
      <c r="AL1228">
        <v>3</v>
      </c>
    </row>
    <row r="1229" spans="1:38" x14ac:dyDescent="0.3">
      <c r="A1229" t="s">
        <v>1299</v>
      </c>
      <c r="B1229">
        <v>46</v>
      </c>
      <c r="C1229" t="s">
        <v>1269</v>
      </c>
      <c r="D1229" t="s">
        <v>48</v>
      </c>
      <c r="E1229">
        <f t="shared" si="19"/>
        <v>0</v>
      </c>
      <c r="F1229" t="s">
        <v>40</v>
      </c>
      <c r="G1229">
        <v>706</v>
      </c>
      <c r="H1229" t="s">
        <v>41</v>
      </c>
      <c r="I1229">
        <v>2</v>
      </c>
      <c r="J1229">
        <v>2</v>
      </c>
      <c r="K1229" t="s">
        <v>42</v>
      </c>
      <c r="L1229">
        <v>1</v>
      </c>
      <c r="M1229">
        <v>1857</v>
      </c>
      <c r="N1229">
        <v>4</v>
      </c>
      <c r="O1229" t="s">
        <v>43</v>
      </c>
      <c r="P1229">
        <v>82</v>
      </c>
      <c r="Q1229">
        <v>3</v>
      </c>
      <c r="R1229">
        <v>3</v>
      </c>
      <c r="S1229" t="s">
        <v>111</v>
      </c>
      <c r="T1229">
        <v>4</v>
      </c>
      <c r="U1229" t="s">
        <v>101</v>
      </c>
      <c r="V1229">
        <v>8578</v>
      </c>
      <c r="W1229" t="s">
        <v>162</v>
      </c>
      <c r="X1229">
        <v>19989</v>
      </c>
      <c r="Y1229">
        <v>3</v>
      </c>
      <c r="Z1229" t="s">
        <v>47</v>
      </c>
      <c r="AA1229" t="s">
        <v>48</v>
      </c>
      <c r="AB1229">
        <v>14</v>
      </c>
      <c r="AC1229">
        <v>3</v>
      </c>
      <c r="AD1229">
        <v>3</v>
      </c>
      <c r="AE1229">
        <v>80</v>
      </c>
      <c r="AF1229">
        <v>1</v>
      </c>
      <c r="AG1229">
        <v>12</v>
      </c>
      <c r="AH1229">
        <v>4</v>
      </c>
      <c r="AI1229">
        <v>2</v>
      </c>
      <c r="AJ1229">
        <v>9</v>
      </c>
      <c r="AK1229">
        <v>8</v>
      </c>
      <c r="AL1229">
        <v>4</v>
      </c>
    </row>
    <row r="1230" spans="1:38" x14ac:dyDescent="0.3">
      <c r="A1230" t="s">
        <v>1300</v>
      </c>
      <c r="B1230">
        <v>46</v>
      </c>
      <c r="C1230" t="s">
        <v>1269</v>
      </c>
      <c r="D1230" t="s">
        <v>48</v>
      </c>
      <c r="E1230">
        <f t="shared" si="19"/>
        <v>0</v>
      </c>
      <c r="F1230" t="s">
        <v>40</v>
      </c>
      <c r="G1230">
        <v>1319</v>
      </c>
      <c r="H1230" t="s">
        <v>50</v>
      </c>
      <c r="I1230">
        <v>3</v>
      </c>
      <c r="J1230">
        <v>3</v>
      </c>
      <c r="K1230" t="s">
        <v>67</v>
      </c>
      <c r="L1230">
        <v>1</v>
      </c>
      <c r="M1230">
        <v>1863</v>
      </c>
      <c r="N1230">
        <v>1</v>
      </c>
      <c r="O1230" t="s">
        <v>52</v>
      </c>
      <c r="P1230">
        <v>45</v>
      </c>
      <c r="Q1230">
        <v>4</v>
      </c>
      <c r="R1230">
        <v>4</v>
      </c>
      <c r="S1230" t="s">
        <v>136</v>
      </c>
      <c r="T1230">
        <v>1</v>
      </c>
      <c r="U1230" t="s">
        <v>101</v>
      </c>
      <c r="V1230">
        <v>13225</v>
      </c>
      <c r="W1230" t="s">
        <v>252</v>
      </c>
      <c r="X1230">
        <v>7739</v>
      </c>
      <c r="Y1230">
        <v>2</v>
      </c>
      <c r="Z1230" t="s">
        <v>47</v>
      </c>
      <c r="AA1230" t="s">
        <v>48</v>
      </c>
      <c r="AB1230">
        <v>12</v>
      </c>
      <c r="AC1230">
        <v>3</v>
      </c>
      <c r="AD1230">
        <v>4</v>
      </c>
      <c r="AE1230">
        <v>80</v>
      </c>
      <c r="AF1230">
        <v>1</v>
      </c>
      <c r="AG1230">
        <v>25</v>
      </c>
      <c r="AH1230">
        <v>5</v>
      </c>
      <c r="AI1230">
        <v>3</v>
      </c>
      <c r="AJ1230">
        <v>19</v>
      </c>
      <c r="AK1230">
        <v>17</v>
      </c>
      <c r="AL1230">
        <v>2</v>
      </c>
    </row>
    <row r="1231" spans="1:38" x14ac:dyDescent="0.3">
      <c r="A1231" t="s">
        <v>1301</v>
      </c>
      <c r="B1231">
        <v>46</v>
      </c>
      <c r="C1231" t="s">
        <v>1269</v>
      </c>
      <c r="D1231" t="s">
        <v>39</v>
      </c>
      <c r="E1231">
        <f t="shared" si="19"/>
        <v>1</v>
      </c>
      <c r="F1231" t="s">
        <v>40</v>
      </c>
      <c r="G1231">
        <v>1254</v>
      </c>
      <c r="H1231" t="s">
        <v>50</v>
      </c>
      <c r="I1231">
        <v>10</v>
      </c>
      <c r="J1231">
        <v>3</v>
      </c>
      <c r="K1231" t="s">
        <v>42</v>
      </c>
      <c r="L1231">
        <v>1</v>
      </c>
      <c r="M1231">
        <v>1869</v>
      </c>
      <c r="N1231">
        <v>3</v>
      </c>
      <c r="O1231" t="s">
        <v>52</v>
      </c>
      <c r="P1231">
        <v>64</v>
      </c>
      <c r="Q1231">
        <v>3</v>
      </c>
      <c r="R1231">
        <v>3</v>
      </c>
      <c r="S1231" t="s">
        <v>136</v>
      </c>
      <c r="T1231">
        <v>2</v>
      </c>
      <c r="U1231" t="s">
        <v>104</v>
      </c>
      <c r="V1231">
        <v>7314</v>
      </c>
      <c r="W1231" t="s">
        <v>162</v>
      </c>
      <c r="X1231">
        <v>14011</v>
      </c>
      <c r="Y1231">
        <v>5</v>
      </c>
      <c r="Z1231" t="s">
        <v>47</v>
      </c>
      <c r="AA1231" t="s">
        <v>48</v>
      </c>
      <c r="AB1231">
        <v>21</v>
      </c>
      <c r="AC1231">
        <v>4</v>
      </c>
      <c r="AD1231">
        <v>3</v>
      </c>
      <c r="AE1231">
        <v>80</v>
      </c>
      <c r="AF1231">
        <v>3</v>
      </c>
      <c r="AG1231">
        <v>14</v>
      </c>
      <c r="AH1231">
        <v>2</v>
      </c>
      <c r="AI1231">
        <v>3</v>
      </c>
      <c r="AJ1231">
        <v>8</v>
      </c>
      <c r="AK1231">
        <v>7</v>
      </c>
      <c r="AL1231">
        <v>0</v>
      </c>
    </row>
    <row r="1232" spans="1:38" x14ac:dyDescent="0.3">
      <c r="A1232" t="s">
        <v>1302</v>
      </c>
      <c r="B1232">
        <v>47</v>
      </c>
      <c r="C1232" t="s">
        <v>1269</v>
      </c>
      <c r="D1232" t="s">
        <v>39</v>
      </c>
      <c r="E1232">
        <f t="shared" si="19"/>
        <v>1</v>
      </c>
      <c r="F1232" t="s">
        <v>58</v>
      </c>
      <c r="G1232">
        <v>666</v>
      </c>
      <c r="H1232" t="s">
        <v>41</v>
      </c>
      <c r="I1232">
        <v>29</v>
      </c>
      <c r="J1232">
        <v>4</v>
      </c>
      <c r="K1232" t="s">
        <v>42</v>
      </c>
      <c r="L1232">
        <v>1</v>
      </c>
      <c r="M1232">
        <v>376</v>
      </c>
      <c r="N1232">
        <v>1</v>
      </c>
      <c r="O1232" t="s">
        <v>43</v>
      </c>
      <c r="P1232">
        <v>88</v>
      </c>
      <c r="Q1232">
        <v>3</v>
      </c>
      <c r="R1232">
        <v>3</v>
      </c>
      <c r="S1232" t="s">
        <v>440</v>
      </c>
      <c r="T1232">
        <v>2</v>
      </c>
      <c r="U1232" t="s">
        <v>104</v>
      </c>
      <c r="V1232">
        <v>11849</v>
      </c>
      <c r="W1232" t="s">
        <v>252</v>
      </c>
      <c r="X1232">
        <v>10268</v>
      </c>
      <c r="Y1232">
        <v>1</v>
      </c>
      <c r="Z1232" t="s">
        <v>47</v>
      </c>
      <c r="AA1232" t="s">
        <v>39</v>
      </c>
      <c r="AB1232">
        <v>12</v>
      </c>
      <c r="AC1232">
        <v>3</v>
      </c>
      <c r="AD1232">
        <v>4</v>
      </c>
      <c r="AE1232">
        <v>80</v>
      </c>
      <c r="AF1232">
        <v>1</v>
      </c>
      <c r="AG1232">
        <v>10</v>
      </c>
      <c r="AH1232">
        <v>2</v>
      </c>
      <c r="AI1232">
        <v>2</v>
      </c>
      <c r="AJ1232">
        <v>10</v>
      </c>
      <c r="AK1232">
        <v>7</v>
      </c>
      <c r="AL1232">
        <v>9</v>
      </c>
    </row>
    <row r="1233" spans="1:38" x14ac:dyDescent="0.3">
      <c r="A1233" t="s">
        <v>1303</v>
      </c>
      <c r="B1233">
        <v>47</v>
      </c>
      <c r="C1233" t="s">
        <v>1269</v>
      </c>
      <c r="D1233" t="s">
        <v>48</v>
      </c>
      <c r="E1233">
        <f t="shared" si="19"/>
        <v>0</v>
      </c>
      <c r="F1233" t="s">
        <v>40</v>
      </c>
      <c r="G1233">
        <v>1482</v>
      </c>
      <c r="H1233" t="s">
        <v>41</v>
      </c>
      <c r="I1233">
        <v>5</v>
      </c>
      <c r="J1233">
        <v>5</v>
      </c>
      <c r="K1233" t="s">
        <v>42</v>
      </c>
      <c r="L1233">
        <v>1</v>
      </c>
      <c r="M1233">
        <v>447</v>
      </c>
      <c r="N1233">
        <v>4</v>
      </c>
      <c r="O1233" t="s">
        <v>43</v>
      </c>
      <c r="P1233">
        <v>42</v>
      </c>
      <c r="Q1233">
        <v>3</v>
      </c>
      <c r="R1233">
        <v>5</v>
      </c>
      <c r="S1233" t="s">
        <v>251</v>
      </c>
      <c r="T1233">
        <v>3</v>
      </c>
      <c r="U1233" t="s">
        <v>104</v>
      </c>
      <c r="V1233">
        <v>18300</v>
      </c>
      <c r="W1233" t="s">
        <v>366</v>
      </c>
      <c r="X1233">
        <v>16375</v>
      </c>
      <c r="Y1233">
        <v>4</v>
      </c>
      <c r="Z1233" t="s">
        <v>47</v>
      </c>
      <c r="AA1233" t="s">
        <v>48</v>
      </c>
      <c r="AB1233">
        <v>11</v>
      </c>
      <c r="AC1233">
        <v>3</v>
      </c>
      <c r="AD1233">
        <v>2</v>
      </c>
      <c r="AE1233">
        <v>80</v>
      </c>
      <c r="AF1233">
        <v>1</v>
      </c>
      <c r="AG1233">
        <v>21</v>
      </c>
      <c r="AH1233">
        <v>2</v>
      </c>
      <c r="AI1233">
        <v>3</v>
      </c>
      <c r="AJ1233">
        <v>3</v>
      </c>
      <c r="AK1233">
        <v>2</v>
      </c>
      <c r="AL1233">
        <v>1</v>
      </c>
    </row>
    <row r="1234" spans="1:38" x14ac:dyDescent="0.3">
      <c r="A1234" t="s">
        <v>1304</v>
      </c>
      <c r="B1234">
        <v>47</v>
      </c>
      <c r="C1234" t="s">
        <v>1269</v>
      </c>
      <c r="D1234" t="s">
        <v>48</v>
      </c>
      <c r="E1234">
        <f t="shared" si="19"/>
        <v>0</v>
      </c>
      <c r="F1234" t="s">
        <v>55</v>
      </c>
      <c r="G1234">
        <v>1309</v>
      </c>
      <c r="H1234" t="s">
        <v>50</v>
      </c>
      <c r="I1234">
        <v>4</v>
      </c>
      <c r="J1234">
        <v>1</v>
      </c>
      <c r="K1234" t="s">
        <v>51</v>
      </c>
      <c r="L1234">
        <v>1</v>
      </c>
      <c r="M1234">
        <v>467</v>
      </c>
      <c r="N1234">
        <v>2</v>
      </c>
      <c r="O1234" t="s">
        <v>43</v>
      </c>
      <c r="P1234">
        <v>99</v>
      </c>
      <c r="Q1234">
        <v>3</v>
      </c>
      <c r="R1234">
        <v>2</v>
      </c>
      <c r="S1234" t="s">
        <v>53</v>
      </c>
      <c r="T1234">
        <v>3</v>
      </c>
      <c r="U1234" t="s">
        <v>45</v>
      </c>
      <c r="V1234">
        <v>2976</v>
      </c>
      <c r="W1234" t="s">
        <v>46</v>
      </c>
      <c r="X1234">
        <v>25751</v>
      </c>
      <c r="Y1234">
        <v>3</v>
      </c>
      <c r="Z1234" t="s">
        <v>47</v>
      </c>
      <c r="AA1234" t="s">
        <v>48</v>
      </c>
      <c r="AB1234">
        <v>19</v>
      </c>
      <c r="AC1234">
        <v>3</v>
      </c>
      <c r="AD1234">
        <v>1</v>
      </c>
      <c r="AE1234">
        <v>80</v>
      </c>
      <c r="AF1234">
        <v>0</v>
      </c>
      <c r="AG1234">
        <v>5</v>
      </c>
      <c r="AH1234">
        <v>3</v>
      </c>
      <c r="AI1234">
        <v>3</v>
      </c>
      <c r="AJ1234">
        <v>0</v>
      </c>
      <c r="AK1234">
        <v>0</v>
      </c>
      <c r="AL1234">
        <v>0</v>
      </c>
    </row>
    <row r="1235" spans="1:38" x14ac:dyDescent="0.3">
      <c r="A1235" t="s">
        <v>1305</v>
      </c>
      <c r="B1235">
        <v>47</v>
      </c>
      <c r="C1235" t="s">
        <v>1269</v>
      </c>
      <c r="D1235" t="s">
        <v>48</v>
      </c>
      <c r="E1235">
        <f t="shared" si="19"/>
        <v>0</v>
      </c>
      <c r="F1235" t="s">
        <v>40</v>
      </c>
      <c r="G1235">
        <v>983</v>
      </c>
      <c r="H1235" t="s">
        <v>41</v>
      </c>
      <c r="I1235">
        <v>2</v>
      </c>
      <c r="J1235">
        <v>2</v>
      </c>
      <c r="K1235" t="s">
        <v>51</v>
      </c>
      <c r="L1235">
        <v>1</v>
      </c>
      <c r="M1235">
        <v>574</v>
      </c>
      <c r="N1235">
        <v>1</v>
      </c>
      <c r="O1235" t="s">
        <v>52</v>
      </c>
      <c r="P1235">
        <v>65</v>
      </c>
      <c r="Q1235">
        <v>3</v>
      </c>
      <c r="R1235">
        <v>2</v>
      </c>
      <c r="S1235" t="s">
        <v>111</v>
      </c>
      <c r="T1235">
        <v>4</v>
      </c>
      <c r="U1235" t="s">
        <v>101</v>
      </c>
      <c r="V1235">
        <v>5070</v>
      </c>
      <c r="W1235" t="s">
        <v>162</v>
      </c>
      <c r="X1235">
        <v>7389</v>
      </c>
      <c r="Y1235">
        <v>5</v>
      </c>
      <c r="Z1235" t="s">
        <v>47</v>
      </c>
      <c r="AA1235" t="s">
        <v>48</v>
      </c>
      <c r="AB1235">
        <v>13</v>
      </c>
      <c r="AC1235">
        <v>3</v>
      </c>
      <c r="AD1235">
        <v>3</v>
      </c>
      <c r="AE1235">
        <v>80</v>
      </c>
      <c r="AF1235">
        <v>3</v>
      </c>
      <c r="AG1235">
        <v>20</v>
      </c>
      <c r="AH1235">
        <v>2</v>
      </c>
      <c r="AI1235">
        <v>3</v>
      </c>
      <c r="AJ1235">
        <v>5</v>
      </c>
      <c r="AK1235">
        <v>0</v>
      </c>
      <c r="AL1235">
        <v>0</v>
      </c>
    </row>
    <row r="1236" spans="1:38" x14ac:dyDescent="0.3">
      <c r="A1236" t="s">
        <v>1306</v>
      </c>
      <c r="B1236">
        <v>47</v>
      </c>
      <c r="C1236" t="s">
        <v>1269</v>
      </c>
      <c r="D1236" t="s">
        <v>48</v>
      </c>
      <c r="E1236">
        <f t="shared" si="19"/>
        <v>0</v>
      </c>
      <c r="F1236" t="s">
        <v>40</v>
      </c>
      <c r="G1236">
        <v>703</v>
      </c>
      <c r="H1236" t="s">
        <v>50</v>
      </c>
      <c r="I1236">
        <v>14</v>
      </c>
      <c r="J1236">
        <v>4</v>
      </c>
      <c r="K1236" t="s">
        <v>56</v>
      </c>
      <c r="L1236">
        <v>1</v>
      </c>
      <c r="M1236">
        <v>728</v>
      </c>
      <c r="N1236">
        <v>4</v>
      </c>
      <c r="O1236" t="s">
        <v>43</v>
      </c>
      <c r="P1236">
        <v>42</v>
      </c>
      <c r="Q1236">
        <v>3</v>
      </c>
      <c r="R1236">
        <v>2</v>
      </c>
      <c r="S1236" t="s">
        <v>136</v>
      </c>
      <c r="T1236">
        <v>1</v>
      </c>
      <c r="U1236" t="s">
        <v>45</v>
      </c>
      <c r="V1236">
        <v>4960</v>
      </c>
      <c r="W1236" t="s">
        <v>46</v>
      </c>
      <c r="X1236">
        <v>11825</v>
      </c>
      <c r="Y1236">
        <v>2</v>
      </c>
      <c r="Z1236" t="s">
        <v>47</v>
      </c>
      <c r="AA1236" t="s">
        <v>48</v>
      </c>
      <c r="AB1236">
        <v>12</v>
      </c>
      <c r="AC1236">
        <v>3</v>
      </c>
      <c r="AD1236">
        <v>4</v>
      </c>
      <c r="AE1236">
        <v>80</v>
      </c>
      <c r="AF1236">
        <v>0</v>
      </c>
      <c r="AG1236">
        <v>20</v>
      </c>
      <c r="AH1236">
        <v>2</v>
      </c>
      <c r="AI1236">
        <v>3</v>
      </c>
      <c r="AJ1236">
        <v>7</v>
      </c>
      <c r="AK1236">
        <v>7</v>
      </c>
      <c r="AL1236">
        <v>1</v>
      </c>
    </row>
    <row r="1237" spans="1:38" x14ac:dyDescent="0.3">
      <c r="A1237" t="s">
        <v>1307</v>
      </c>
      <c r="B1237">
        <v>47</v>
      </c>
      <c r="C1237" t="s">
        <v>1269</v>
      </c>
      <c r="D1237" t="s">
        <v>48</v>
      </c>
      <c r="E1237">
        <f t="shared" si="19"/>
        <v>0</v>
      </c>
      <c r="F1237" t="s">
        <v>55</v>
      </c>
      <c r="G1237">
        <v>217</v>
      </c>
      <c r="H1237" t="s">
        <v>50</v>
      </c>
      <c r="I1237">
        <v>3</v>
      </c>
      <c r="J1237">
        <v>3</v>
      </c>
      <c r="K1237" t="s">
        <v>51</v>
      </c>
      <c r="L1237">
        <v>1</v>
      </c>
      <c r="M1237">
        <v>746</v>
      </c>
      <c r="N1237">
        <v>4</v>
      </c>
      <c r="O1237" t="s">
        <v>52</v>
      </c>
      <c r="P1237">
        <v>49</v>
      </c>
      <c r="Q1237">
        <v>3</v>
      </c>
      <c r="R1237">
        <v>4</v>
      </c>
      <c r="S1237" t="s">
        <v>136</v>
      </c>
      <c r="T1237">
        <v>3</v>
      </c>
      <c r="U1237" t="s">
        <v>101</v>
      </c>
      <c r="V1237">
        <v>13770</v>
      </c>
      <c r="W1237" t="s">
        <v>252</v>
      </c>
      <c r="X1237">
        <v>10225</v>
      </c>
      <c r="Y1237">
        <v>9</v>
      </c>
      <c r="Z1237" t="s">
        <v>47</v>
      </c>
      <c r="AA1237" t="s">
        <v>39</v>
      </c>
      <c r="AB1237">
        <v>12</v>
      </c>
      <c r="AC1237">
        <v>3</v>
      </c>
      <c r="AD1237">
        <v>4</v>
      </c>
      <c r="AE1237">
        <v>80</v>
      </c>
      <c r="AF1237">
        <v>2</v>
      </c>
      <c r="AG1237">
        <v>28</v>
      </c>
      <c r="AH1237">
        <v>2</v>
      </c>
      <c r="AI1237">
        <v>2</v>
      </c>
      <c r="AJ1237">
        <v>22</v>
      </c>
      <c r="AK1237">
        <v>2</v>
      </c>
      <c r="AL1237">
        <v>11</v>
      </c>
    </row>
    <row r="1238" spans="1:38" x14ac:dyDescent="0.3">
      <c r="A1238" t="s">
        <v>1308</v>
      </c>
      <c r="B1238">
        <v>47</v>
      </c>
      <c r="C1238" t="s">
        <v>1269</v>
      </c>
      <c r="D1238" t="s">
        <v>39</v>
      </c>
      <c r="E1238">
        <f t="shared" si="19"/>
        <v>1</v>
      </c>
      <c r="F1238" t="s">
        <v>55</v>
      </c>
      <c r="G1238">
        <v>719</v>
      </c>
      <c r="H1238" t="s">
        <v>50</v>
      </c>
      <c r="I1238">
        <v>27</v>
      </c>
      <c r="J1238">
        <v>2</v>
      </c>
      <c r="K1238" t="s">
        <v>42</v>
      </c>
      <c r="L1238">
        <v>1</v>
      </c>
      <c r="M1238">
        <v>785</v>
      </c>
      <c r="N1238">
        <v>2</v>
      </c>
      <c r="O1238" t="s">
        <v>52</v>
      </c>
      <c r="P1238">
        <v>77</v>
      </c>
      <c r="Q1238">
        <v>4</v>
      </c>
      <c r="R1238">
        <v>2</v>
      </c>
      <c r="S1238" t="s">
        <v>136</v>
      </c>
      <c r="T1238">
        <v>3</v>
      </c>
      <c r="U1238" t="s">
        <v>45</v>
      </c>
      <c r="V1238">
        <v>6397</v>
      </c>
      <c r="W1238" t="s">
        <v>162</v>
      </c>
      <c r="X1238">
        <v>10339</v>
      </c>
      <c r="Y1238">
        <v>4</v>
      </c>
      <c r="Z1238" t="s">
        <v>47</v>
      </c>
      <c r="AA1238" t="s">
        <v>39</v>
      </c>
      <c r="AB1238">
        <v>12</v>
      </c>
      <c r="AC1238">
        <v>3</v>
      </c>
      <c r="AD1238">
        <v>4</v>
      </c>
      <c r="AE1238">
        <v>80</v>
      </c>
      <c r="AF1238">
        <v>0</v>
      </c>
      <c r="AG1238">
        <v>8</v>
      </c>
      <c r="AH1238">
        <v>2</v>
      </c>
      <c r="AI1238">
        <v>3</v>
      </c>
      <c r="AJ1238">
        <v>5</v>
      </c>
      <c r="AK1238">
        <v>4</v>
      </c>
      <c r="AL1238">
        <v>1</v>
      </c>
    </row>
    <row r="1239" spans="1:38" x14ac:dyDescent="0.3">
      <c r="A1239" t="s">
        <v>1309</v>
      </c>
      <c r="B1239">
        <v>47</v>
      </c>
      <c r="C1239" t="s">
        <v>1269</v>
      </c>
      <c r="D1239" t="s">
        <v>48</v>
      </c>
      <c r="E1239">
        <f t="shared" si="19"/>
        <v>0</v>
      </c>
      <c r="F1239" t="s">
        <v>40</v>
      </c>
      <c r="G1239">
        <v>202</v>
      </c>
      <c r="H1239" t="s">
        <v>41</v>
      </c>
      <c r="I1239">
        <v>2</v>
      </c>
      <c r="J1239">
        <v>2</v>
      </c>
      <c r="K1239" t="s">
        <v>72</v>
      </c>
      <c r="L1239">
        <v>1</v>
      </c>
      <c r="M1239">
        <v>820</v>
      </c>
      <c r="N1239">
        <v>3</v>
      </c>
      <c r="O1239" t="s">
        <v>52</v>
      </c>
      <c r="P1239">
        <v>33</v>
      </c>
      <c r="Q1239">
        <v>3</v>
      </c>
      <c r="R1239">
        <v>4</v>
      </c>
      <c r="S1239" t="s">
        <v>440</v>
      </c>
      <c r="T1239">
        <v>4</v>
      </c>
      <c r="U1239" t="s">
        <v>104</v>
      </c>
      <c r="V1239">
        <v>16752</v>
      </c>
      <c r="W1239" t="s">
        <v>366</v>
      </c>
      <c r="X1239">
        <v>12982</v>
      </c>
      <c r="Y1239">
        <v>1</v>
      </c>
      <c r="Z1239" t="s">
        <v>47</v>
      </c>
      <c r="AA1239" t="s">
        <v>39</v>
      </c>
      <c r="AB1239">
        <v>11</v>
      </c>
      <c r="AC1239">
        <v>3</v>
      </c>
      <c r="AD1239">
        <v>3</v>
      </c>
      <c r="AE1239">
        <v>80</v>
      </c>
      <c r="AF1239">
        <v>1</v>
      </c>
      <c r="AG1239">
        <v>26</v>
      </c>
      <c r="AH1239">
        <v>3</v>
      </c>
      <c r="AI1239">
        <v>2</v>
      </c>
      <c r="AJ1239">
        <v>26</v>
      </c>
      <c r="AK1239">
        <v>14</v>
      </c>
      <c r="AL1239">
        <v>3</v>
      </c>
    </row>
    <row r="1240" spans="1:38" x14ac:dyDescent="0.3">
      <c r="A1240" t="s">
        <v>1310</v>
      </c>
      <c r="B1240">
        <v>47</v>
      </c>
      <c r="C1240" t="s">
        <v>1269</v>
      </c>
      <c r="D1240" t="s">
        <v>48</v>
      </c>
      <c r="E1240">
        <f t="shared" si="19"/>
        <v>0</v>
      </c>
      <c r="F1240" t="s">
        <v>40</v>
      </c>
      <c r="G1240">
        <v>249</v>
      </c>
      <c r="H1240" t="s">
        <v>50</v>
      </c>
      <c r="I1240">
        <v>2</v>
      </c>
      <c r="J1240">
        <v>2</v>
      </c>
      <c r="K1240" t="s">
        <v>56</v>
      </c>
      <c r="L1240">
        <v>1</v>
      </c>
      <c r="M1240">
        <v>903</v>
      </c>
      <c r="N1240">
        <v>3</v>
      </c>
      <c r="O1240" t="s">
        <v>52</v>
      </c>
      <c r="P1240">
        <v>35</v>
      </c>
      <c r="Q1240">
        <v>3</v>
      </c>
      <c r="R1240">
        <v>2</v>
      </c>
      <c r="S1240" t="s">
        <v>136</v>
      </c>
      <c r="T1240">
        <v>4</v>
      </c>
      <c r="U1240" t="s">
        <v>104</v>
      </c>
      <c r="V1240">
        <v>4537</v>
      </c>
      <c r="W1240" t="s">
        <v>46</v>
      </c>
      <c r="X1240">
        <v>17783</v>
      </c>
      <c r="Y1240">
        <v>0</v>
      </c>
      <c r="Z1240" t="s">
        <v>47</v>
      </c>
      <c r="AA1240" t="s">
        <v>39</v>
      </c>
      <c r="AB1240">
        <v>22</v>
      </c>
      <c r="AC1240">
        <v>4</v>
      </c>
      <c r="AD1240">
        <v>1</v>
      </c>
      <c r="AE1240">
        <v>80</v>
      </c>
      <c r="AF1240">
        <v>1</v>
      </c>
      <c r="AG1240">
        <v>8</v>
      </c>
      <c r="AH1240">
        <v>2</v>
      </c>
      <c r="AI1240">
        <v>3</v>
      </c>
      <c r="AJ1240">
        <v>7</v>
      </c>
      <c r="AK1240">
        <v>6</v>
      </c>
      <c r="AL1240">
        <v>7</v>
      </c>
    </row>
    <row r="1241" spans="1:38" x14ac:dyDescent="0.3">
      <c r="A1241" t="s">
        <v>1311</v>
      </c>
      <c r="B1241">
        <v>47</v>
      </c>
      <c r="C1241" t="s">
        <v>1269</v>
      </c>
      <c r="D1241" t="s">
        <v>48</v>
      </c>
      <c r="E1241">
        <f t="shared" si="19"/>
        <v>0</v>
      </c>
      <c r="F1241" t="s">
        <v>40</v>
      </c>
      <c r="G1241">
        <v>1454</v>
      </c>
      <c r="H1241" t="s">
        <v>50</v>
      </c>
      <c r="I1241">
        <v>2</v>
      </c>
      <c r="J1241">
        <v>4</v>
      </c>
      <c r="K1241" t="s">
        <v>42</v>
      </c>
      <c r="L1241">
        <v>1</v>
      </c>
      <c r="M1241">
        <v>925</v>
      </c>
      <c r="N1241">
        <v>4</v>
      </c>
      <c r="O1241" t="s">
        <v>52</v>
      </c>
      <c r="P1241">
        <v>65</v>
      </c>
      <c r="Q1241">
        <v>2</v>
      </c>
      <c r="R1241">
        <v>1</v>
      </c>
      <c r="S1241" t="s">
        <v>53</v>
      </c>
      <c r="T1241">
        <v>4</v>
      </c>
      <c r="U1241" t="s">
        <v>45</v>
      </c>
      <c r="V1241">
        <v>3294</v>
      </c>
      <c r="W1241" t="s">
        <v>46</v>
      </c>
      <c r="X1241">
        <v>13137</v>
      </c>
      <c r="Y1241">
        <v>1</v>
      </c>
      <c r="Z1241" t="s">
        <v>47</v>
      </c>
      <c r="AA1241" t="s">
        <v>39</v>
      </c>
      <c r="AB1241">
        <v>18</v>
      </c>
      <c r="AC1241">
        <v>3</v>
      </c>
      <c r="AD1241">
        <v>1</v>
      </c>
      <c r="AE1241">
        <v>80</v>
      </c>
      <c r="AF1241">
        <v>0</v>
      </c>
      <c r="AG1241">
        <v>3</v>
      </c>
      <c r="AH1241">
        <v>3</v>
      </c>
      <c r="AI1241">
        <v>2</v>
      </c>
      <c r="AJ1241">
        <v>3</v>
      </c>
      <c r="AK1241">
        <v>2</v>
      </c>
      <c r="AL1241">
        <v>1</v>
      </c>
    </row>
    <row r="1242" spans="1:38" x14ac:dyDescent="0.3">
      <c r="A1242" t="s">
        <v>1312</v>
      </c>
      <c r="B1242">
        <v>47</v>
      </c>
      <c r="C1242" t="s">
        <v>1269</v>
      </c>
      <c r="D1242" t="s">
        <v>48</v>
      </c>
      <c r="E1242">
        <f t="shared" si="19"/>
        <v>0</v>
      </c>
      <c r="F1242" t="s">
        <v>55</v>
      </c>
      <c r="G1242">
        <v>1379</v>
      </c>
      <c r="H1242" t="s">
        <v>41</v>
      </c>
      <c r="I1242">
        <v>16</v>
      </c>
      <c r="J1242">
        <v>4</v>
      </c>
      <c r="K1242" t="s">
        <v>51</v>
      </c>
      <c r="L1242">
        <v>1</v>
      </c>
      <c r="M1242">
        <v>987</v>
      </c>
      <c r="N1242">
        <v>3</v>
      </c>
      <c r="O1242" t="s">
        <v>43</v>
      </c>
      <c r="P1242">
        <v>64</v>
      </c>
      <c r="Q1242">
        <v>4</v>
      </c>
      <c r="R1242">
        <v>2</v>
      </c>
      <c r="S1242" t="s">
        <v>111</v>
      </c>
      <c r="T1242">
        <v>3</v>
      </c>
      <c r="U1242" t="s">
        <v>101</v>
      </c>
      <c r="V1242">
        <v>5067</v>
      </c>
      <c r="W1242" t="s">
        <v>162</v>
      </c>
      <c r="X1242">
        <v>6759</v>
      </c>
      <c r="Y1242">
        <v>1</v>
      </c>
      <c r="Z1242" t="s">
        <v>47</v>
      </c>
      <c r="AA1242" t="s">
        <v>39</v>
      </c>
      <c r="AB1242">
        <v>19</v>
      </c>
      <c r="AC1242">
        <v>3</v>
      </c>
      <c r="AD1242">
        <v>3</v>
      </c>
      <c r="AE1242">
        <v>80</v>
      </c>
      <c r="AF1242">
        <v>0</v>
      </c>
      <c r="AG1242">
        <v>20</v>
      </c>
      <c r="AH1242">
        <v>3</v>
      </c>
      <c r="AI1242">
        <v>4</v>
      </c>
      <c r="AJ1242">
        <v>19</v>
      </c>
      <c r="AK1242">
        <v>10</v>
      </c>
      <c r="AL1242">
        <v>2</v>
      </c>
    </row>
    <row r="1243" spans="1:38" x14ac:dyDescent="0.3">
      <c r="A1243" t="s">
        <v>1313</v>
      </c>
      <c r="B1243">
        <v>47</v>
      </c>
      <c r="C1243" t="s">
        <v>1269</v>
      </c>
      <c r="D1243" t="s">
        <v>48</v>
      </c>
      <c r="E1243">
        <f t="shared" si="19"/>
        <v>0</v>
      </c>
      <c r="F1243" t="s">
        <v>40</v>
      </c>
      <c r="G1243">
        <v>955</v>
      </c>
      <c r="H1243" t="s">
        <v>50</v>
      </c>
      <c r="I1243">
        <v>4</v>
      </c>
      <c r="J1243">
        <v>2</v>
      </c>
      <c r="K1243" t="s">
        <v>42</v>
      </c>
      <c r="L1243">
        <v>1</v>
      </c>
      <c r="M1243">
        <v>1003</v>
      </c>
      <c r="N1243">
        <v>4</v>
      </c>
      <c r="O1243" t="s">
        <v>52</v>
      </c>
      <c r="P1243">
        <v>83</v>
      </c>
      <c r="Q1243">
        <v>3</v>
      </c>
      <c r="R1243">
        <v>2</v>
      </c>
      <c r="S1243" t="s">
        <v>136</v>
      </c>
      <c r="T1243">
        <v>4</v>
      </c>
      <c r="U1243" t="s">
        <v>45</v>
      </c>
      <c r="V1243">
        <v>4163</v>
      </c>
      <c r="W1243" t="s">
        <v>46</v>
      </c>
      <c r="X1243">
        <v>8571</v>
      </c>
      <c r="Y1243">
        <v>1</v>
      </c>
      <c r="Z1243" t="s">
        <v>47</v>
      </c>
      <c r="AA1243" t="s">
        <v>39</v>
      </c>
      <c r="AB1243">
        <v>17</v>
      </c>
      <c r="AC1243">
        <v>3</v>
      </c>
      <c r="AD1243">
        <v>3</v>
      </c>
      <c r="AE1243">
        <v>80</v>
      </c>
      <c r="AF1243">
        <v>0</v>
      </c>
      <c r="AG1243">
        <v>9</v>
      </c>
      <c r="AH1243">
        <v>0</v>
      </c>
      <c r="AI1243">
        <v>3</v>
      </c>
      <c r="AJ1243">
        <v>9</v>
      </c>
      <c r="AK1243">
        <v>0</v>
      </c>
      <c r="AL1243">
        <v>0</v>
      </c>
    </row>
    <row r="1244" spans="1:38" x14ac:dyDescent="0.3">
      <c r="A1244" t="s">
        <v>1314</v>
      </c>
      <c r="B1244">
        <v>47</v>
      </c>
      <c r="C1244" t="s">
        <v>1269</v>
      </c>
      <c r="D1244" t="s">
        <v>48</v>
      </c>
      <c r="E1244">
        <f t="shared" si="19"/>
        <v>0</v>
      </c>
      <c r="F1244" t="s">
        <v>40</v>
      </c>
      <c r="G1244">
        <v>465</v>
      </c>
      <c r="H1244" t="s">
        <v>41</v>
      </c>
      <c r="I1244">
        <v>1</v>
      </c>
      <c r="J1244">
        <v>3</v>
      </c>
      <c r="K1244" t="s">
        <v>67</v>
      </c>
      <c r="L1244">
        <v>1</v>
      </c>
      <c r="M1244">
        <v>1438</v>
      </c>
      <c r="N1244">
        <v>1</v>
      </c>
      <c r="O1244" t="s">
        <v>43</v>
      </c>
      <c r="P1244">
        <v>74</v>
      </c>
      <c r="Q1244">
        <v>3</v>
      </c>
      <c r="R1244">
        <v>1</v>
      </c>
      <c r="S1244" t="s">
        <v>59</v>
      </c>
      <c r="T1244">
        <v>4</v>
      </c>
      <c r="U1244" t="s">
        <v>104</v>
      </c>
      <c r="V1244">
        <v>3420</v>
      </c>
      <c r="W1244" t="s">
        <v>46</v>
      </c>
      <c r="X1244">
        <v>10205</v>
      </c>
      <c r="Y1244">
        <v>7</v>
      </c>
      <c r="Z1244" t="s">
        <v>47</v>
      </c>
      <c r="AA1244" t="s">
        <v>48</v>
      </c>
      <c r="AB1244">
        <v>12</v>
      </c>
      <c r="AC1244">
        <v>3</v>
      </c>
      <c r="AD1244">
        <v>3</v>
      </c>
      <c r="AE1244">
        <v>80</v>
      </c>
      <c r="AF1244">
        <v>1</v>
      </c>
      <c r="AG1244">
        <v>17</v>
      </c>
      <c r="AH1244">
        <v>2</v>
      </c>
      <c r="AI1244">
        <v>2</v>
      </c>
      <c r="AJ1244">
        <v>6</v>
      </c>
      <c r="AK1244">
        <v>5</v>
      </c>
      <c r="AL1244">
        <v>1</v>
      </c>
    </row>
    <row r="1245" spans="1:38" x14ac:dyDescent="0.3">
      <c r="A1245" t="s">
        <v>1315</v>
      </c>
      <c r="B1245">
        <v>47</v>
      </c>
      <c r="C1245" t="s">
        <v>1269</v>
      </c>
      <c r="D1245" t="s">
        <v>48</v>
      </c>
      <c r="E1245">
        <f t="shared" si="19"/>
        <v>0</v>
      </c>
      <c r="F1245" t="s">
        <v>40</v>
      </c>
      <c r="G1245">
        <v>359</v>
      </c>
      <c r="H1245" t="s">
        <v>41</v>
      </c>
      <c r="I1245">
        <v>2</v>
      </c>
      <c r="J1245">
        <v>4</v>
      </c>
      <c r="K1245" t="s">
        <v>51</v>
      </c>
      <c r="L1245">
        <v>1</v>
      </c>
      <c r="M1245">
        <v>1443</v>
      </c>
      <c r="N1245">
        <v>1</v>
      </c>
      <c r="O1245" t="s">
        <v>52</v>
      </c>
      <c r="P1245">
        <v>82</v>
      </c>
      <c r="Q1245">
        <v>3</v>
      </c>
      <c r="R1245">
        <v>4</v>
      </c>
      <c r="S1245" t="s">
        <v>251</v>
      </c>
      <c r="T1245">
        <v>3</v>
      </c>
      <c r="U1245" t="s">
        <v>104</v>
      </c>
      <c r="V1245">
        <v>17169</v>
      </c>
      <c r="W1245" t="s">
        <v>366</v>
      </c>
      <c r="X1245">
        <v>26703</v>
      </c>
      <c r="Y1245">
        <v>3</v>
      </c>
      <c r="Z1245" t="s">
        <v>47</v>
      </c>
      <c r="AA1245" t="s">
        <v>48</v>
      </c>
      <c r="AB1245">
        <v>19</v>
      </c>
      <c r="AC1245">
        <v>3</v>
      </c>
      <c r="AD1245">
        <v>2</v>
      </c>
      <c r="AE1245">
        <v>80</v>
      </c>
      <c r="AF1245">
        <v>2</v>
      </c>
      <c r="AG1245">
        <v>26</v>
      </c>
      <c r="AH1245">
        <v>2</v>
      </c>
      <c r="AI1245">
        <v>4</v>
      </c>
      <c r="AJ1245">
        <v>20</v>
      </c>
      <c r="AK1245">
        <v>17</v>
      </c>
      <c r="AL1245">
        <v>5</v>
      </c>
    </row>
    <row r="1246" spans="1:38" x14ac:dyDescent="0.3">
      <c r="A1246" t="s">
        <v>1316</v>
      </c>
      <c r="B1246">
        <v>47</v>
      </c>
      <c r="C1246" t="s">
        <v>1269</v>
      </c>
      <c r="D1246" t="s">
        <v>48</v>
      </c>
      <c r="E1246">
        <f t="shared" si="19"/>
        <v>0</v>
      </c>
      <c r="F1246" t="s">
        <v>40</v>
      </c>
      <c r="G1246">
        <v>571</v>
      </c>
      <c r="H1246" t="s">
        <v>50</v>
      </c>
      <c r="I1246">
        <v>14</v>
      </c>
      <c r="J1246">
        <v>3</v>
      </c>
      <c r="K1246" t="s">
        <v>51</v>
      </c>
      <c r="L1246">
        <v>1</v>
      </c>
      <c r="M1246">
        <v>1503</v>
      </c>
      <c r="N1246">
        <v>3</v>
      </c>
      <c r="O1246" t="s">
        <v>52</v>
      </c>
      <c r="P1246">
        <v>78</v>
      </c>
      <c r="Q1246">
        <v>3</v>
      </c>
      <c r="R1246">
        <v>2</v>
      </c>
      <c r="S1246" t="s">
        <v>136</v>
      </c>
      <c r="T1246">
        <v>3</v>
      </c>
      <c r="U1246" t="s">
        <v>104</v>
      </c>
      <c r="V1246">
        <v>4591</v>
      </c>
      <c r="W1246" t="s">
        <v>46</v>
      </c>
      <c r="X1246">
        <v>24200</v>
      </c>
      <c r="Y1246">
        <v>3</v>
      </c>
      <c r="Z1246" t="s">
        <v>47</v>
      </c>
      <c r="AA1246" t="s">
        <v>39</v>
      </c>
      <c r="AB1246">
        <v>17</v>
      </c>
      <c r="AC1246">
        <v>3</v>
      </c>
      <c r="AD1246">
        <v>3</v>
      </c>
      <c r="AE1246">
        <v>80</v>
      </c>
      <c r="AF1246">
        <v>1</v>
      </c>
      <c r="AG1246">
        <v>11</v>
      </c>
      <c r="AH1246">
        <v>4</v>
      </c>
      <c r="AI1246">
        <v>2</v>
      </c>
      <c r="AJ1246">
        <v>5</v>
      </c>
      <c r="AK1246">
        <v>4</v>
      </c>
      <c r="AL1246">
        <v>1</v>
      </c>
    </row>
    <row r="1247" spans="1:38" x14ac:dyDescent="0.3">
      <c r="A1247" t="s">
        <v>1317</v>
      </c>
      <c r="B1247">
        <v>47</v>
      </c>
      <c r="C1247" t="s">
        <v>1269</v>
      </c>
      <c r="D1247" t="s">
        <v>48</v>
      </c>
      <c r="E1247">
        <f t="shared" si="19"/>
        <v>0</v>
      </c>
      <c r="F1247" t="s">
        <v>40</v>
      </c>
      <c r="G1247">
        <v>1176</v>
      </c>
      <c r="H1247" t="s">
        <v>70</v>
      </c>
      <c r="I1247">
        <v>26</v>
      </c>
      <c r="J1247">
        <v>4</v>
      </c>
      <c r="K1247" t="s">
        <v>42</v>
      </c>
      <c r="L1247">
        <v>1</v>
      </c>
      <c r="M1247">
        <v>1625</v>
      </c>
      <c r="N1247">
        <v>4</v>
      </c>
      <c r="O1247" t="s">
        <v>52</v>
      </c>
      <c r="P1247">
        <v>98</v>
      </c>
      <c r="Q1247">
        <v>3</v>
      </c>
      <c r="R1247">
        <v>5</v>
      </c>
      <c r="S1247" t="s">
        <v>440</v>
      </c>
      <c r="T1247">
        <v>3</v>
      </c>
      <c r="U1247" t="s">
        <v>104</v>
      </c>
      <c r="V1247">
        <v>19658</v>
      </c>
      <c r="W1247" t="s">
        <v>366</v>
      </c>
      <c r="X1247">
        <v>5220</v>
      </c>
      <c r="Y1247">
        <v>3</v>
      </c>
      <c r="Z1247" t="s">
        <v>47</v>
      </c>
      <c r="AA1247" t="s">
        <v>48</v>
      </c>
      <c r="AB1247">
        <v>11</v>
      </c>
      <c r="AC1247">
        <v>3</v>
      </c>
      <c r="AD1247">
        <v>3</v>
      </c>
      <c r="AE1247">
        <v>80</v>
      </c>
      <c r="AF1247">
        <v>1</v>
      </c>
      <c r="AG1247">
        <v>27</v>
      </c>
      <c r="AH1247">
        <v>2</v>
      </c>
      <c r="AI1247">
        <v>3</v>
      </c>
      <c r="AJ1247">
        <v>5</v>
      </c>
      <c r="AK1247">
        <v>2</v>
      </c>
      <c r="AL1247">
        <v>1</v>
      </c>
    </row>
    <row r="1248" spans="1:38" x14ac:dyDescent="0.3">
      <c r="A1248" t="s">
        <v>1318</v>
      </c>
      <c r="B1248">
        <v>47</v>
      </c>
      <c r="C1248" t="s">
        <v>1269</v>
      </c>
      <c r="D1248" t="s">
        <v>48</v>
      </c>
      <c r="E1248">
        <f t="shared" si="19"/>
        <v>0</v>
      </c>
      <c r="F1248" t="s">
        <v>40</v>
      </c>
      <c r="G1248">
        <v>1225</v>
      </c>
      <c r="H1248" t="s">
        <v>50</v>
      </c>
      <c r="I1248">
        <v>2</v>
      </c>
      <c r="J1248">
        <v>4</v>
      </c>
      <c r="K1248" t="s">
        <v>42</v>
      </c>
      <c r="L1248">
        <v>1</v>
      </c>
      <c r="M1248">
        <v>1676</v>
      </c>
      <c r="N1248">
        <v>2</v>
      </c>
      <c r="O1248" t="s">
        <v>52</v>
      </c>
      <c r="P1248">
        <v>47</v>
      </c>
      <c r="Q1248">
        <v>4</v>
      </c>
      <c r="R1248">
        <v>4</v>
      </c>
      <c r="S1248" t="s">
        <v>440</v>
      </c>
      <c r="T1248">
        <v>2</v>
      </c>
      <c r="U1248" t="s">
        <v>101</v>
      </c>
      <c r="V1248">
        <v>15972</v>
      </c>
      <c r="W1248" t="s">
        <v>366</v>
      </c>
      <c r="X1248">
        <v>21086</v>
      </c>
      <c r="Y1248">
        <v>6</v>
      </c>
      <c r="Z1248" t="s">
        <v>47</v>
      </c>
      <c r="AA1248" t="s">
        <v>48</v>
      </c>
      <c r="AB1248">
        <v>14</v>
      </c>
      <c r="AC1248">
        <v>3</v>
      </c>
      <c r="AD1248">
        <v>3</v>
      </c>
      <c r="AE1248">
        <v>80</v>
      </c>
      <c r="AF1248">
        <v>3</v>
      </c>
      <c r="AG1248">
        <v>29</v>
      </c>
      <c r="AH1248">
        <v>2</v>
      </c>
      <c r="AI1248">
        <v>3</v>
      </c>
      <c r="AJ1248">
        <v>3</v>
      </c>
      <c r="AK1248">
        <v>2</v>
      </c>
      <c r="AL1248">
        <v>1</v>
      </c>
    </row>
    <row r="1249" spans="1:38" x14ac:dyDescent="0.3">
      <c r="A1249" t="s">
        <v>1319</v>
      </c>
      <c r="B1249">
        <v>47</v>
      </c>
      <c r="C1249" t="s">
        <v>1269</v>
      </c>
      <c r="D1249" t="s">
        <v>39</v>
      </c>
      <c r="E1249">
        <f t="shared" si="19"/>
        <v>1</v>
      </c>
      <c r="F1249" t="s">
        <v>55</v>
      </c>
      <c r="G1249">
        <v>1093</v>
      </c>
      <c r="H1249" t="s">
        <v>50</v>
      </c>
      <c r="I1249">
        <v>9</v>
      </c>
      <c r="J1249">
        <v>3</v>
      </c>
      <c r="K1249" t="s">
        <v>42</v>
      </c>
      <c r="L1249">
        <v>1</v>
      </c>
      <c r="M1249">
        <v>1716</v>
      </c>
      <c r="N1249">
        <v>3</v>
      </c>
      <c r="O1249" t="s">
        <v>43</v>
      </c>
      <c r="P1249">
        <v>82</v>
      </c>
      <c r="Q1249">
        <v>1</v>
      </c>
      <c r="R1249">
        <v>4</v>
      </c>
      <c r="S1249" t="s">
        <v>136</v>
      </c>
      <c r="T1249">
        <v>3</v>
      </c>
      <c r="U1249" t="s">
        <v>104</v>
      </c>
      <c r="V1249">
        <v>12936</v>
      </c>
      <c r="W1249" t="s">
        <v>252</v>
      </c>
      <c r="X1249">
        <v>24164</v>
      </c>
      <c r="Y1249">
        <v>7</v>
      </c>
      <c r="Z1249" t="s">
        <v>47</v>
      </c>
      <c r="AA1249" t="s">
        <v>48</v>
      </c>
      <c r="AB1249">
        <v>11</v>
      </c>
      <c r="AC1249">
        <v>3</v>
      </c>
      <c r="AD1249">
        <v>3</v>
      </c>
      <c r="AE1249">
        <v>80</v>
      </c>
      <c r="AF1249">
        <v>0</v>
      </c>
      <c r="AG1249">
        <v>25</v>
      </c>
      <c r="AH1249">
        <v>3</v>
      </c>
      <c r="AI1249">
        <v>1</v>
      </c>
      <c r="AJ1249">
        <v>23</v>
      </c>
      <c r="AK1249">
        <v>5</v>
      </c>
      <c r="AL1249">
        <v>14</v>
      </c>
    </row>
    <row r="1250" spans="1:38" x14ac:dyDescent="0.3">
      <c r="A1250" t="s">
        <v>1320</v>
      </c>
      <c r="B1250">
        <v>47</v>
      </c>
      <c r="C1250" t="s">
        <v>1269</v>
      </c>
      <c r="D1250" t="s">
        <v>48</v>
      </c>
      <c r="E1250">
        <f t="shared" si="19"/>
        <v>0</v>
      </c>
      <c r="F1250" t="s">
        <v>58</v>
      </c>
      <c r="G1250">
        <v>543</v>
      </c>
      <c r="H1250" t="s">
        <v>50</v>
      </c>
      <c r="I1250">
        <v>2</v>
      </c>
      <c r="J1250">
        <v>4</v>
      </c>
      <c r="K1250" t="s">
        <v>56</v>
      </c>
      <c r="L1250">
        <v>1</v>
      </c>
      <c r="M1250">
        <v>1731</v>
      </c>
      <c r="N1250">
        <v>3</v>
      </c>
      <c r="O1250" t="s">
        <v>43</v>
      </c>
      <c r="P1250">
        <v>87</v>
      </c>
      <c r="Q1250">
        <v>3</v>
      </c>
      <c r="R1250">
        <v>2</v>
      </c>
      <c r="S1250" t="s">
        <v>136</v>
      </c>
      <c r="T1250">
        <v>2</v>
      </c>
      <c r="U1250" t="s">
        <v>104</v>
      </c>
      <c r="V1250">
        <v>4978</v>
      </c>
      <c r="W1250" t="s">
        <v>46</v>
      </c>
      <c r="X1250">
        <v>3536</v>
      </c>
      <c r="Y1250">
        <v>7</v>
      </c>
      <c r="Z1250" t="s">
        <v>47</v>
      </c>
      <c r="AA1250" t="s">
        <v>48</v>
      </c>
      <c r="AB1250">
        <v>11</v>
      </c>
      <c r="AC1250">
        <v>3</v>
      </c>
      <c r="AD1250">
        <v>4</v>
      </c>
      <c r="AE1250">
        <v>80</v>
      </c>
      <c r="AF1250">
        <v>1</v>
      </c>
      <c r="AG1250">
        <v>4</v>
      </c>
      <c r="AH1250">
        <v>3</v>
      </c>
      <c r="AI1250">
        <v>1</v>
      </c>
      <c r="AJ1250">
        <v>1</v>
      </c>
      <c r="AK1250">
        <v>0</v>
      </c>
      <c r="AL1250">
        <v>0</v>
      </c>
    </row>
    <row r="1251" spans="1:38" x14ac:dyDescent="0.3">
      <c r="A1251" t="s">
        <v>1321</v>
      </c>
      <c r="B1251">
        <v>47</v>
      </c>
      <c r="C1251" t="s">
        <v>1269</v>
      </c>
      <c r="D1251" t="s">
        <v>48</v>
      </c>
      <c r="E1251">
        <f t="shared" si="19"/>
        <v>0</v>
      </c>
      <c r="F1251" t="s">
        <v>40</v>
      </c>
      <c r="G1251">
        <v>1001</v>
      </c>
      <c r="H1251" t="s">
        <v>41</v>
      </c>
      <c r="I1251">
        <v>4</v>
      </c>
      <c r="J1251">
        <v>3</v>
      </c>
      <c r="K1251" t="s">
        <v>42</v>
      </c>
      <c r="L1251">
        <v>1</v>
      </c>
      <c r="M1251">
        <v>1827</v>
      </c>
      <c r="N1251">
        <v>3</v>
      </c>
      <c r="O1251" t="s">
        <v>52</v>
      </c>
      <c r="P1251">
        <v>92</v>
      </c>
      <c r="Q1251">
        <v>2</v>
      </c>
      <c r="R1251">
        <v>3</v>
      </c>
      <c r="S1251" t="s">
        <v>111</v>
      </c>
      <c r="T1251">
        <v>2</v>
      </c>
      <c r="U1251" t="s">
        <v>101</v>
      </c>
      <c r="V1251">
        <v>10333</v>
      </c>
      <c r="W1251" t="s">
        <v>252</v>
      </c>
      <c r="X1251">
        <v>19271</v>
      </c>
      <c r="Y1251">
        <v>8</v>
      </c>
      <c r="Z1251" t="s">
        <v>47</v>
      </c>
      <c r="AA1251" t="s">
        <v>39</v>
      </c>
      <c r="AB1251">
        <v>12</v>
      </c>
      <c r="AC1251">
        <v>3</v>
      </c>
      <c r="AD1251">
        <v>3</v>
      </c>
      <c r="AE1251">
        <v>80</v>
      </c>
      <c r="AF1251">
        <v>1</v>
      </c>
      <c r="AG1251">
        <v>28</v>
      </c>
      <c r="AH1251">
        <v>4</v>
      </c>
      <c r="AI1251">
        <v>3</v>
      </c>
      <c r="AJ1251">
        <v>22</v>
      </c>
      <c r="AK1251">
        <v>11</v>
      </c>
      <c r="AL1251">
        <v>14</v>
      </c>
    </row>
    <row r="1252" spans="1:38" x14ac:dyDescent="0.3">
      <c r="A1252" t="s">
        <v>1322</v>
      </c>
      <c r="B1252">
        <v>47</v>
      </c>
      <c r="C1252" t="s">
        <v>1269</v>
      </c>
      <c r="D1252" t="s">
        <v>48</v>
      </c>
      <c r="E1252">
        <f t="shared" si="19"/>
        <v>0</v>
      </c>
      <c r="F1252" t="s">
        <v>40</v>
      </c>
      <c r="G1252">
        <v>207</v>
      </c>
      <c r="H1252" t="s">
        <v>41</v>
      </c>
      <c r="I1252">
        <v>9</v>
      </c>
      <c r="J1252">
        <v>4</v>
      </c>
      <c r="K1252" t="s">
        <v>42</v>
      </c>
      <c r="L1252">
        <v>1</v>
      </c>
      <c r="M1252">
        <v>1856</v>
      </c>
      <c r="N1252">
        <v>2</v>
      </c>
      <c r="O1252" t="s">
        <v>52</v>
      </c>
      <c r="P1252">
        <v>64</v>
      </c>
      <c r="Q1252">
        <v>3</v>
      </c>
      <c r="R1252">
        <v>1</v>
      </c>
      <c r="S1252" t="s">
        <v>44</v>
      </c>
      <c r="T1252">
        <v>3</v>
      </c>
      <c r="U1252" t="s">
        <v>45</v>
      </c>
      <c r="V1252">
        <v>2105</v>
      </c>
      <c r="W1252" t="s">
        <v>46</v>
      </c>
      <c r="X1252">
        <v>5411</v>
      </c>
      <c r="Y1252">
        <v>4</v>
      </c>
      <c r="Z1252" t="s">
        <v>47</v>
      </c>
      <c r="AA1252" t="s">
        <v>48</v>
      </c>
      <c r="AB1252">
        <v>12</v>
      </c>
      <c r="AC1252">
        <v>3</v>
      </c>
      <c r="AD1252">
        <v>3</v>
      </c>
      <c r="AE1252">
        <v>80</v>
      </c>
      <c r="AF1252">
        <v>0</v>
      </c>
      <c r="AG1252">
        <v>7</v>
      </c>
      <c r="AH1252">
        <v>2</v>
      </c>
      <c r="AI1252">
        <v>3</v>
      </c>
      <c r="AJ1252">
        <v>2</v>
      </c>
      <c r="AK1252">
        <v>2</v>
      </c>
      <c r="AL1252">
        <v>2</v>
      </c>
    </row>
    <row r="1253" spans="1:38" x14ac:dyDescent="0.3">
      <c r="A1253" t="s">
        <v>1323</v>
      </c>
      <c r="B1253">
        <v>47</v>
      </c>
      <c r="C1253" t="s">
        <v>1269</v>
      </c>
      <c r="D1253" t="s">
        <v>48</v>
      </c>
      <c r="E1253">
        <f t="shared" si="19"/>
        <v>0</v>
      </c>
      <c r="F1253" t="s">
        <v>58</v>
      </c>
      <c r="G1253">
        <v>1169</v>
      </c>
      <c r="H1253" t="s">
        <v>41</v>
      </c>
      <c r="I1253">
        <v>14</v>
      </c>
      <c r="J1253">
        <v>4</v>
      </c>
      <c r="K1253" t="s">
        <v>67</v>
      </c>
      <c r="L1253">
        <v>1</v>
      </c>
      <c r="M1253">
        <v>1934</v>
      </c>
      <c r="N1253">
        <v>3</v>
      </c>
      <c r="O1253" t="s">
        <v>43</v>
      </c>
      <c r="P1253">
        <v>64</v>
      </c>
      <c r="Q1253">
        <v>3</v>
      </c>
      <c r="R1253">
        <v>2</v>
      </c>
      <c r="S1253" t="s">
        <v>59</v>
      </c>
      <c r="T1253">
        <v>2</v>
      </c>
      <c r="U1253" t="s">
        <v>104</v>
      </c>
      <c r="V1253">
        <v>5467</v>
      </c>
      <c r="W1253" t="s">
        <v>162</v>
      </c>
      <c r="X1253">
        <v>2125</v>
      </c>
      <c r="Y1253">
        <v>8</v>
      </c>
      <c r="Z1253" t="s">
        <v>47</v>
      </c>
      <c r="AA1253" t="s">
        <v>48</v>
      </c>
      <c r="AB1253">
        <v>18</v>
      </c>
      <c r="AC1253">
        <v>3</v>
      </c>
      <c r="AD1253">
        <v>3</v>
      </c>
      <c r="AE1253">
        <v>80</v>
      </c>
      <c r="AF1253">
        <v>1</v>
      </c>
      <c r="AG1253">
        <v>16</v>
      </c>
      <c r="AH1253">
        <v>4</v>
      </c>
      <c r="AI1253">
        <v>4</v>
      </c>
      <c r="AJ1253">
        <v>8</v>
      </c>
      <c r="AK1253">
        <v>7</v>
      </c>
      <c r="AL1253">
        <v>1</v>
      </c>
    </row>
    <row r="1254" spans="1:38" x14ac:dyDescent="0.3">
      <c r="A1254" t="s">
        <v>1324</v>
      </c>
      <c r="B1254">
        <v>47</v>
      </c>
      <c r="C1254" t="s">
        <v>1269</v>
      </c>
      <c r="D1254" t="s">
        <v>48</v>
      </c>
      <c r="E1254">
        <f t="shared" si="19"/>
        <v>0</v>
      </c>
      <c r="F1254" t="s">
        <v>40</v>
      </c>
      <c r="G1254">
        <v>1180</v>
      </c>
      <c r="H1254" t="s">
        <v>41</v>
      </c>
      <c r="I1254">
        <v>25</v>
      </c>
      <c r="J1254">
        <v>3</v>
      </c>
      <c r="K1254" t="s">
        <v>51</v>
      </c>
      <c r="L1254">
        <v>1</v>
      </c>
      <c r="M1254">
        <v>1993</v>
      </c>
      <c r="N1254">
        <v>1</v>
      </c>
      <c r="O1254" t="s">
        <v>43</v>
      </c>
      <c r="P1254">
        <v>84</v>
      </c>
      <c r="Q1254">
        <v>3</v>
      </c>
      <c r="R1254">
        <v>3</v>
      </c>
      <c r="S1254" t="s">
        <v>160</v>
      </c>
      <c r="T1254">
        <v>3</v>
      </c>
      <c r="U1254" t="s">
        <v>45</v>
      </c>
      <c r="V1254">
        <v>8633</v>
      </c>
      <c r="W1254" t="s">
        <v>162</v>
      </c>
      <c r="X1254">
        <v>13084</v>
      </c>
      <c r="Y1254">
        <v>2</v>
      </c>
      <c r="Z1254" t="s">
        <v>47</v>
      </c>
      <c r="AA1254" t="s">
        <v>48</v>
      </c>
      <c r="AB1254">
        <v>23</v>
      </c>
      <c r="AC1254">
        <v>4</v>
      </c>
      <c r="AD1254">
        <v>2</v>
      </c>
      <c r="AE1254">
        <v>80</v>
      </c>
      <c r="AF1254">
        <v>0</v>
      </c>
      <c r="AG1254">
        <v>25</v>
      </c>
      <c r="AH1254">
        <v>3</v>
      </c>
      <c r="AI1254">
        <v>3</v>
      </c>
      <c r="AJ1254">
        <v>17</v>
      </c>
      <c r="AK1254">
        <v>14</v>
      </c>
      <c r="AL1254">
        <v>12</v>
      </c>
    </row>
    <row r="1255" spans="1:38" x14ac:dyDescent="0.3">
      <c r="A1255" t="s">
        <v>1325</v>
      </c>
      <c r="B1255">
        <v>47</v>
      </c>
      <c r="C1255" t="s">
        <v>1269</v>
      </c>
      <c r="D1255" t="s">
        <v>48</v>
      </c>
      <c r="E1255">
        <f t="shared" si="19"/>
        <v>0</v>
      </c>
      <c r="F1255" t="s">
        <v>58</v>
      </c>
      <c r="G1255">
        <v>1162</v>
      </c>
      <c r="H1255" t="s">
        <v>41</v>
      </c>
      <c r="I1255">
        <v>1</v>
      </c>
      <c r="J1255">
        <v>1</v>
      </c>
      <c r="K1255" t="s">
        <v>51</v>
      </c>
      <c r="L1255">
        <v>1</v>
      </c>
      <c r="M1255">
        <v>2000</v>
      </c>
      <c r="N1255">
        <v>3</v>
      </c>
      <c r="O1255" t="s">
        <v>52</v>
      </c>
      <c r="P1255">
        <v>98</v>
      </c>
      <c r="Q1255">
        <v>3</v>
      </c>
      <c r="R1255">
        <v>3</v>
      </c>
      <c r="S1255" t="s">
        <v>251</v>
      </c>
      <c r="T1255">
        <v>2</v>
      </c>
      <c r="U1255" t="s">
        <v>104</v>
      </c>
      <c r="V1255">
        <v>11957</v>
      </c>
      <c r="W1255" t="s">
        <v>252</v>
      </c>
      <c r="X1255">
        <v>17231</v>
      </c>
      <c r="Y1255">
        <v>0</v>
      </c>
      <c r="Z1255" t="s">
        <v>47</v>
      </c>
      <c r="AA1255" t="s">
        <v>48</v>
      </c>
      <c r="AB1255">
        <v>18</v>
      </c>
      <c r="AC1255">
        <v>3</v>
      </c>
      <c r="AD1255">
        <v>1</v>
      </c>
      <c r="AE1255">
        <v>80</v>
      </c>
      <c r="AF1255">
        <v>2</v>
      </c>
      <c r="AG1255">
        <v>14</v>
      </c>
      <c r="AH1255">
        <v>3</v>
      </c>
      <c r="AI1255">
        <v>1</v>
      </c>
      <c r="AJ1255">
        <v>13</v>
      </c>
      <c r="AK1255">
        <v>8</v>
      </c>
      <c r="AL1255">
        <v>5</v>
      </c>
    </row>
    <row r="1256" spans="1:38" x14ac:dyDescent="0.3">
      <c r="A1256" t="s">
        <v>1326</v>
      </c>
      <c r="B1256">
        <v>48</v>
      </c>
      <c r="C1256" t="s">
        <v>1269</v>
      </c>
      <c r="D1256" t="s">
        <v>39</v>
      </c>
      <c r="E1256">
        <f t="shared" si="19"/>
        <v>1</v>
      </c>
      <c r="F1256" t="s">
        <v>40</v>
      </c>
      <c r="G1256">
        <v>626</v>
      </c>
      <c r="H1256" t="s">
        <v>41</v>
      </c>
      <c r="I1256">
        <v>1</v>
      </c>
      <c r="J1256">
        <v>2</v>
      </c>
      <c r="K1256" t="s">
        <v>42</v>
      </c>
      <c r="L1256">
        <v>1</v>
      </c>
      <c r="M1256">
        <v>64</v>
      </c>
      <c r="N1256">
        <v>1</v>
      </c>
      <c r="O1256" t="s">
        <v>43</v>
      </c>
      <c r="P1256">
        <v>98</v>
      </c>
      <c r="Q1256">
        <v>2</v>
      </c>
      <c r="R1256">
        <v>3</v>
      </c>
      <c r="S1256" t="s">
        <v>44</v>
      </c>
      <c r="T1256">
        <v>3</v>
      </c>
      <c r="U1256" t="s">
        <v>45</v>
      </c>
      <c r="V1256">
        <v>5381</v>
      </c>
      <c r="W1256" t="s">
        <v>162</v>
      </c>
      <c r="X1256">
        <v>19294</v>
      </c>
      <c r="Y1256">
        <v>9</v>
      </c>
      <c r="Z1256" t="s">
        <v>47</v>
      </c>
      <c r="AA1256" t="s">
        <v>39</v>
      </c>
      <c r="AB1256">
        <v>13</v>
      </c>
      <c r="AC1256">
        <v>3</v>
      </c>
      <c r="AD1256">
        <v>4</v>
      </c>
      <c r="AE1256">
        <v>80</v>
      </c>
      <c r="AF1256">
        <v>0</v>
      </c>
      <c r="AG1256">
        <v>23</v>
      </c>
      <c r="AH1256">
        <v>2</v>
      </c>
      <c r="AI1256">
        <v>3</v>
      </c>
      <c r="AJ1256">
        <v>1</v>
      </c>
      <c r="AK1256">
        <v>0</v>
      </c>
      <c r="AL1256">
        <v>0</v>
      </c>
    </row>
    <row r="1257" spans="1:38" x14ac:dyDescent="0.3">
      <c r="A1257" t="s">
        <v>1327</v>
      </c>
      <c r="B1257">
        <v>48</v>
      </c>
      <c r="C1257" t="s">
        <v>1269</v>
      </c>
      <c r="D1257" t="s">
        <v>48</v>
      </c>
      <c r="E1257">
        <f t="shared" si="19"/>
        <v>0</v>
      </c>
      <c r="F1257" t="s">
        <v>40</v>
      </c>
      <c r="G1257">
        <v>530</v>
      </c>
      <c r="H1257" t="s">
        <v>50</v>
      </c>
      <c r="I1257">
        <v>29</v>
      </c>
      <c r="J1257">
        <v>1</v>
      </c>
      <c r="K1257" t="s">
        <v>51</v>
      </c>
      <c r="L1257">
        <v>1</v>
      </c>
      <c r="M1257">
        <v>473</v>
      </c>
      <c r="N1257">
        <v>1</v>
      </c>
      <c r="O1257" t="s">
        <v>52</v>
      </c>
      <c r="P1257">
        <v>91</v>
      </c>
      <c r="Q1257">
        <v>3</v>
      </c>
      <c r="R1257">
        <v>3</v>
      </c>
      <c r="S1257" t="s">
        <v>440</v>
      </c>
      <c r="T1257">
        <v>3</v>
      </c>
      <c r="U1257" t="s">
        <v>104</v>
      </c>
      <c r="V1257">
        <v>12504</v>
      </c>
      <c r="W1257" t="s">
        <v>252</v>
      </c>
      <c r="X1257">
        <v>23978</v>
      </c>
      <c r="Y1257">
        <v>3</v>
      </c>
      <c r="Z1257" t="s">
        <v>47</v>
      </c>
      <c r="AA1257" t="s">
        <v>48</v>
      </c>
      <c r="AB1257">
        <v>21</v>
      </c>
      <c r="AC1257">
        <v>4</v>
      </c>
      <c r="AD1257">
        <v>2</v>
      </c>
      <c r="AE1257">
        <v>80</v>
      </c>
      <c r="AF1257">
        <v>1</v>
      </c>
      <c r="AG1257">
        <v>15</v>
      </c>
      <c r="AH1257">
        <v>3</v>
      </c>
      <c r="AI1257">
        <v>1</v>
      </c>
      <c r="AJ1257">
        <v>0</v>
      </c>
      <c r="AK1257">
        <v>0</v>
      </c>
      <c r="AL1257">
        <v>0</v>
      </c>
    </row>
    <row r="1258" spans="1:38" x14ac:dyDescent="0.3">
      <c r="A1258" t="s">
        <v>1328</v>
      </c>
      <c r="B1258">
        <v>48</v>
      </c>
      <c r="C1258" t="s">
        <v>1269</v>
      </c>
      <c r="D1258" t="s">
        <v>48</v>
      </c>
      <c r="E1258">
        <f t="shared" si="19"/>
        <v>0</v>
      </c>
      <c r="F1258" t="s">
        <v>40</v>
      </c>
      <c r="G1258">
        <v>163</v>
      </c>
      <c r="H1258" t="s">
        <v>50</v>
      </c>
      <c r="I1258">
        <v>2</v>
      </c>
      <c r="J1258">
        <v>5</v>
      </c>
      <c r="K1258" t="s">
        <v>56</v>
      </c>
      <c r="L1258">
        <v>1</v>
      </c>
      <c r="M1258">
        <v>595</v>
      </c>
      <c r="N1258">
        <v>2</v>
      </c>
      <c r="O1258" t="s">
        <v>52</v>
      </c>
      <c r="P1258">
        <v>37</v>
      </c>
      <c r="Q1258">
        <v>3</v>
      </c>
      <c r="R1258">
        <v>2</v>
      </c>
      <c r="S1258" t="s">
        <v>136</v>
      </c>
      <c r="T1258">
        <v>4</v>
      </c>
      <c r="U1258" t="s">
        <v>104</v>
      </c>
      <c r="V1258">
        <v>4051</v>
      </c>
      <c r="W1258" t="s">
        <v>46</v>
      </c>
      <c r="X1258">
        <v>19658</v>
      </c>
      <c r="Y1258">
        <v>2</v>
      </c>
      <c r="Z1258" t="s">
        <v>47</v>
      </c>
      <c r="AA1258" t="s">
        <v>48</v>
      </c>
      <c r="AB1258">
        <v>14</v>
      </c>
      <c r="AC1258">
        <v>3</v>
      </c>
      <c r="AD1258">
        <v>1</v>
      </c>
      <c r="AE1258">
        <v>80</v>
      </c>
      <c r="AF1258">
        <v>1</v>
      </c>
      <c r="AG1258">
        <v>14</v>
      </c>
      <c r="AH1258">
        <v>2</v>
      </c>
      <c r="AI1258">
        <v>3</v>
      </c>
      <c r="AJ1258">
        <v>9</v>
      </c>
      <c r="AK1258">
        <v>7</v>
      </c>
      <c r="AL1258">
        <v>6</v>
      </c>
    </row>
    <row r="1259" spans="1:38" x14ac:dyDescent="0.3">
      <c r="A1259" t="s">
        <v>1329</v>
      </c>
      <c r="B1259">
        <v>48</v>
      </c>
      <c r="C1259" t="s">
        <v>1269</v>
      </c>
      <c r="D1259" t="s">
        <v>48</v>
      </c>
      <c r="E1259">
        <f t="shared" si="19"/>
        <v>0</v>
      </c>
      <c r="F1259" t="s">
        <v>40</v>
      </c>
      <c r="G1259">
        <v>1236</v>
      </c>
      <c r="H1259" t="s">
        <v>41</v>
      </c>
      <c r="I1259">
        <v>1</v>
      </c>
      <c r="J1259">
        <v>4</v>
      </c>
      <c r="K1259" t="s">
        <v>42</v>
      </c>
      <c r="L1259">
        <v>1</v>
      </c>
      <c r="M1259">
        <v>664</v>
      </c>
      <c r="N1259">
        <v>4</v>
      </c>
      <c r="O1259" t="s">
        <v>52</v>
      </c>
      <c r="P1259">
        <v>40</v>
      </c>
      <c r="Q1259">
        <v>2</v>
      </c>
      <c r="R1259">
        <v>4</v>
      </c>
      <c r="S1259" t="s">
        <v>440</v>
      </c>
      <c r="T1259">
        <v>1</v>
      </c>
      <c r="U1259" t="s">
        <v>104</v>
      </c>
      <c r="V1259">
        <v>15402</v>
      </c>
      <c r="W1259" t="s">
        <v>366</v>
      </c>
      <c r="X1259">
        <v>17997</v>
      </c>
      <c r="Y1259">
        <v>7</v>
      </c>
      <c r="Z1259" t="s">
        <v>47</v>
      </c>
      <c r="AA1259" t="s">
        <v>48</v>
      </c>
      <c r="AB1259">
        <v>11</v>
      </c>
      <c r="AC1259">
        <v>3</v>
      </c>
      <c r="AD1259">
        <v>1</v>
      </c>
      <c r="AE1259">
        <v>80</v>
      </c>
      <c r="AF1259">
        <v>1</v>
      </c>
      <c r="AG1259">
        <v>21</v>
      </c>
      <c r="AH1259">
        <v>3</v>
      </c>
      <c r="AI1259">
        <v>1</v>
      </c>
      <c r="AJ1259">
        <v>3</v>
      </c>
      <c r="AK1259">
        <v>2</v>
      </c>
      <c r="AL1259">
        <v>0</v>
      </c>
    </row>
    <row r="1260" spans="1:38" x14ac:dyDescent="0.3">
      <c r="A1260" t="s">
        <v>1330</v>
      </c>
      <c r="B1260">
        <v>48</v>
      </c>
      <c r="C1260" t="s">
        <v>1269</v>
      </c>
      <c r="D1260" t="s">
        <v>48</v>
      </c>
      <c r="E1260">
        <f t="shared" si="19"/>
        <v>0</v>
      </c>
      <c r="F1260" t="s">
        <v>40</v>
      </c>
      <c r="G1260">
        <v>817</v>
      </c>
      <c r="H1260" t="s">
        <v>50</v>
      </c>
      <c r="I1260">
        <v>2</v>
      </c>
      <c r="J1260">
        <v>1</v>
      </c>
      <c r="K1260" t="s">
        <v>56</v>
      </c>
      <c r="L1260">
        <v>1</v>
      </c>
      <c r="M1260">
        <v>712</v>
      </c>
      <c r="N1260">
        <v>2</v>
      </c>
      <c r="O1260" t="s">
        <v>43</v>
      </c>
      <c r="P1260">
        <v>56</v>
      </c>
      <c r="Q1260">
        <v>4</v>
      </c>
      <c r="R1260">
        <v>2</v>
      </c>
      <c r="S1260" t="s">
        <v>136</v>
      </c>
      <c r="T1260">
        <v>2</v>
      </c>
      <c r="U1260" t="s">
        <v>104</v>
      </c>
      <c r="V1260">
        <v>8120</v>
      </c>
      <c r="W1260" t="s">
        <v>162</v>
      </c>
      <c r="X1260">
        <v>18597</v>
      </c>
      <c r="Y1260">
        <v>3</v>
      </c>
      <c r="Z1260" t="s">
        <v>47</v>
      </c>
      <c r="AA1260" t="s">
        <v>48</v>
      </c>
      <c r="AB1260">
        <v>12</v>
      </c>
      <c r="AC1260">
        <v>3</v>
      </c>
      <c r="AD1260">
        <v>4</v>
      </c>
      <c r="AE1260">
        <v>80</v>
      </c>
      <c r="AF1260">
        <v>0</v>
      </c>
      <c r="AG1260">
        <v>12</v>
      </c>
      <c r="AH1260">
        <v>3</v>
      </c>
      <c r="AI1260">
        <v>3</v>
      </c>
      <c r="AJ1260">
        <v>2</v>
      </c>
      <c r="AK1260">
        <v>2</v>
      </c>
      <c r="AL1260">
        <v>2</v>
      </c>
    </row>
    <row r="1261" spans="1:38" x14ac:dyDescent="0.3">
      <c r="A1261" t="s">
        <v>1331</v>
      </c>
      <c r="B1261">
        <v>48</v>
      </c>
      <c r="C1261" t="s">
        <v>1269</v>
      </c>
      <c r="D1261" t="s">
        <v>48</v>
      </c>
      <c r="E1261">
        <f t="shared" si="19"/>
        <v>0</v>
      </c>
      <c r="F1261" t="s">
        <v>40</v>
      </c>
      <c r="G1261">
        <v>1469</v>
      </c>
      <c r="H1261" t="s">
        <v>41</v>
      </c>
      <c r="I1261">
        <v>20</v>
      </c>
      <c r="J1261">
        <v>4</v>
      </c>
      <c r="K1261" t="s">
        <v>51</v>
      </c>
      <c r="L1261">
        <v>1</v>
      </c>
      <c r="M1261">
        <v>945</v>
      </c>
      <c r="N1261">
        <v>4</v>
      </c>
      <c r="O1261" t="s">
        <v>43</v>
      </c>
      <c r="P1261">
        <v>51</v>
      </c>
      <c r="Q1261">
        <v>3</v>
      </c>
      <c r="R1261">
        <v>1</v>
      </c>
      <c r="S1261" t="s">
        <v>59</v>
      </c>
      <c r="T1261">
        <v>3</v>
      </c>
      <c r="U1261" t="s">
        <v>104</v>
      </c>
      <c r="V1261">
        <v>2259</v>
      </c>
      <c r="W1261" t="s">
        <v>46</v>
      </c>
      <c r="X1261">
        <v>5543</v>
      </c>
      <c r="Y1261">
        <v>4</v>
      </c>
      <c r="Z1261" t="s">
        <v>47</v>
      </c>
      <c r="AA1261" t="s">
        <v>48</v>
      </c>
      <c r="AB1261">
        <v>17</v>
      </c>
      <c r="AC1261">
        <v>3</v>
      </c>
      <c r="AD1261">
        <v>1</v>
      </c>
      <c r="AE1261">
        <v>80</v>
      </c>
      <c r="AF1261">
        <v>2</v>
      </c>
      <c r="AG1261">
        <v>13</v>
      </c>
      <c r="AH1261">
        <v>2</v>
      </c>
      <c r="AI1261">
        <v>2</v>
      </c>
      <c r="AJ1261">
        <v>0</v>
      </c>
      <c r="AK1261">
        <v>0</v>
      </c>
      <c r="AL1261">
        <v>0</v>
      </c>
    </row>
    <row r="1262" spans="1:38" x14ac:dyDescent="0.3">
      <c r="A1262" t="s">
        <v>1332</v>
      </c>
      <c r="B1262">
        <v>48</v>
      </c>
      <c r="C1262" t="s">
        <v>1269</v>
      </c>
      <c r="D1262" t="s">
        <v>48</v>
      </c>
      <c r="E1262">
        <f t="shared" si="19"/>
        <v>0</v>
      </c>
      <c r="F1262" t="s">
        <v>40</v>
      </c>
      <c r="G1262">
        <v>277</v>
      </c>
      <c r="H1262" t="s">
        <v>41</v>
      </c>
      <c r="I1262">
        <v>6</v>
      </c>
      <c r="J1262">
        <v>3</v>
      </c>
      <c r="K1262" t="s">
        <v>42</v>
      </c>
      <c r="L1262">
        <v>1</v>
      </c>
      <c r="M1262">
        <v>1022</v>
      </c>
      <c r="N1262">
        <v>1</v>
      </c>
      <c r="O1262" t="s">
        <v>43</v>
      </c>
      <c r="P1262">
        <v>97</v>
      </c>
      <c r="Q1262">
        <v>2</v>
      </c>
      <c r="R1262">
        <v>2</v>
      </c>
      <c r="S1262" t="s">
        <v>160</v>
      </c>
      <c r="T1262">
        <v>3</v>
      </c>
      <c r="U1262" t="s">
        <v>45</v>
      </c>
      <c r="V1262">
        <v>4240</v>
      </c>
      <c r="W1262" t="s">
        <v>46</v>
      </c>
      <c r="X1262">
        <v>13119</v>
      </c>
      <c r="Y1262">
        <v>2</v>
      </c>
      <c r="Z1262" t="s">
        <v>47</v>
      </c>
      <c r="AA1262" t="s">
        <v>48</v>
      </c>
      <c r="AB1262">
        <v>13</v>
      </c>
      <c r="AC1262">
        <v>3</v>
      </c>
      <c r="AD1262">
        <v>4</v>
      </c>
      <c r="AE1262">
        <v>80</v>
      </c>
      <c r="AF1262">
        <v>0</v>
      </c>
      <c r="AG1262">
        <v>19</v>
      </c>
      <c r="AH1262">
        <v>0</v>
      </c>
      <c r="AI1262">
        <v>3</v>
      </c>
      <c r="AJ1262">
        <v>2</v>
      </c>
      <c r="AK1262">
        <v>2</v>
      </c>
      <c r="AL1262">
        <v>2</v>
      </c>
    </row>
    <row r="1263" spans="1:38" x14ac:dyDescent="0.3">
      <c r="A1263" t="s">
        <v>1333</v>
      </c>
      <c r="B1263">
        <v>48</v>
      </c>
      <c r="C1263" t="s">
        <v>1269</v>
      </c>
      <c r="D1263" t="s">
        <v>48</v>
      </c>
      <c r="E1263">
        <f t="shared" si="19"/>
        <v>0</v>
      </c>
      <c r="F1263" t="s">
        <v>40</v>
      </c>
      <c r="G1263">
        <v>1355</v>
      </c>
      <c r="H1263" t="s">
        <v>41</v>
      </c>
      <c r="I1263">
        <v>4</v>
      </c>
      <c r="J1263">
        <v>4</v>
      </c>
      <c r="K1263" t="s">
        <v>42</v>
      </c>
      <c r="L1263">
        <v>1</v>
      </c>
      <c r="M1263">
        <v>1024</v>
      </c>
      <c r="N1263">
        <v>3</v>
      </c>
      <c r="O1263" t="s">
        <v>43</v>
      </c>
      <c r="P1263">
        <v>78</v>
      </c>
      <c r="Q1263">
        <v>2</v>
      </c>
      <c r="R1263">
        <v>3</v>
      </c>
      <c r="S1263" t="s">
        <v>160</v>
      </c>
      <c r="T1263">
        <v>3</v>
      </c>
      <c r="U1263" t="s">
        <v>45</v>
      </c>
      <c r="V1263">
        <v>10999</v>
      </c>
      <c r="W1263" t="s">
        <v>252</v>
      </c>
      <c r="X1263">
        <v>22245</v>
      </c>
      <c r="Y1263">
        <v>7</v>
      </c>
      <c r="Z1263" t="s">
        <v>47</v>
      </c>
      <c r="AA1263" t="s">
        <v>48</v>
      </c>
      <c r="AB1263">
        <v>14</v>
      </c>
      <c r="AC1263">
        <v>3</v>
      </c>
      <c r="AD1263">
        <v>2</v>
      </c>
      <c r="AE1263">
        <v>80</v>
      </c>
      <c r="AF1263">
        <v>0</v>
      </c>
      <c r="AG1263">
        <v>27</v>
      </c>
      <c r="AH1263">
        <v>3</v>
      </c>
      <c r="AI1263">
        <v>3</v>
      </c>
      <c r="AJ1263">
        <v>15</v>
      </c>
      <c r="AK1263">
        <v>11</v>
      </c>
      <c r="AL1263">
        <v>4</v>
      </c>
    </row>
    <row r="1264" spans="1:38" x14ac:dyDescent="0.3">
      <c r="A1264" t="s">
        <v>1334</v>
      </c>
      <c r="B1264">
        <v>48</v>
      </c>
      <c r="C1264" t="s">
        <v>1269</v>
      </c>
      <c r="D1264" t="s">
        <v>48</v>
      </c>
      <c r="E1264">
        <f t="shared" si="19"/>
        <v>0</v>
      </c>
      <c r="F1264" t="s">
        <v>58</v>
      </c>
      <c r="G1264">
        <v>1262</v>
      </c>
      <c r="H1264" t="s">
        <v>41</v>
      </c>
      <c r="I1264">
        <v>1</v>
      </c>
      <c r="J1264">
        <v>4</v>
      </c>
      <c r="K1264" t="s">
        <v>51</v>
      </c>
      <c r="L1264">
        <v>1</v>
      </c>
      <c r="M1264">
        <v>1116</v>
      </c>
      <c r="N1264">
        <v>1</v>
      </c>
      <c r="O1264" t="s">
        <v>43</v>
      </c>
      <c r="P1264">
        <v>35</v>
      </c>
      <c r="Q1264">
        <v>4</v>
      </c>
      <c r="R1264">
        <v>4</v>
      </c>
      <c r="S1264" t="s">
        <v>440</v>
      </c>
      <c r="T1264">
        <v>4</v>
      </c>
      <c r="U1264" t="s">
        <v>45</v>
      </c>
      <c r="V1264">
        <v>16885</v>
      </c>
      <c r="W1264" t="s">
        <v>366</v>
      </c>
      <c r="X1264">
        <v>16154</v>
      </c>
      <c r="Y1264">
        <v>2</v>
      </c>
      <c r="Z1264" t="s">
        <v>47</v>
      </c>
      <c r="AA1264" t="s">
        <v>48</v>
      </c>
      <c r="AB1264">
        <v>22</v>
      </c>
      <c r="AC1264">
        <v>4</v>
      </c>
      <c r="AD1264">
        <v>3</v>
      </c>
      <c r="AE1264">
        <v>80</v>
      </c>
      <c r="AF1264">
        <v>0</v>
      </c>
      <c r="AG1264">
        <v>27</v>
      </c>
      <c r="AH1264">
        <v>3</v>
      </c>
      <c r="AI1264">
        <v>2</v>
      </c>
      <c r="AJ1264">
        <v>5</v>
      </c>
      <c r="AK1264">
        <v>4</v>
      </c>
      <c r="AL1264">
        <v>2</v>
      </c>
    </row>
    <row r="1265" spans="1:38" x14ac:dyDescent="0.3">
      <c r="A1265" t="s">
        <v>1335</v>
      </c>
      <c r="B1265">
        <v>48</v>
      </c>
      <c r="C1265" t="s">
        <v>1269</v>
      </c>
      <c r="D1265" t="s">
        <v>48</v>
      </c>
      <c r="E1265">
        <f t="shared" si="19"/>
        <v>0</v>
      </c>
      <c r="F1265" t="s">
        <v>40</v>
      </c>
      <c r="G1265">
        <v>969</v>
      </c>
      <c r="H1265" t="s">
        <v>41</v>
      </c>
      <c r="I1265">
        <v>2</v>
      </c>
      <c r="J1265">
        <v>2</v>
      </c>
      <c r="K1265" t="s">
        <v>67</v>
      </c>
      <c r="L1265">
        <v>1</v>
      </c>
      <c r="M1265">
        <v>1258</v>
      </c>
      <c r="N1265">
        <v>4</v>
      </c>
      <c r="O1265" t="s">
        <v>43</v>
      </c>
      <c r="P1265">
        <v>76</v>
      </c>
      <c r="Q1265">
        <v>4</v>
      </c>
      <c r="R1265">
        <v>1</v>
      </c>
      <c r="S1265" t="s">
        <v>44</v>
      </c>
      <c r="T1265">
        <v>2</v>
      </c>
      <c r="U1265" t="s">
        <v>45</v>
      </c>
      <c r="V1265">
        <v>2559</v>
      </c>
      <c r="W1265" t="s">
        <v>46</v>
      </c>
      <c r="X1265">
        <v>16620</v>
      </c>
      <c r="Y1265">
        <v>5</v>
      </c>
      <c r="Z1265" t="s">
        <v>47</v>
      </c>
      <c r="AA1265" t="s">
        <v>48</v>
      </c>
      <c r="AB1265">
        <v>11</v>
      </c>
      <c r="AC1265">
        <v>3</v>
      </c>
      <c r="AD1265">
        <v>3</v>
      </c>
      <c r="AE1265">
        <v>80</v>
      </c>
      <c r="AF1265">
        <v>0</v>
      </c>
      <c r="AG1265">
        <v>7</v>
      </c>
      <c r="AH1265">
        <v>4</v>
      </c>
      <c r="AI1265">
        <v>2</v>
      </c>
      <c r="AJ1265">
        <v>1</v>
      </c>
      <c r="AK1265">
        <v>0</v>
      </c>
      <c r="AL1265">
        <v>0</v>
      </c>
    </row>
    <row r="1266" spans="1:38" x14ac:dyDescent="0.3">
      <c r="A1266" t="s">
        <v>1336</v>
      </c>
      <c r="B1266">
        <v>48</v>
      </c>
      <c r="C1266" t="s">
        <v>1269</v>
      </c>
      <c r="D1266" t="s">
        <v>48</v>
      </c>
      <c r="E1266">
        <f t="shared" si="19"/>
        <v>0</v>
      </c>
      <c r="F1266" t="s">
        <v>40</v>
      </c>
      <c r="G1266">
        <v>715</v>
      </c>
      <c r="H1266" t="s">
        <v>41</v>
      </c>
      <c r="I1266">
        <v>1</v>
      </c>
      <c r="J1266">
        <v>3</v>
      </c>
      <c r="K1266" t="s">
        <v>42</v>
      </c>
      <c r="L1266">
        <v>1</v>
      </c>
      <c r="M1266">
        <v>1263</v>
      </c>
      <c r="N1266">
        <v>4</v>
      </c>
      <c r="O1266" t="s">
        <v>43</v>
      </c>
      <c r="P1266">
        <v>76</v>
      </c>
      <c r="Q1266">
        <v>2</v>
      </c>
      <c r="R1266">
        <v>5</v>
      </c>
      <c r="S1266" t="s">
        <v>251</v>
      </c>
      <c r="T1266">
        <v>4</v>
      </c>
      <c r="U1266" t="s">
        <v>45</v>
      </c>
      <c r="V1266">
        <v>18265</v>
      </c>
      <c r="W1266" t="s">
        <v>366</v>
      </c>
      <c r="X1266">
        <v>8733</v>
      </c>
      <c r="Y1266">
        <v>6</v>
      </c>
      <c r="Z1266" t="s">
        <v>47</v>
      </c>
      <c r="AA1266" t="s">
        <v>48</v>
      </c>
      <c r="AB1266">
        <v>12</v>
      </c>
      <c r="AC1266">
        <v>3</v>
      </c>
      <c r="AD1266">
        <v>3</v>
      </c>
      <c r="AE1266">
        <v>80</v>
      </c>
      <c r="AF1266">
        <v>0</v>
      </c>
      <c r="AG1266">
        <v>25</v>
      </c>
      <c r="AH1266">
        <v>3</v>
      </c>
      <c r="AI1266">
        <v>4</v>
      </c>
      <c r="AJ1266">
        <v>1</v>
      </c>
      <c r="AK1266">
        <v>0</v>
      </c>
      <c r="AL1266">
        <v>0</v>
      </c>
    </row>
    <row r="1267" spans="1:38" x14ac:dyDescent="0.3">
      <c r="A1267" t="s">
        <v>1337</v>
      </c>
      <c r="B1267">
        <v>48</v>
      </c>
      <c r="C1267" t="s">
        <v>1269</v>
      </c>
      <c r="D1267" t="s">
        <v>48</v>
      </c>
      <c r="E1267">
        <f t="shared" si="19"/>
        <v>0</v>
      </c>
      <c r="F1267" t="s">
        <v>40</v>
      </c>
      <c r="G1267">
        <v>855</v>
      </c>
      <c r="H1267" t="s">
        <v>41</v>
      </c>
      <c r="I1267">
        <v>4</v>
      </c>
      <c r="J1267">
        <v>3</v>
      </c>
      <c r="K1267" t="s">
        <v>42</v>
      </c>
      <c r="L1267">
        <v>1</v>
      </c>
      <c r="M1267">
        <v>1363</v>
      </c>
      <c r="N1267">
        <v>4</v>
      </c>
      <c r="O1267" t="s">
        <v>43</v>
      </c>
      <c r="P1267">
        <v>54</v>
      </c>
      <c r="Q1267">
        <v>3</v>
      </c>
      <c r="R1267">
        <v>3</v>
      </c>
      <c r="S1267" t="s">
        <v>111</v>
      </c>
      <c r="T1267">
        <v>4</v>
      </c>
      <c r="U1267" t="s">
        <v>45</v>
      </c>
      <c r="V1267">
        <v>7898</v>
      </c>
      <c r="W1267" t="s">
        <v>162</v>
      </c>
      <c r="X1267">
        <v>18706</v>
      </c>
      <c r="Y1267">
        <v>1</v>
      </c>
      <c r="Z1267" t="s">
        <v>47</v>
      </c>
      <c r="AA1267" t="s">
        <v>48</v>
      </c>
      <c r="AB1267">
        <v>11</v>
      </c>
      <c r="AC1267">
        <v>3</v>
      </c>
      <c r="AD1267">
        <v>3</v>
      </c>
      <c r="AE1267">
        <v>80</v>
      </c>
      <c r="AF1267">
        <v>0</v>
      </c>
      <c r="AG1267">
        <v>11</v>
      </c>
      <c r="AH1267">
        <v>2</v>
      </c>
      <c r="AI1267">
        <v>3</v>
      </c>
      <c r="AJ1267">
        <v>10</v>
      </c>
      <c r="AK1267">
        <v>9</v>
      </c>
      <c r="AL1267">
        <v>0</v>
      </c>
    </row>
    <row r="1268" spans="1:38" x14ac:dyDescent="0.3">
      <c r="A1268" t="s">
        <v>1338</v>
      </c>
      <c r="B1268">
        <v>48</v>
      </c>
      <c r="C1268" t="s">
        <v>1269</v>
      </c>
      <c r="D1268" t="s">
        <v>48</v>
      </c>
      <c r="E1268">
        <f t="shared" si="19"/>
        <v>0</v>
      </c>
      <c r="F1268" t="s">
        <v>40</v>
      </c>
      <c r="G1268">
        <v>1221</v>
      </c>
      <c r="H1268" t="s">
        <v>50</v>
      </c>
      <c r="I1268">
        <v>7</v>
      </c>
      <c r="J1268">
        <v>3</v>
      </c>
      <c r="K1268" t="s">
        <v>56</v>
      </c>
      <c r="L1268">
        <v>1</v>
      </c>
      <c r="M1268">
        <v>1466</v>
      </c>
      <c r="N1268">
        <v>3</v>
      </c>
      <c r="O1268" t="s">
        <v>43</v>
      </c>
      <c r="P1268">
        <v>96</v>
      </c>
      <c r="Q1268">
        <v>3</v>
      </c>
      <c r="R1268">
        <v>2</v>
      </c>
      <c r="S1268" t="s">
        <v>136</v>
      </c>
      <c r="T1268">
        <v>1</v>
      </c>
      <c r="U1268" t="s">
        <v>101</v>
      </c>
      <c r="V1268">
        <v>5486</v>
      </c>
      <c r="W1268" t="s">
        <v>162</v>
      </c>
      <c r="X1268">
        <v>24795</v>
      </c>
      <c r="Y1268">
        <v>4</v>
      </c>
      <c r="Z1268" t="s">
        <v>47</v>
      </c>
      <c r="AA1268" t="s">
        <v>48</v>
      </c>
      <c r="AB1268">
        <v>11</v>
      </c>
      <c r="AC1268">
        <v>3</v>
      </c>
      <c r="AD1268">
        <v>1</v>
      </c>
      <c r="AE1268">
        <v>80</v>
      </c>
      <c r="AF1268">
        <v>3</v>
      </c>
      <c r="AG1268">
        <v>15</v>
      </c>
      <c r="AH1268">
        <v>3</v>
      </c>
      <c r="AI1268">
        <v>3</v>
      </c>
      <c r="AJ1268">
        <v>2</v>
      </c>
      <c r="AK1268">
        <v>2</v>
      </c>
      <c r="AL1268">
        <v>2</v>
      </c>
    </row>
    <row r="1269" spans="1:38" x14ac:dyDescent="0.3">
      <c r="A1269" t="s">
        <v>1339</v>
      </c>
      <c r="B1269">
        <v>48</v>
      </c>
      <c r="C1269" t="s">
        <v>1269</v>
      </c>
      <c r="D1269" t="s">
        <v>48</v>
      </c>
      <c r="E1269">
        <f t="shared" si="19"/>
        <v>0</v>
      </c>
      <c r="F1269" t="s">
        <v>40</v>
      </c>
      <c r="G1269">
        <v>492</v>
      </c>
      <c r="H1269" t="s">
        <v>50</v>
      </c>
      <c r="I1269">
        <v>16</v>
      </c>
      <c r="J1269">
        <v>4</v>
      </c>
      <c r="K1269" t="s">
        <v>42</v>
      </c>
      <c r="L1269">
        <v>1</v>
      </c>
      <c r="M1269">
        <v>1557</v>
      </c>
      <c r="N1269">
        <v>3</v>
      </c>
      <c r="O1269" t="s">
        <v>52</v>
      </c>
      <c r="P1269">
        <v>96</v>
      </c>
      <c r="Q1269">
        <v>3</v>
      </c>
      <c r="R1269">
        <v>2</v>
      </c>
      <c r="S1269" t="s">
        <v>136</v>
      </c>
      <c r="T1269">
        <v>3</v>
      </c>
      <c r="U1269" t="s">
        <v>101</v>
      </c>
      <c r="V1269">
        <v>6439</v>
      </c>
      <c r="W1269" t="s">
        <v>162</v>
      </c>
      <c r="X1269">
        <v>13693</v>
      </c>
      <c r="Y1269">
        <v>8</v>
      </c>
      <c r="Z1269" t="s">
        <v>47</v>
      </c>
      <c r="AA1269" t="s">
        <v>48</v>
      </c>
      <c r="AB1269">
        <v>14</v>
      </c>
      <c r="AC1269">
        <v>3</v>
      </c>
      <c r="AD1269">
        <v>3</v>
      </c>
      <c r="AE1269">
        <v>80</v>
      </c>
      <c r="AF1269">
        <v>1</v>
      </c>
      <c r="AG1269">
        <v>18</v>
      </c>
      <c r="AH1269">
        <v>2</v>
      </c>
      <c r="AI1269">
        <v>3</v>
      </c>
      <c r="AJ1269">
        <v>8</v>
      </c>
      <c r="AK1269">
        <v>7</v>
      </c>
      <c r="AL1269">
        <v>7</v>
      </c>
    </row>
    <row r="1270" spans="1:38" x14ac:dyDescent="0.3">
      <c r="A1270" t="s">
        <v>1340</v>
      </c>
      <c r="B1270">
        <v>48</v>
      </c>
      <c r="C1270" t="s">
        <v>1269</v>
      </c>
      <c r="D1270" t="s">
        <v>48</v>
      </c>
      <c r="E1270">
        <f t="shared" si="19"/>
        <v>0</v>
      </c>
      <c r="F1270" t="s">
        <v>40</v>
      </c>
      <c r="G1270">
        <v>1108</v>
      </c>
      <c r="H1270" t="s">
        <v>41</v>
      </c>
      <c r="I1270">
        <v>15</v>
      </c>
      <c r="J1270">
        <v>4</v>
      </c>
      <c r="K1270" t="s">
        <v>72</v>
      </c>
      <c r="L1270">
        <v>1</v>
      </c>
      <c r="M1270">
        <v>1576</v>
      </c>
      <c r="N1270">
        <v>3</v>
      </c>
      <c r="O1270" t="s">
        <v>52</v>
      </c>
      <c r="P1270">
        <v>65</v>
      </c>
      <c r="Q1270">
        <v>3</v>
      </c>
      <c r="R1270">
        <v>1</v>
      </c>
      <c r="S1270" t="s">
        <v>59</v>
      </c>
      <c r="T1270">
        <v>1</v>
      </c>
      <c r="U1270" t="s">
        <v>104</v>
      </c>
      <c r="V1270">
        <v>2367</v>
      </c>
      <c r="W1270" t="s">
        <v>46</v>
      </c>
      <c r="X1270">
        <v>16530</v>
      </c>
      <c r="Y1270">
        <v>8</v>
      </c>
      <c r="Z1270" t="s">
        <v>47</v>
      </c>
      <c r="AA1270" t="s">
        <v>48</v>
      </c>
      <c r="AB1270">
        <v>12</v>
      </c>
      <c r="AC1270">
        <v>3</v>
      </c>
      <c r="AD1270">
        <v>4</v>
      </c>
      <c r="AE1270">
        <v>80</v>
      </c>
      <c r="AF1270">
        <v>1</v>
      </c>
      <c r="AG1270">
        <v>10</v>
      </c>
      <c r="AH1270">
        <v>3</v>
      </c>
      <c r="AI1270">
        <v>2</v>
      </c>
      <c r="AJ1270">
        <v>8</v>
      </c>
      <c r="AK1270">
        <v>2</v>
      </c>
      <c r="AL1270">
        <v>7</v>
      </c>
    </row>
    <row r="1271" spans="1:38" x14ac:dyDescent="0.3">
      <c r="A1271" t="s">
        <v>1341</v>
      </c>
      <c r="B1271">
        <v>48</v>
      </c>
      <c r="C1271" t="s">
        <v>1269</v>
      </c>
      <c r="D1271" t="s">
        <v>48</v>
      </c>
      <c r="E1271">
        <f t="shared" si="19"/>
        <v>0</v>
      </c>
      <c r="F1271" t="s">
        <v>55</v>
      </c>
      <c r="G1271">
        <v>365</v>
      </c>
      <c r="H1271" t="s">
        <v>41</v>
      </c>
      <c r="I1271">
        <v>4</v>
      </c>
      <c r="J1271">
        <v>5</v>
      </c>
      <c r="K1271" t="s">
        <v>51</v>
      </c>
      <c r="L1271">
        <v>1</v>
      </c>
      <c r="M1271">
        <v>1644</v>
      </c>
      <c r="N1271">
        <v>3</v>
      </c>
      <c r="O1271" t="s">
        <v>43</v>
      </c>
      <c r="P1271">
        <v>89</v>
      </c>
      <c r="Q1271">
        <v>2</v>
      </c>
      <c r="R1271">
        <v>4</v>
      </c>
      <c r="S1271" t="s">
        <v>440</v>
      </c>
      <c r="T1271">
        <v>4</v>
      </c>
      <c r="U1271" t="s">
        <v>104</v>
      </c>
      <c r="V1271">
        <v>15202</v>
      </c>
      <c r="W1271" t="s">
        <v>366</v>
      </c>
      <c r="X1271">
        <v>5602</v>
      </c>
      <c r="Y1271">
        <v>2</v>
      </c>
      <c r="Z1271" t="s">
        <v>47</v>
      </c>
      <c r="AA1271" t="s">
        <v>48</v>
      </c>
      <c r="AB1271">
        <v>25</v>
      </c>
      <c r="AC1271">
        <v>4</v>
      </c>
      <c r="AD1271">
        <v>2</v>
      </c>
      <c r="AE1271">
        <v>80</v>
      </c>
      <c r="AF1271">
        <v>1</v>
      </c>
      <c r="AG1271">
        <v>23</v>
      </c>
      <c r="AH1271">
        <v>3</v>
      </c>
      <c r="AI1271">
        <v>3</v>
      </c>
      <c r="AJ1271">
        <v>2</v>
      </c>
      <c r="AK1271">
        <v>2</v>
      </c>
      <c r="AL1271">
        <v>2</v>
      </c>
    </row>
    <row r="1272" spans="1:38" x14ac:dyDescent="0.3">
      <c r="A1272" t="s">
        <v>1342</v>
      </c>
      <c r="B1272">
        <v>48</v>
      </c>
      <c r="C1272" t="s">
        <v>1269</v>
      </c>
      <c r="D1272" t="s">
        <v>39</v>
      </c>
      <c r="E1272">
        <f t="shared" si="19"/>
        <v>1</v>
      </c>
      <c r="F1272" t="s">
        <v>55</v>
      </c>
      <c r="G1272">
        <v>708</v>
      </c>
      <c r="H1272" t="s">
        <v>50</v>
      </c>
      <c r="I1272">
        <v>7</v>
      </c>
      <c r="J1272">
        <v>2</v>
      </c>
      <c r="K1272" t="s">
        <v>51</v>
      </c>
      <c r="L1272">
        <v>1</v>
      </c>
      <c r="M1272">
        <v>1691</v>
      </c>
      <c r="N1272">
        <v>4</v>
      </c>
      <c r="O1272" t="s">
        <v>52</v>
      </c>
      <c r="P1272">
        <v>95</v>
      </c>
      <c r="Q1272">
        <v>3</v>
      </c>
      <c r="R1272">
        <v>1</v>
      </c>
      <c r="S1272" t="s">
        <v>53</v>
      </c>
      <c r="T1272">
        <v>3</v>
      </c>
      <c r="U1272" t="s">
        <v>104</v>
      </c>
      <c r="V1272">
        <v>2655</v>
      </c>
      <c r="W1272" t="s">
        <v>46</v>
      </c>
      <c r="X1272">
        <v>11740</v>
      </c>
      <c r="Y1272">
        <v>2</v>
      </c>
      <c r="Z1272" t="s">
        <v>47</v>
      </c>
      <c r="AA1272" t="s">
        <v>39</v>
      </c>
      <c r="AB1272">
        <v>11</v>
      </c>
      <c r="AC1272">
        <v>3</v>
      </c>
      <c r="AD1272">
        <v>3</v>
      </c>
      <c r="AE1272">
        <v>80</v>
      </c>
      <c r="AF1272">
        <v>2</v>
      </c>
      <c r="AG1272">
        <v>19</v>
      </c>
      <c r="AH1272">
        <v>3</v>
      </c>
      <c r="AI1272">
        <v>3</v>
      </c>
      <c r="AJ1272">
        <v>9</v>
      </c>
      <c r="AK1272">
        <v>7</v>
      </c>
      <c r="AL1272">
        <v>7</v>
      </c>
    </row>
    <row r="1273" spans="1:38" x14ac:dyDescent="0.3">
      <c r="A1273" t="s">
        <v>1343</v>
      </c>
      <c r="B1273">
        <v>48</v>
      </c>
      <c r="C1273" t="s">
        <v>1269</v>
      </c>
      <c r="D1273" t="s">
        <v>48</v>
      </c>
      <c r="E1273">
        <f t="shared" si="19"/>
        <v>0</v>
      </c>
      <c r="F1273" t="s">
        <v>40</v>
      </c>
      <c r="G1273">
        <v>1224</v>
      </c>
      <c r="H1273" t="s">
        <v>41</v>
      </c>
      <c r="I1273">
        <v>10</v>
      </c>
      <c r="J1273">
        <v>3</v>
      </c>
      <c r="K1273" t="s">
        <v>42</v>
      </c>
      <c r="L1273">
        <v>1</v>
      </c>
      <c r="M1273">
        <v>1867</v>
      </c>
      <c r="N1273">
        <v>4</v>
      </c>
      <c r="O1273" t="s">
        <v>43</v>
      </c>
      <c r="P1273">
        <v>91</v>
      </c>
      <c r="Q1273">
        <v>2</v>
      </c>
      <c r="R1273">
        <v>5</v>
      </c>
      <c r="S1273" t="s">
        <v>251</v>
      </c>
      <c r="T1273">
        <v>2</v>
      </c>
      <c r="U1273" t="s">
        <v>104</v>
      </c>
      <c r="V1273">
        <v>19665</v>
      </c>
      <c r="W1273" t="s">
        <v>366</v>
      </c>
      <c r="X1273">
        <v>13583</v>
      </c>
      <c r="Y1273">
        <v>4</v>
      </c>
      <c r="Z1273" t="s">
        <v>47</v>
      </c>
      <c r="AA1273" t="s">
        <v>48</v>
      </c>
      <c r="AB1273">
        <v>12</v>
      </c>
      <c r="AC1273">
        <v>3</v>
      </c>
      <c r="AD1273">
        <v>4</v>
      </c>
      <c r="AE1273">
        <v>80</v>
      </c>
      <c r="AF1273">
        <v>0</v>
      </c>
      <c r="AG1273">
        <v>29</v>
      </c>
      <c r="AH1273">
        <v>3</v>
      </c>
      <c r="AI1273">
        <v>3</v>
      </c>
      <c r="AJ1273">
        <v>22</v>
      </c>
      <c r="AK1273">
        <v>10</v>
      </c>
      <c r="AL1273">
        <v>12</v>
      </c>
    </row>
    <row r="1274" spans="1:38" x14ac:dyDescent="0.3">
      <c r="A1274" t="s">
        <v>1344</v>
      </c>
      <c r="B1274">
        <v>48</v>
      </c>
      <c r="C1274" t="s">
        <v>1269</v>
      </c>
      <c r="D1274" t="s">
        <v>48</v>
      </c>
      <c r="E1274">
        <f t="shared" si="19"/>
        <v>0</v>
      </c>
      <c r="F1274" t="s">
        <v>55</v>
      </c>
      <c r="G1274">
        <v>117</v>
      </c>
      <c r="H1274" t="s">
        <v>41</v>
      </c>
      <c r="I1274">
        <v>22</v>
      </c>
      <c r="J1274">
        <v>3</v>
      </c>
      <c r="K1274" t="s">
        <v>51</v>
      </c>
      <c r="L1274">
        <v>1</v>
      </c>
      <c r="M1274">
        <v>1900</v>
      </c>
      <c r="N1274">
        <v>4</v>
      </c>
      <c r="O1274" t="s">
        <v>52</v>
      </c>
      <c r="P1274">
        <v>58</v>
      </c>
      <c r="Q1274">
        <v>3</v>
      </c>
      <c r="R1274">
        <v>4</v>
      </c>
      <c r="S1274" t="s">
        <v>440</v>
      </c>
      <c r="T1274">
        <v>4</v>
      </c>
      <c r="U1274" t="s">
        <v>101</v>
      </c>
      <c r="V1274">
        <v>17174</v>
      </c>
      <c r="W1274" t="s">
        <v>366</v>
      </c>
      <c r="X1274">
        <v>2437</v>
      </c>
      <c r="Y1274">
        <v>3</v>
      </c>
      <c r="Z1274" t="s">
        <v>47</v>
      </c>
      <c r="AA1274" t="s">
        <v>48</v>
      </c>
      <c r="AB1274">
        <v>11</v>
      </c>
      <c r="AC1274">
        <v>3</v>
      </c>
      <c r="AD1274">
        <v>2</v>
      </c>
      <c r="AE1274">
        <v>80</v>
      </c>
      <c r="AF1274">
        <v>1</v>
      </c>
      <c r="AG1274">
        <v>24</v>
      </c>
      <c r="AH1274">
        <v>3</v>
      </c>
      <c r="AI1274">
        <v>3</v>
      </c>
      <c r="AJ1274">
        <v>22</v>
      </c>
      <c r="AK1274">
        <v>17</v>
      </c>
      <c r="AL1274">
        <v>4</v>
      </c>
    </row>
    <row r="1275" spans="1:38" x14ac:dyDescent="0.3">
      <c r="A1275" t="s">
        <v>1345</v>
      </c>
      <c r="B1275">
        <v>49</v>
      </c>
      <c r="C1275" t="s">
        <v>1269</v>
      </c>
      <c r="D1275" t="s">
        <v>48</v>
      </c>
      <c r="E1275">
        <f t="shared" si="19"/>
        <v>0</v>
      </c>
      <c r="F1275" t="s">
        <v>55</v>
      </c>
      <c r="G1275">
        <v>279</v>
      </c>
      <c r="H1275" t="s">
        <v>41</v>
      </c>
      <c r="I1275">
        <v>8</v>
      </c>
      <c r="J1275">
        <v>1</v>
      </c>
      <c r="K1275" t="s">
        <v>42</v>
      </c>
      <c r="L1275">
        <v>1</v>
      </c>
      <c r="M1275">
        <v>2</v>
      </c>
      <c r="N1275">
        <v>3</v>
      </c>
      <c r="O1275" t="s">
        <v>43</v>
      </c>
      <c r="P1275">
        <v>61</v>
      </c>
      <c r="Q1275">
        <v>2</v>
      </c>
      <c r="R1275">
        <v>2</v>
      </c>
      <c r="S1275" t="s">
        <v>59</v>
      </c>
      <c r="T1275">
        <v>2</v>
      </c>
      <c r="U1275" t="s">
        <v>104</v>
      </c>
      <c r="V1275">
        <v>5130</v>
      </c>
      <c r="W1275" t="s">
        <v>162</v>
      </c>
      <c r="X1275">
        <v>24907</v>
      </c>
      <c r="Y1275">
        <v>1</v>
      </c>
      <c r="Z1275" t="s">
        <v>47</v>
      </c>
      <c r="AA1275" t="s">
        <v>48</v>
      </c>
      <c r="AB1275">
        <v>23</v>
      </c>
      <c r="AC1275">
        <v>4</v>
      </c>
      <c r="AD1275">
        <v>4</v>
      </c>
      <c r="AE1275">
        <v>80</v>
      </c>
      <c r="AF1275">
        <v>1</v>
      </c>
      <c r="AG1275">
        <v>10</v>
      </c>
      <c r="AH1275">
        <v>3</v>
      </c>
      <c r="AI1275">
        <v>3</v>
      </c>
      <c r="AJ1275">
        <v>10</v>
      </c>
      <c r="AK1275">
        <v>7</v>
      </c>
      <c r="AL1275">
        <v>1</v>
      </c>
    </row>
    <row r="1276" spans="1:38" x14ac:dyDescent="0.3">
      <c r="A1276" t="s">
        <v>1346</v>
      </c>
      <c r="B1276">
        <v>49</v>
      </c>
      <c r="C1276" t="s">
        <v>1269</v>
      </c>
      <c r="D1276" t="s">
        <v>48</v>
      </c>
      <c r="E1276">
        <f t="shared" si="19"/>
        <v>0</v>
      </c>
      <c r="F1276" t="s">
        <v>40</v>
      </c>
      <c r="G1276">
        <v>470</v>
      </c>
      <c r="H1276" t="s">
        <v>41</v>
      </c>
      <c r="I1276">
        <v>20</v>
      </c>
      <c r="J1276">
        <v>4</v>
      </c>
      <c r="K1276" t="s">
        <v>51</v>
      </c>
      <c r="L1276">
        <v>1</v>
      </c>
      <c r="M1276">
        <v>170</v>
      </c>
      <c r="N1276">
        <v>3</v>
      </c>
      <c r="O1276" t="s">
        <v>52</v>
      </c>
      <c r="P1276">
        <v>96</v>
      </c>
      <c r="Q1276">
        <v>3</v>
      </c>
      <c r="R1276">
        <v>2</v>
      </c>
      <c r="S1276" t="s">
        <v>111</v>
      </c>
      <c r="T1276">
        <v>1</v>
      </c>
      <c r="U1276" t="s">
        <v>104</v>
      </c>
      <c r="V1276">
        <v>6567</v>
      </c>
      <c r="W1276" t="s">
        <v>162</v>
      </c>
      <c r="X1276">
        <v>5549</v>
      </c>
      <c r="Y1276">
        <v>1</v>
      </c>
      <c r="Z1276" t="s">
        <v>47</v>
      </c>
      <c r="AA1276" t="s">
        <v>48</v>
      </c>
      <c r="AB1276">
        <v>14</v>
      </c>
      <c r="AC1276">
        <v>3</v>
      </c>
      <c r="AD1276">
        <v>3</v>
      </c>
      <c r="AE1276">
        <v>80</v>
      </c>
      <c r="AF1276">
        <v>0</v>
      </c>
      <c r="AG1276">
        <v>16</v>
      </c>
      <c r="AH1276">
        <v>2</v>
      </c>
      <c r="AI1276">
        <v>2</v>
      </c>
      <c r="AJ1276">
        <v>15</v>
      </c>
      <c r="AK1276">
        <v>11</v>
      </c>
      <c r="AL1276">
        <v>5</v>
      </c>
    </row>
    <row r="1277" spans="1:38" x14ac:dyDescent="0.3">
      <c r="A1277" t="s">
        <v>1347</v>
      </c>
      <c r="B1277">
        <v>49</v>
      </c>
      <c r="C1277" t="s">
        <v>1269</v>
      </c>
      <c r="D1277" t="s">
        <v>48</v>
      </c>
      <c r="E1277">
        <f t="shared" si="19"/>
        <v>0</v>
      </c>
      <c r="F1277" t="s">
        <v>58</v>
      </c>
      <c r="G1277">
        <v>1002</v>
      </c>
      <c r="H1277" t="s">
        <v>41</v>
      </c>
      <c r="I1277">
        <v>18</v>
      </c>
      <c r="J1277">
        <v>4</v>
      </c>
      <c r="K1277" t="s">
        <v>42</v>
      </c>
      <c r="L1277">
        <v>1</v>
      </c>
      <c r="M1277">
        <v>275</v>
      </c>
      <c r="N1277">
        <v>4</v>
      </c>
      <c r="O1277" t="s">
        <v>43</v>
      </c>
      <c r="P1277">
        <v>92</v>
      </c>
      <c r="Q1277">
        <v>3</v>
      </c>
      <c r="R1277">
        <v>2</v>
      </c>
      <c r="S1277" t="s">
        <v>111</v>
      </c>
      <c r="T1277">
        <v>4</v>
      </c>
      <c r="U1277" t="s">
        <v>101</v>
      </c>
      <c r="V1277">
        <v>6804</v>
      </c>
      <c r="W1277" t="s">
        <v>162</v>
      </c>
      <c r="X1277">
        <v>23793</v>
      </c>
      <c r="Y1277">
        <v>1</v>
      </c>
      <c r="Z1277" t="s">
        <v>47</v>
      </c>
      <c r="AA1277" t="s">
        <v>39</v>
      </c>
      <c r="AB1277">
        <v>15</v>
      </c>
      <c r="AC1277">
        <v>3</v>
      </c>
      <c r="AD1277">
        <v>1</v>
      </c>
      <c r="AE1277">
        <v>80</v>
      </c>
      <c r="AF1277">
        <v>2</v>
      </c>
      <c r="AG1277">
        <v>7</v>
      </c>
      <c r="AH1277">
        <v>0</v>
      </c>
      <c r="AI1277">
        <v>3</v>
      </c>
      <c r="AJ1277">
        <v>7</v>
      </c>
      <c r="AK1277">
        <v>7</v>
      </c>
      <c r="AL1277">
        <v>1</v>
      </c>
    </row>
    <row r="1278" spans="1:38" x14ac:dyDescent="0.3">
      <c r="A1278" t="s">
        <v>1348</v>
      </c>
      <c r="B1278">
        <v>49</v>
      </c>
      <c r="C1278" t="s">
        <v>1269</v>
      </c>
      <c r="D1278" t="s">
        <v>48</v>
      </c>
      <c r="E1278">
        <f t="shared" si="19"/>
        <v>0</v>
      </c>
      <c r="F1278" t="s">
        <v>55</v>
      </c>
      <c r="G1278">
        <v>636</v>
      </c>
      <c r="H1278" t="s">
        <v>41</v>
      </c>
      <c r="I1278">
        <v>10</v>
      </c>
      <c r="J1278">
        <v>4</v>
      </c>
      <c r="K1278" t="s">
        <v>42</v>
      </c>
      <c r="L1278">
        <v>1</v>
      </c>
      <c r="M1278">
        <v>396</v>
      </c>
      <c r="N1278">
        <v>3</v>
      </c>
      <c r="O1278" t="s">
        <v>52</v>
      </c>
      <c r="P1278">
        <v>35</v>
      </c>
      <c r="Q1278">
        <v>3</v>
      </c>
      <c r="R1278">
        <v>5</v>
      </c>
      <c r="S1278" t="s">
        <v>251</v>
      </c>
      <c r="T1278">
        <v>1</v>
      </c>
      <c r="U1278" t="s">
        <v>45</v>
      </c>
      <c r="V1278">
        <v>18665</v>
      </c>
      <c r="W1278" t="s">
        <v>366</v>
      </c>
      <c r="X1278">
        <v>25594</v>
      </c>
      <c r="Y1278">
        <v>9</v>
      </c>
      <c r="Z1278" t="s">
        <v>47</v>
      </c>
      <c r="AA1278" t="s">
        <v>39</v>
      </c>
      <c r="AB1278">
        <v>11</v>
      </c>
      <c r="AC1278">
        <v>3</v>
      </c>
      <c r="AD1278">
        <v>4</v>
      </c>
      <c r="AE1278">
        <v>80</v>
      </c>
      <c r="AF1278">
        <v>0</v>
      </c>
      <c r="AG1278">
        <v>22</v>
      </c>
      <c r="AH1278">
        <v>4</v>
      </c>
      <c r="AI1278">
        <v>3</v>
      </c>
      <c r="AJ1278">
        <v>3</v>
      </c>
      <c r="AK1278">
        <v>2</v>
      </c>
      <c r="AL1278">
        <v>1</v>
      </c>
    </row>
    <row r="1279" spans="1:38" x14ac:dyDescent="0.3">
      <c r="A1279" t="s">
        <v>1349</v>
      </c>
      <c r="B1279">
        <v>49</v>
      </c>
      <c r="C1279" t="s">
        <v>1269</v>
      </c>
      <c r="D1279" t="s">
        <v>48</v>
      </c>
      <c r="E1279">
        <f t="shared" si="19"/>
        <v>0</v>
      </c>
      <c r="F1279" t="s">
        <v>40</v>
      </c>
      <c r="G1279">
        <v>1091</v>
      </c>
      <c r="H1279" t="s">
        <v>41</v>
      </c>
      <c r="I1279">
        <v>1</v>
      </c>
      <c r="J1279">
        <v>2</v>
      </c>
      <c r="K1279" t="s">
        <v>67</v>
      </c>
      <c r="L1279">
        <v>1</v>
      </c>
      <c r="M1279">
        <v>431</v>
      </c>
      <c r="N1279">
        <v>3</v>
      </c>
      <c r="O1279" t="s">
        <v>52</v>
      </c>
      <c r="P1279">
        <v>90</v>
      </c>
      <c r="Q1279">
        <v>2</v>
      </c>
      <c r="R1279">
        <v>4</v>
      </c>
      <c r="S1279" t="s">
        <v>160</v>
      </c>
      <c r="T1279">
        <v>3</v>
      </c>
      <c r="U1279" t="s">
        <v>45</v>
      </c>
      <c r="V1279">
        <v>13964</v>
      </c>
      <c r="W1279" t="s">
        <v>252</v>
      </c>
      <c r="X1279">
        <v>17810</v>
      </c>
      <c r="Y1279">
        <v>7</v>
      </c>
      <c r="Z1279" t="s">
        <v>47</v>
      </c>
      <c r="AA1279" t="s">
        <v>39</v>
      </c>
      <c r="AB1279">
        <v>12</v>
      </c>
      <c r="AC1279">
        <v>3</v>
      </c>
      <c r="AD1279">
        <v>4</v>
      </c>
      <c r="AE1279">
        <v>80</v>
      </c>
      <c r="AF1279">
        <v>0</v>
      </c>
      <c r="AG1279">
        <v>25</v>
      </c>
      <c r="AH1279">
        <v>2</v>
      </c>
      <c r="AI1279">
        <v>3</v>
      </c>
      <c r="AJ1279">
        <v>7</v>
      </c>
      <c r="AK1279">
        <v>1</v>
      </c>
      <c r="AL1279">
        <v>0</v>
      </c>
    </row>
    <row r="1280" spans="1:38" x14ac:dyDescent="0.3">
      <c r="A1280" t="s">
        <v>1350</v>
      </c>
      <c r="B1280">
        <v>49</v>
      </c>
      <c r="C1280" t="s">
        <v>1269</v>
      </c>
      <c r="D1280" t="s">
        <v>48</v>
      </c>
      <c r="E1280">
        <f t="shared" si="19"/>
        <v>0</v>
      </c>
      <c r="F1280" t="s">
        <v>40</v>
      </c>
      <c r="G1280">
        <v>1261</v>
      </c>
      <c r="H1280" t="s">
        <v>41</v>
      </c>
      <c r="I1280">
        <v>7</v>
      </c>
      <c r="J1280">
        <v>3</v>
      </c>
      <c r="K1280" t="s">
        <v>72</v>
      </c>
      <c r="L1280">
        <v>1</v>
      </c>
      <c r="M1280">
        <v>499</v>
      </c>
      <c r="N1280">
        <v>2</v>
      </c>
      <c r="O1280" t="s">
        <v>43</v>
      </c>
      <c r="P1280">
        <v>31</v>
      </c>
      <c r="Q1280">
        <v>2</v>
      </c>
      <c r="R1280">
        <v>3</v>
      </c>
      <c r="S1280" t="s">
        <v>160</v>
      </c>
      <c r="T1280">
        <v>3</v>
      </c>
      <c r="U1280" t="s">
        <v>45</v>
      </c>
      <c r="V1280">
        <v>10965</v>
      </c>
      <c r="W1280" t="s">
        <v>252</v>
      </c>
      <c r="X1280">
        <v>12066</v>
      </c>
      <c r="Y1280">
        <v>8</v>
      </c>
      <c r="Z1280" t="s">
        <v>47</v>
      </c>
      <c r="AA1280" t="s">
        <v>48</v>
      </c>
      <c r="AB1280">
        <v>24</v>
      </c>
      <c r="AC1280">
        <v>4</v>
      </c>
      <c r="AD1280">
        <v>3</v>
      </c>
      <c r="AE1280">
        <v>80</v>
      </c>
      <c r="AF1280">
        <v>0</v>
      </c>
      <c r="AG1280">
        <v>26</v>
      </c>
      <c r="AH1280">
        <v>2</v>
      </c>
      <c r="AI1280">
        <v>3</v>
      </c>
      <c r="AJ1280">
        <v>5</v>
      </c>
      <c r="AK1280">
        <v>2</v>
      </c>
      <c r="AL1280">
        <v>0</v>
      </c>
    </row>
    <row r="1281" spans="1:38" x14ac:dyDescent="0.3">
      <c r="A1281" t="s">
        <v>1351</v>
      </c>
      <c r="B1281">
        <v>49</v>
      </c>
      <c r="C1281" t="s">
        <v>1269</v>
      </c>
      <c r="D1281" t="s">
        <v>48</v>
      </c>
      <c r="E1281">
        <f t="shared" si="19"/>
        <v>0</v>
      </c>
      <c r="F1281" t="s">
        <v>40</v>
      </c>
      <c r="G1281">
        <v>1245</v>
      </c>
      <c r="H1281" t="s">
        <v>41</v>
      </c>
      <c r="I1281">
        <v>18</v>
      </c>
      <c r="J1281">
        <v>4</v>
      </c>
      <c r="K1281" t="s">
        <v>42</v>
      </c>
      <c r="L1281">
        <v>1</v>
      </c>
      <c r="M1281">
        <v>638</v>
      </c>
      <c r="N1281">
        <v>4</v>
      </c>
      <c r="O1281" t="s">
        <v>43</v>
      </c>
      <c r="P1281">
        <v>58</v>
      </c>
      <c r="Q1281">
        <v>2</v>
      </c>
      <c r="R1281">
        <v>5</v>
      </c>
      <c r="S1281" t="s">
        <v>251</v>
      </c>
      <c r="T1281">
        <v>3</v>
      </c>
      <c r="U1281" t="s">
        <v>101</v>
      </c>
      <c r="V1281">
        <v>19502</v>
      </c>
      <c r="W1281" t="s">
        <v>366</v>
      </c>
      <c r="X1281">
        <v>2125</v>
      </c>
      <c r="Y1281">
        <v>1</v>
      </c>
      <c r="Z1281" t="s">
        <v>47</v>
      </c>
      <c r="AA1281" t="s">
        <v>39</v>
      </c>
      <c r="AB1281">
        <v>17</v>
      </c>
      <c r="AC1281">
        <v>3</v>
      </c>
      <c r="AD1281">
        <v>3</v>
      </c>
      <c r="AE1281">
        <v>80</v>
      </c>
      <c r="AF1281">
        <v>1</v>
      </c>
      <c r="AG1281">
        <v>31</v>
      </c>
      <c r="AH1281">
        <v>5</v>
      </c>
      <c r="AI1281">
        <v>3</v>
      </c>
      <c r="AJ1281">
        <v>31</v>
      </c>
      <c r="AK1281">
        <v>9</v>
      </c>
      <c r="AL1281">
        <v>0</v>
      </c>
    </row>
    <row r="1282" spans="1:38" x14ac:dyDescent="0.3">
      <c r="A1282" t="s">
        <v>1352</v>
      </c>
      <c r="B1282">
        <v>49</v>
      </c>
      <c r="C1282" t="s">
        <v>1269</v>
      </c>
      <c r="D1282" t="s">
        <v>39</v>
      </c>
      <c r="E1282">
        <f t="shared" si="19"/>
        <v>1</v>
      </c>
      <c r="F1282" t="s">
        <v>40</v>
      </c>
      <c r="G1282">
        <v>1184</v>
      </c>
      <c r="H1282" t="s">
        <v>50</v>
      </c>
      <c r="I1282">
        <v>11</v>
      </c>
      <c r="J1282">
        <v>3</v>
      </c>
      <c r="K1282" t="s">
        <v>56</v>
      </c>
      <c r="L1282">
        <v>1</v>
      </c>
      <c r="M1282">
        <v>840</v>
      </c>
      <c r="N1282">
        <v>3</v>
      </c>
      <c r="O1282" t="s">
        <v>52</v>
      </c>
      <c r="P1282">
        <v>43</v>
      </c>
      <c r="Q1282">
        <v>3</v>
      </c>
      <c r="R1282">
        <v>3</v>
      </c>
      <c r="S1282" t="s">
        <v>136</v>
      </c>
      <c r="T1282">
        <v>4</v>
      </c>
      <c r="U1282" t="s">
        <v>104</v>
      </c>
      <c r="V1282">
        <v>7654</v>
      </c>
      <c r="W1282" t="s">
        <v>162</v>
      </c>
      <c r="X1282">
        <v>5860</v>
      </c>
      <c r="Y1282">
        <v>1</v>
      </c>
      <c r="Z1282" t="s">
        <v>47</v>
      </c>
      <c r="AA1282" t="s">
        <v>48</v>
      </c>
      <c r="AB1282">
        <v>18</v>
      </c>
      <c r="AC1282">
        <v>3</v>
      </c>
      <c r="AD1282">
        <v>1</v>
      </c>
      <c r="AE1282">
        <v>80</v>
      </c>
      <c r="AF1282">
        <v>2</v>
      </c>
      <c r="AG1282">
        <v>9</v>
      </c>
      <c r="AH1282">
        <v>3</v>
      </c>
      <c r="AI1282">
        <v>4</v>
      </c>
      <c r="AJ1282">
        <v>9</v>
      </c>
      <c r="AK1282">
        <v>8</v>
      </c>
      <c r="AL1282">
        <v>7</v>
      </c>
    </row>
    <row r="1283" spans="1:38" x14ac:dyDescent="0.3">
      <c r="A1283" t="s">
        <v>1353</v>
      </c>
      <c r="B1283">
        <v>49</v>
      </c>
      <c r="C1283" t="s">
        <v>1269</v>
      </c>
      <c r="D1283" t="s">
        <v>48</v>
      </c>
      <c r="E1283">
        <f t="shared" ref="E1283:E1346" si="20">IF(D1283="Yes",1,0)</f>
        <v>0</v>
      </c>
      <c r="F1283" t="s">
        <v>40</v>
      </c>
      <c r="G1283">
        <v>1418</v>
      </c>
      <c r="H1283" t="s">
        <v>41</v>
      </c>
      <c r="I1283">
        <v>1</v>
      </c>
      <c r="J1283">
        <v>3</v>
      </c>
      <c r="K1283" t="s">
        <v>67</v>
      </c>
      <c r="L1283">
        <v>1</v>
      </c>
      <c r="M1283">
        <v>887</v>
      </c>
      <c r="N1283">
        <v>3</v>
      </c>
      <c r="O1283" t="s">
        <v>52</v>
      </c>
      <c r="P1283">
        <v>36</v>
      </c>
      <c r="Q1283">
        <v>3</v>
      </c>
      <c r="R1283">
        <v>1</v>
      </c>
      <c r="S1283" t="s">
        <v>59</v>
      </c>
      <c r="T1283">
        <v>1</v>
      </c>
      <c r="U1283" t="s">
        <v>104</v>
      </c>
      <c r="V1283">
        <v>3580</v>
      </c>
      <c r="W1283" t="s">
        <v>46</v>
      </c>
      <c r="X1283">
        <v>10554</v>
      </c>
      <c r="Y1283">
        <v>2</v>
      </c>
      <c r="Z1283" t="s">
        <v>47</v>
      </c>
      <c r="AA1283" t="s">
        <v>48</v>
      </c>
      <c r="AB1283">
        <v>16</v>
      </c>
      <c r="AC1283">
        <v>3</v>
      </c>
      <c r="AD1283">
        <v>2</v>
      </c>
      <c r="AE1283">
        <v>80</v>
      </c>
      <c r="AF1283">
        <v>1</v>
      </c>
      <c r="AG1283">
        <v>7</v>
      </c>
      <c r="AH1283">
        <v>2</v>
      </c>
      <c r="AI1283">
        <v>3</v>
      </c>
      <c r="AJ1283">
        <v>4</v>
      </c>
      <c r="AK1283">
        <v>2</v>
      </c>
      <c r="AL1283">
        <v>0</v>
      </c>
    </row>
    <row r="1284" spans="1:38" x14ac:dyDescent="0.3">
      <c r="A1284" t="s">
        <v>1354</v>
      </c>
      <c r="B1284">
        <v>49</v>
      </c>
      <c r="C1284" t="s">
        <v>1269</v>
      </c>
      <c r="D1284" t="s">
        <v>48</v>
      </c>
      <c r="E1284">
        <f t="shared" si="20"/>
        <v>0</v>
      </c>
      <c r="F1284" t="s">
        <v>40</v>
      </c>
      <c r="G1284">
        <v>527</v>
      </c>
      <c r="H1284" t="s">
        <v>41</v>
      </c>
      <c r="I1284">
        <v>8</v>
      </c>
      <c r="J1284">
        <v>2</v>
      </c>
      <c r="K1284" t="s">
        <v>72</v>
      </c>
      <c r="L1284">
        <v>1</v>
      </c>
      <c r="M1284">
        <v>944</v>
      </c>
      <c r="N1284">
        <v>1</v>
      </c>
      <c r="O1284" t="s">
        <v>52</v>
      </c>
      <c r="P1284">
        <v>51</v>
      </c>
      <c r="Q1284">
        <v>3</v>
      </c>
      <c r="R1284">
        <v>3</v>
      </c>
      <c r="S1284" t="s">
        <v>44</v>
      </c>
      <c r="T1284">
        <v>2</v>
      </c>
      <c r="U1284" t="s">
        <v>104</v>
      </c>
      <c r="V1284">
        <v>7403</v>
      </c>
      <c r="W1284" t="s">
        <v>162</v>
      </c>
      <c r="X1284">
        <v>22477</v>
      </c>
      <c r="Y1284">
        <v>4</v>
      </c>
      <c r="Z1284" t="s">
        <v>47</v>
      </c>
      <c r="AA1284" t="s">
        <v>48</v>
      </c>
      <c r="AB1284">
        <v>11</v>
      </c>
      <c r="AC1284">
        <v>3</v>
      </c>
      <c r="AD1284">
        <v>3</v>
      </c>
      <c r="AE1284">
        <v>80</v>
      </c>
      <c r="AF1284">
        <v>1</v>
      </c>
      <c r="AG1284">
        <v>29</v>
      </c>
      <c r="AH1284">
        <v>3</v>
      </c>
      <c r="AI1284">
        <v>2</v>
      </c>
      <c r="AJ1284">
        <v>26</v>
      </c>
      <c r="AK1284">
        <v>9</v>
      </c>
      <c r="AL1284">
        <v>1</v>
      </c>
    </row>
    <row r="1285" spans="1:38" x14ac:dyDescent="0.3">
      <c r="A1285" t="s">
        <v>1355</v>
      </c>
      <c r="B1285">
        <v>49</v>
      </c>
      <c r="C1285" t="s">
        <v>1269</v>
      </c>
      <c r="D1285" t="s">
        <v>48</v>
      </c>
      <c r="E1285">
        <f t="shared" si="20"/>
        <v>0</v>
      </c>
      <c r="F1285" t="s">
        <v>40</v>
      </c>
      <c r="G1285">
        <v>174</v>
      </c>
      <c r="H1285" t="s">
        <v>50</v>
      </c>
      <c r="I1285">
        <v>8</v>
      </c>
      <c r="J1285">
        <v>4</v>
      </c>
      <c r="K1285" t="s">
        <v>67</v>
      </c>
      <c r="L1285">
        <v>1</v>
      </c>
      <c r="M1285">
        <v>1138</v>
      </c>
      <c r="N1285">
        <v>4</v>
      </c>
      <c r="O1285" t="s">
        <v>43</v>
      </c>
      <c r="P1285">
        <v>56</v>
      </c>
      <c r="Q1285">
        <v>2</v>
      </c>
      <c r="R1285">
        <v>4</v>
      </c>
      <c r="S1285" t="s">
        <v>136</v>
      </c>
      <c r="T1285">
        <v>2</v>
      </c>
      <c r="U1285" t="s">
        <v>104</v>
      </c>
      <c r="V1285">
        <v>13120</v>
      </c>
      <c r="W1285" t="s">
        <v>252</v>
      </c>
      <c r="X1285">
        <v>11879</v>
      </c>
      <c r="Y1285">
        <v>6</v>
      </c>
      <c r="Z1285" t="s">
        <v>47</v>
      </c>
      <c r="AA1285" t="s">
        <v>48</v>
      </c>
      <c r="AB1285">
        <v>17</v>
      </c>
      <c r="AC1285">
        <v>3</v>
      </c>
      <c r="AD1285">
        <v>2</v>
      </c>
      <c r="AE1285">
        <v>80</v>
      </c>
      <c r="AF1285">
        <v>1</v>
      </c>
      <c r="AG1285">
        <v>22</v>
      </c>
      <c r="AH1285">
        <v>3</v>
      </c>
      <c r="AI1285">
        <v>3</v>
      </c>
      <c r="AJ1285">
        <v>9</v>
      </c>
      <c r="AK1285">
        <v>8</v>
      </c>
      <c r="AL1285">
        <v>2</v>
      </c>
    </row>
    <row r="1286" spans="1:38" x14ac:dyDescent="0.3">
      <c r="A1286" t="s">
        <v>1356</v>
      </c>
      <c r="B1286">
        <v>49</v>
      </c>
      <c r="C1286" t="s">
        <v>1269</v>
      </c>
      <c r="D1286" t="s">
        <v>48</v>
      </c>
      <c r="E1286">
        <f t="shared" si="20"/>
        <v>0</v>
      </c>
      <c r="F1286" t="s">
        <v>40</v>
      </c>
      <c r="G1286">
        <v>1098</v>
      </c>
      <c r="H1286" t="s">
        <v>41</v>
      </c>
      <c r="I1286">
        <v>4</v>
      </c>
      <c r="J1286">
        <v>2</v>
      </c>
      <c r="K1286" t="s">
        <v>51</v>
      </c>
      <c r="L1286">
        <v>1</v>
      </c>
      <c r="M1286">
        <v>1256</v>
      </c>
      <c r="N1286">
        <v>1</v>
      </c>
      <c r="O1286" t="s">
        <v>43</v>
      </c>
      <c r="P1286">
        <v>85</v>
      </c>
      <c r="Q1286">
        <v>2</v>
      </c>
      <c r="R1286">
        <v>5</v>
      </c>
      <c r="S1286" t="s">
        <v>440</v>
      </c>
      <c r="T1286">
        <v>3</v>
      </c>
      <c r="U1286" t="s">
        <v>104</v>
      </c>
      <c r="V1286">
        <v>18711</v>
      </c>
      <c r="W1286" t="s">
        <v>366</v>
      </c>
      <c r="X1286">
        <v>12124</v>
      </c>
      <c r="Y1286">
        <v>2</v>
      </c>
      <c r="Z1286" t="s">
        <v>47</v>
      </c>
      <c r="AA1286" t="s">
        <v>48</v>
      </c>
      <c r="AB1286">
        <v>13</v>
      </c>
      <c r="AC1286">
        <v>3</v>
      </c>
      <c r="AD1286">
        <v>3</v>
      </c>
      <c r="AE1286">
        <v>80</v>
      </c>
      <c r="AF1286">
        <v>1</v>
      </c>
      <c r="AG1286">
        <v>23</v>
      </c>
      <c r="AH1286">
        <v>2</v>
      </c>
      <c r="AI1286">
        <v>4</v>
      </c>
      <c r="AJ1286">
        <v>1</v>
      </c>
      <c r="AK1286">
        <v>0</v>
      </c>
      <c r="AL1286">
        <v>0</v>
      </c>
    </row>
    <row r="1287" spans="1:38" x14ac:dyDescent="0.3">
      <c r="A1287" t="s">
        <v>1357</v>
      </c>
      <c r="B1287">
        <v>49</v>
      </c>
      <c r="C1287" t="s">
        <v>1269</v>
      </c>
      <c r="D1287" t="s">
        <v>39</v>
      </c>
      <c r="E1287">
        <f t="shared" si="20"/>
        <v>1</v>
      </c>
      <c r="F1287" t="s">
        <v>55</v>
      </c>
      <c r="G1287">
        <v>1475</v>
      </c>
      <c r="H1287" t="s">
        <v>41</v>
      </c>
      <c r="I1287">
        <v>28</v>
      </c>
      <c r="J1287">
        <v>2</v>
      </c>
      <c r="K1287" t="s">
        <v>42</v>
      </c>
      <c r="L1287">
        <v>1</v>
      </c>
      <c r="M1287">
        <v>1420</v>
      </c>
      <c r="N1287">
        <v>1</v>
      </c>
      <c r="O1287" t="s">
        <v>43</v>
      </c>
      <c r="P1287">
        <v>97</v>
      </c>
      <c r="Q1287">
        <v>2</v>
      </c>
      <c r="R1287">
        <v>2</v>
      </c>
      <c r="S1287" t="s">
        <v>44</v>
      </c>
      <c r="T1287">
        <v>1</v>
      </c>
      <c r="U1287" t="s">
        <v>45</v>
      </c>
      <c r="V1287">
        <v>4284</v>
      </c>
      <c r="W1287" t="s">
        <v>46</v>
      </c>
      <c r="X1287">
        <v>22710</v>
      </c>
      <c r="Y1287">
        <v>3</v>
      </c>
      <c r="Z1287" t="s">
        <v>47</v>
      </c>
      <c r="AA1287" t="s">
        <v>48</v>
      </c>
      <c r="AB1287">
        <v>20</v>
      </c>
      <c r="AC1287">
        <v>4</v>
      </c>
      <c r="AD1287">
        <v>1</v>
      </c>
      <c r="AE1287">
        <v>80</v>
      </c>
      <c r="AF1287">
        <v>0</v>
      </c>
      <c r="AG1287">
        <v>20</v>
      </c>
      <c r="AH1287">
        <v>2</v>
      </c>
      <c r="AI1287">
        <v>3</v>
      </c>
      <c r="AJ1287">
        <v>4</v>
      </c>
      <c r="AK1287">
        <v>3</v>
      </c>
      <c r="AL1287">
        <v>1</v>
      </c>
    </row>
    <row r="1288" spans="1:38" x14ac:dyDescent="0.3">
      <c r="A1288" t="s">
        <v>1358</v>
      </c>
      <c r="B1288">
        <v>49</v>
      </c>
      <c r="C1288" t="s">
        <v>1269</v>
      </c>
      <c r="D1288" t="s">
        <v>48</v>
      </c>
      <c r="E1288">
        <f t="shared" si="20"/>
        <v>0</v>
      </c>
      <c r="F1288" t="s">
        <v>40</v>
      </c>
      <c r="G1288">
        <v>1495</v>
      </c>
      <c r="H1288" t="s">
        <v>41</v>
      </c>
      <c r="I1288">
        <v>5</v>
      </c>
      <c r="J1288">
        <v>4</v>
      </c>
      <c r="K1288" t="s">
        <v>67</v>
      </c>
      <c r="L1288">
        <v>1</v>
      </c>
      <c r="M1288">
        <v>1473</v>
      </c>
      <c r="N1288">
        <v>1</v>
      </c>
      <c r="O1288" t="s">
        <v>43</v>
      </c>
      <c r="P1288">
        <v>96</v>
      </c>
      <c r="Q1288">
        <v>3</v>
      </c>
      <c r="R1288">
        <v>2</v>
      </c>
      <c r="S1288" t="s">
        <v>160</v>
      </c>
      <c r="T1288">
        <v>3</v>
      </c>
      <c r="U1288" t="s">
        <v>104</v>
      </c>
      <c r="V1288">
        <v>6651</v>
      </c>
      <c r="W1288" t="s">
        <v>162</v>
      </c>
      <c r="X1288">
        <v>21534</v>
      </c>
      <c r="Y1288">
        <v>2</v>
      </c>
      <c r="Z1288" t="s">
        <v>47</v>
      </c>
      <c r="AA1288" t="s">
        <v>48</v>
      </c>
      <c r="AB1288">
        <v>14</v>
      </c>
      <c r="AC1288">
        <v>3</v>
      </c>
      <c r="AD1288">
        <v>2</v>
      </c>
      <c r="AE1288">
        <v>80</v>
      </c>
      <c r="AF1288">
        <v>1</v>
      </c>
      <c r="AG1288">
        <v>20</v>
      </c>
      <c r="AH1288">
        <v>0</v>
      </c>
      <c r="AI1288">
        <v>2</v>
      </c>
      <c r="AJ1288">
        <v>3</v>
      </c>
      <c r="AK1288">
        <v>2</v>
      </c>
      <c r="AL1288">
        <v>1</v>
      </c>
    </row>
    <row r="1289" spans="1:38" x14ac:dyDescent="0.3">
      <c r="A1289" t="s">
        <v>1359</v>
      </c>
      <c r="B1289">
        <v>49</v>
      </c>
      <c r="C1289" t="s">
        <v>1269</v>
      </c>
      <c r="D1289" t="s">
        <v>48</v>
      </c>
      <c r="E1289">
        <f t="shared" si="20"/>
        <v>0</v>
      </c>
      <c r="F1289" t="s">
        <v>40</v>
      </c>
      <c r="G1289">
        <v>1490</v>
      </c>
      <c r="H1289" t="s">
        <v>41</v>
      </c>
      <c r="I1289">
        <v>7</v>
      </c>
      <c r="J1289">
        <v>4</v>
      </c>
      <c r="K1289" t="s">
        <v>42</v>
      </c>
      <c r="L1289">
        <v>1</v>
      </c>
      <c r="M1289">
        <v>1484</v>
      </c>
      <c r="N1289">
        <v>3</v>
      </c>
      <c r="O1289" t="s">
        <v>43</v>
      </c>
      <c r="P1289">
        <v>35</v>
      </c>
      <c r="Q1289">
        <v>3</v>
      </c>
      <c r="R1289">
        <v>3</v>
      </c>
      <c r="S1289" t="s">
        <v>160</v>
      </c>
      <c r="T1289">
        <v>2</v>
      </c>
      <c r="U1289" t="s">
        <v>101</v>
      </c>
      <c r="V1289">
        <v>10466</v>
      </c>
      <c r="W1289" t="s">
        <v>252</v>
      </c>
      <c r="X1289">
        <v>20948</v>
      </c>
      <c r="Y1289">
        <v>3</v>
      </c>
      <c r="Z1289" t="s">
        <v>47</v>
      </c>
      <c r="AA1289" t="s">
        <v>48</v>
      </c>
      <c r="AB1289">
        <v>14</v>
      </c>
      <c r="AC1289">
        <v>3</v>
      </c>
      <c r="AD1289">
        <v>2</v>
      </c>
      <c r="AE1289">
        <v>80</v>
      </c>
      <c r="AF1289">
        <v>2</v>
      </c>
      <c r="AG1289">
        <v>29</v>
      </c>
      <c r="AH1289">
        <v>3</v>
      </c>
      <c r="AI1289">
        <v>3</v>
      </c>
      <c r="AJ1289">
        <v>8</v>
      </c>
      <c r="AK1289">
        <v>7</v>
      </c>
      <c r="AL1289">
        <v>0</v>
      </c>
    </row>
    <row r="1290" spans="1:38" x14ac:dyDescent="0.3">
      <c r="A1290" t="s">
        <v>1360</v>
      </c>
      <c r="B1290">
        <v>49</v>
      </c>
      <c r="C1290" t="s">
        <v>1269</v>
      </c>
      <c r="D1290" t="s">
        <v>48</v>
      </c>
      <c r="E1290">
        <f t="shared" si="20"/>
        <v>0</v>
      </c>
      <c r="F1290" t="s">
        <v>40</v>
      </c>
      <c r="G1290">
        <v>271</v>
      </c>
      <c r="H1290" t="s">
        <v>41</v>
      </c>
      <c r="I1290">
        <v>3</v>
      </c>
      <c r="J1290">
        <v>2</v>
      </c>
      <c r="K1290" t="s">
        <v>51</v>
      </c>
      <c r="L1290">
        <v>1</v>
      </c>
      <c r="M1290">
        <v>1509</v>
      </c>
      <c r="N1290">
        <v>3</v>
      </c>
      <c r="O1290" t="s">
        <v>52</v>
      </c>
      <c r="P1290">
        <v>43</v>
      </c>
      <c r="Q1290">
        <v>2</v>
      </c>
      <c r="R1290">
        <v>2</v>
      </c>
      <c r="S1290" t="s">
        <v>44</v>
      </c>
      <c r="T1290">
        <v>1</v>
      </c>
      <c r="U1290" t="s">
        <v>104</v>
      </c>
      <c r="V1290">
        <v>4789</v>
      </c>
      <c r="W1290" t="s">
        <v>46</v>
      </c>
      <c r="X1290">
        <v>23070</v>
      </c>
      <c r="Y1290">
        <v>4</v>
      </c>
      <c r="Z1290" t="s">
        <v>47</v>
      </c>
      <c r="AA1290" t="s">
        <v>48</v>
      </c>
      <c r="AB1290">
        <v>25</v>
      </c>
      <c r="AC1290">
        <v>4</v>
      </c>
      <c r="AD1290">
        <v>1</v>
      </c>
      <c r="AE1290">
        <v>80</v>
      </c>
      <c r="AF1290">
        <v>1</v>
      </c>
      <c r="AG1290">
        <v>10</v>
      </c>
      <c r="AH1290">
        <v>3</v>
      </c>
      <c r="AI1290">
        <v>3</v>
      </c>
      <c r="AJ1290">
        <v>3</v>
      </c>
      <c r="AK1290">
        <v>2</v>
      </c>
      <c r="AL1290">
        <v>1</v>
      </c>
    </row>
    <row r="1291" spans="1:38" x14ac:dyDescent="0.3">
      <c r="A1291" t="s">
        <v>1361</v>
      </c>
      <c r="B1291">
        <v>49</v>
      </c>
      <c r="C1291" t="s">
        <v>1269</v>
      </c>
      <c r="D1291" t="s">
        <v>48</v>
      </c>
      <c r="E1291">
        <f t="shared" si="20"/>
        <v>0</v>
      </c>
      <c r="F1291" t="s">
        <v>40</v>
      </c>
      <c r="G1291">
        <v>722</v>
      </c>
      <c r="H1291" t="s">
        <v>41</v>
      </c>
      <c r="I1291">
        <v>25</v>
      </c>
      <c r="J1291">
        <v>4</v>
      </c>
      <c r="K1291" t="s">
        <v>42</v>
      </c>
      <c r="L1291">
        <v>1</v>
      </c>
      <c r="M1291">
        <v>1617</v>
      </c>
      <c r="N1291">
        <v>3</v>
      </c>
      <c r="O1291" t="s">
        <v>52</v>
      </c>
      <c r="P1291">
        <v>84</v>
      </c>
      <c r="Q1291">
        <v>3</v>
      </c>
      <c r="R1291">
        <v>1</v>
      </c>
      <c r="S1291" t="s">
        <v>44</v>
      </c>
      <c r="T1291">
        <v>1</v>
      </c>
      <c r="U1291" t="s">
        <v>104</v>
      </c>
      <c r="V1291">
        <v>3211</v>
      </c>
      <c r="W1291" t="s">
        <v>46</v>
      </c>
      <c r="X1291">
        <v>22102</v>
      </c>
      <c r="Y1291">
        <v>1</v>
      </c>
      <c r="Z1291" t="s">
        <v>47</v>
      </c>
      <c r="AA1291" t="s">
        <v>48</v>
      </c>
      <c r="AB1291">
        <v>14</v>
      </c>
      <c r="AC1291">
        <v>3</v>
      </c>
      <c r="AD1291">
        <v>4</v>
      </c>
      <c r="AE1291">
        <v>80</v>
      </c>
      <c r="AF1291">
        <v>1</v>
      </c>
      <c r="AG1291">
        <v>10</v>
      </c>
      <c r="AH1291">
        <v>3</v>
      </c>
      <c r="AI1291">
        <v>2</v>
      </c>
      <c r="AJ1291">
        <v>9</v>
      </c>
      <c r="AK1291">
        <v>6</v>
      </c>
      <c r="AL1291">
        <v>1</v>
      </c>
    </row>
    <row r="1292" spans="1:38" x14ac:dyDescent="0.3">
      <c r="A1292" t="s">
        <v>1362</v>
      </c>
      <c r="B1292">
        <v>49</v>
      </c>
      <c r="C1292" t="s">
        <v>1269</v>
      </c>
      <c r="D1292" t="s">
        <v>48</v>
      </c>
      <c r="E1292">
        <f t="shared" si="20"/>
        <v>0</v>
      </c>
      <c r="F1292" t="s">
        <v>40</v>
      </c>
      <c r="G1292">
        <v>301</v>
      </c>
      <c r="H1292" t="s">
        <v>41</v>
      </c>
      <c r="I1292">
        <v>22</v>
      </c>
      <c r="J1292">
        <v>4</v>
      </c>
      <c r="K1292" t="s">
        <v>72</v>
      </c>
      <c r="L1292">
        <v>1</v>
      </c>
      <c r="M1292">
        <v>1655</v>
      </c>
      <c r="N1292">
        <v>1</v>
      </c>
      <c r="O1292" t="s">
        <v>52</v>
      </c>
      <c r="P1292">
        <v>72</v>
      </c>
      <c r="Q1292">
        <v>3</v>
      </c>
      <c r="R1292">
        <v>4</v>
      </c>
      <c r="S1292" t="s">
        <v>251</v>
      </c>
      <c r="T1292">
        <v>2</v>
      </c>
      <c r="U1292" t="s">
        <v>104</v>
      </c>
      <c r="V1292">
        <v>16413</v>
      </c>
      <c r="W1292" t="s">
        <v>366</v>
      </c>
      <c r="X1292">
        <v>3498</v>
      </c>
      <c r="Y1292">
        <v>3</v>
      </c>
      <c r="Z1292" t="s">
        <v>47</v>
      </c>
      <c r="AA1292" t="s">
        <v>48</v>
      </c>
      <c r="AB1292">
        <v>16</v>
      </c>
      <c r="AC1292">
        <v>3</v>
      </c>
      <c r="AD1292">
        <v>2</v>
      </c>
      <c r="AE1292">
        <v>80</v>
      </c>
      <c r="AF1292">
        <v>2</v>
      </c>
      <c r="AG1292">
        <v>27</v>
      </c>
      <c r="AH1292">
        <v>2</v>
      </c>
      <c r="AI1292">
        <v>3</v>
      </c>
      <c r="AJ1292">
        <v>4</v>
      </c>
      <c r="AK1292">
        <v>2</v>
      </c>
      <c r="AL1292">
        <v>1</v>
      </c>
    </row>
    <row r="1293" spans="1:38" x14ac:dyDescent="0.3">
      <c r="A1293" t="s">
        <v>1363</v>
      </c>
      <c r="B1293">
        <v>49</v>
      </c>
      <c r="C1293" t="s">
        <v>1269</v>
      </c>
      <c r="D1293" t="s">
        <v>48</v>
      </c>
      <c r="E1293">
        <f t="shared" si="20"/>
        <v>0</v>
      </c>
      <c r="F1293" t="s">
        <v>40</v>
      </c>
      <c r="G1293">
        <v>465</v>
      </c>
      <c r="H1293" t="s">
        <v>41</v>
      </c>
      <c r="I1293">
        <v>6</v>
      </c>
      <c r="J1293">
        <v>1</v>
      </c>
      <c r="K1293" t="s">
        <v>42</v>
      </c>
      <c r="L1293">
        <v>1</v>
      </c>
      <c r="M1293">
        <v>1661</v>
      </c>
      <c r="N1293">
        <v>3</v>
      </c>
      <c r="O1293" t="s">
        <v>52</v>
      </c>
      <c r="P1293">
        <v>41</v>
      </c>
      <c r="Q1293">
        <v>2</v>
      </c>
      <c r="R1293">
        <v>4</v>
      </c>
      <c r="S1293" t="s">
        <v>160</v>
      </c>
      <c r="T1293">
        <v>3</v>
      </c>
      <c r="U1293" t="s">
        <v>104</v>
      </c>
      <c r="V1293">
        <v>13966</v>
      </c>
      <c r="W1293" t="s">
        <v>252</v>
      </c>
      <c r="X1293">
        <v>11652</v>
      </c>
      <c r="Y1293">
        <v>2</v>
      </c>
      <c r="Z1293" t="s">
        <v>47</v>
      </c>
      <c r="AA1293" t="s">
        <v>39</v>
      </c>
      <c r="AB1293">
        <v>19</v>
      </c>
      <c r="AC1293">
        <v>3</v>
      </c>
      <c r="AD1293">
        <v>2</v>
      </c>
      <c r="AE1293">
        <v>80</v>
      </c>
      <c r="AF1293">
        <v>1</v>
      </c>
      <c r="AG1293">
        <v>30</v>
      </c>
      <c r="AH1293">
        <v>3</v>
      </c>
      <c r="AI1293">
        <v>3</v>
      </c>
      <c r="AJ1293">
        <v>15</v>
      </c>
      <c r="AK1293">
        <v>11</v>
      </c>
      <c r="AL1293">
        <v>2</v>
      </c>
    </row>
    <row r="1294" spans="1:38" x14ac:dyDescent="0.3">
      <c r="A1294" t="s">
        <v>1364</v>
      </c>
      <c r="B1294">
        <v>49</v>
      </c>
      <c r="C1294" t="s">
        <v>1269</v>
      </c>
      <c r="D1294" t="s">
        <v>48</v>
      </c>
      <c r="E1294">
        <f t="shared" si="20"/>
        <v>0</v>
      </c>
      <c r="F1294" t="s">
        <v>40</v>
      </c>
      <c r="G1294">
        <v>464</v>
      </c>
      <c r="H1294" t="s">
        <v>41</v>
      </c>
      <c r="I1294">
        <v>16</v>
      </c>
      <c r="J1294">
        <v>3</v>
      </c>
      <c r="K1294" t="s">
        <v>51</v>
      </c>
      <c r="L1294">
        <v>1</v>
      </c>
      <c r="M1294">
        <v>1674</v>
      </c>
      <c r="N1294">
        <v>4</v>
      </c>
      <c r="O1294" t="s">
        <v>52</v>
      </c>
      <c r="P1294">
        <v>74</v>
      </c>
      <c r="Q1294">
        <v>3</v>
      </c>
      <c r="R1294">
        <v>1</v>
      </c>
      <c r="S1294" t="s">
        <v>44</v>
      </c>
      <c r="T1294">
        <v>1</v>
      </c>
      <c r="U1294" t="s">
        <v>101</v>
      </c>
      <c r="V1294">
        <v>2587</v>
      </c>
      <c r="W1294" t="s">
        <v>46</v>
      </c>
      <c r="X1294">
        <v>24941</v>
      </c>
      <c r="Y1294">
        <v>4</v>
      </c>
      <c r="Z1294" t="s">
        <v>47</v>
      </c>
      <c r="AA1294" t="s">
        <v>39</v>
      </c>
      <c r="AB1294">
        <v>16</v>
      </c>
      <c r="AC1294">
        <v>3</v>
      </c>
      <c r="AD1294">
        <v>2</v>
      </c>
      <c r="AE1294">
        <v>80</v>
      </c>
      <c r="AF1294">
        <v>1</v>
      </c>
      <c r="AG1294">
        <v>17</v>
      </c>
      <c r="AH1294">
        <v>2</v>
      </c>
      <c r="AI1294">
        <v>2</v>
      </c>
      <c r="AJ1294">
        <v>2</v>
      </c>
      <c r="AK1294">
        <v>2</v>
      </c>
      <c r="AL1294">
        <v>2</v>
      </c>
    </row>
    <row r="1295" spans="1:38" x14ac:dyDescent="0.3">
      <c r="A1295" t="s">
        <v>1365</v>
      </c>
      <c r="B1295">
        <v>49</v>
      </c>
      <c r="C1295" t="s">
        <v>1269</v>
      </c>
      <c r="D1295" t="s">
        <v>48</v>
      </c>
      <c r="E1295">
        <f t="shared" si="20"/>
        <v>0</v>
      </c>
      <c r="F1295" t="s">
        <v>40</v>
      </c>
      <c r="G1295">
        <v>809</v>
      </c>
      <c r="H1295" t="s">
        <v>41</v>
      </c>
      <c r="I1295">
        <v>1</v>
      </c>
      <c r="J1295">
        <v>3</v>
      </c>
      <c r="K1295" t="s">
        <v>42</v>
      </c>
      <c r="L1295">
        <v>1</v>
      </c>
      <c r="M1295">
        <v>1677</v>
      </c>
      <c r="N1295">
        <v>3</v>
      </c>
      <c r="O1295" t="s">
        <v>43</v>
      </c>
      <c r="P1295">
        <v>36</v>
      </c>
      <c r="Q1295">
        <v>3</v>
      </c>
      <c r="R1295">
        <v>4</v>
      </c>
      <c r="S1295" t="s">
        <v>440</v>
      </c>
      <c r="T1295">
        <v>3</v>
      </c>
      <c r="U1295" t="s">
        <v>45</v>
      </c>
      <c r="V1295">
        <v>15379</v>
      </c>
      <c r="W1295" t="s">
        <v>366</v>
      </c>
      <c r="X1295">
        <v>22384</v>
      </c>
      <c r="Y1295">
        <v>4</v>
      </c>
      <c r="Z1295" t="s">
        <v>47</v>
      </c>
      <c r="AA1295" t="s">
        <v>48</v>
      </c>
      <c r="AB1295">
        <v>14</v>
      </c>
      <c r="AC1295">
        <v>3</v>
      </c>
      <c r="AD1295">
        <v>1</v>
      </c>
      <c r="AE1295">
        <v>80</v>
      </c>
      <c r="AF1295">
        <v>0</v>
      </c>
      <c r="AG1295">
        <v>23</v>
      </c>
      <c r="AH1295">
        <v>2</v>
      </c>
      <c r="AI1295">
        <v>3</v>
      </c>
      <c r="AJ1295">
        <v>8</v>
      </c>
      <c r="AK1295">
        <v>7</v>
      </c>
      <c r="AL1295">
        <v>0</v>
      </c>
    </row>
    <row r="1296" spans="1:38" x14ac:dyDescent="0.3">
      <c r="A1296" t="s">
        <v>1366</v>
      </c>
      <c r="B1296">
        <v>49</v>
      </c>
      <c r="C1296" t="s">
        <v>1269</v>
      </c>
      <c r="D1296" t="s">
        <v>48</v>
      </c>
      <c r="E1296">
        <f t="shared" si="20"/>
        <v>0</v>
      </c>
      <c r="F1296" t="s">
        <v>40</v>
      </c>
      <c r="G1296">
        <v>1313</v>
      </c>
      <c r="H1296" t="s">
        <v>50</v>
      </c>
      <c r="I1296">
        <v>11</v>
      </c>
      <c r="J1296">
        <v>4</v>
      </c>
      <c r="K1296" t="s">
        <v>56</v>
      </c>
      <c r="L1296">
        <v>1</v>
      </c>
      <c r="M1296">
        <v>1757</v>
      </c>
      <c r="N1296">
        <v>4</v>
      </c>
      <c r="O1296" t="s">
        <v>52</v>
      </c>
      <c r="P1296">
        <v>80</v>
      </c>
      <c r="Q1296">
        <v>3</v>
      </c>
      <c r="R1296">
        <v>2</v>
      </c>
      <c r="S1296" t="s">
        <v>136</v>
      </c>
      <c r="T1296">
        <v>4</v>
      </c>
      <c r="U1296" t="s">
        <v>45</v>
      </c>
      <c r="V1296">
        <v>4507</v>
      </c>
      <c r="W1296" t="s">
        <v>46</v>
      </c>
      <c r="X1296">
        <v>8191</v>
      </c>
      <c r="Y1296">
        <v>3</v>
      </c>
      <c r="Z1296" t="s">
        <v>47</v>
      </c>
      <c r="AA1296" t="s">
        <v>48</v>
      </c>
      <c r="AB1296">
        <v>12</v>
      </c>
      <c r="AC1296">
        <v>3</v>
      </c>
      <c r="AD1296">
        <v>3</v>
      </c>
      <c r="AE1296">
        <v>80</v>
      </c>
      <c r="AF1296">
        <v>0</v>
      </c>
      <c r="AG1296">
        <v>8</v>
      </c>
      <c r="AH1296">
        <v>1</v>
      </c>
      <c r="AI1296">
        <v>4</v>
      </c>
      <c r="AJ1296">
        <v>5</v>
      </c>
      <c r="AK1296">
        <v>1</v>
      </c>
      <c r="AL1296">
        <v>0</v>
      </c>
    </row>
    <row r="1297" spans="1:38" x14ac:dyDescent="0.3">
      <c r="A1297" t="s">
        <v>1367</v>
      </c>
      <c r="B1297">
        <v>49</v>
      </c>
      <c r="C1297" t="s">
        <v>1269</v>
      </c>
      <c r="D1297" t="s">
        <v>48</v>
      </c>
      <c r="E1297">
        <f t="shared" si="20"/>
        <v>0</v>
      </c>
      <c r="F1297" t="s">
        <v>55</v>
      </c>
      <c r="G1297">
        <v>1064</v>
      </c>
      <c r="H1297" t="s">
        <v>41</v>
      </c>
      <c r="I1297">
        <v>2</v>
      </c>
      <c r="J1297">
        <v>1</v>
      </c>
      <c r="K1297" t="s">
        <v>42</v>
      </c>
      <c r="L1297">
        <v>1</v>
      </c>
      <c r="M1297">
        <v>1941</v>
      </c>
      <c r="N1297">
        <v>2</v>
      </c>
      <c r="O1297" t="s">
        <v>43</v>
      </c>
      <c r="P1297">
        <v>42</v>
      </c>
      <c r="Q1297">
        <v>3</v>
      </c>
      <c r="R1297">
        <v>5</v>
      </c>
      <c r="S1297" t="s">
        <v>251</v>
      </c>
      <c r="T1297">
        <v>4</v>
      </c>
      <c r="U1297" t="s">
        <v>104</v>
      </c>
      <c r="V1297">
        <v>19161</v>
      </c>
      <c r="W1297" t="s">
        <v>366</v>
      </c>
      <c r="X1297">
        <v>13738</v>
      </c>
      <c r="Y1297">
        <v>3</v>
      </c>
      <c r="Z1297" t="s">
        <v>47</v>
      </c>
      <c r="AA1297" t="s">
        <v>48</v>
      </c>
      <c r="AB1297">
        <v>15</v>
      </c>
      <c r="AC1297">
        <v>3</v>
      </c>
      <c r="AD1297">
        <v>4</v>
      </c>
      <c r="AE1297">
        <v>80</v>
      </c>
      <c r="AF1297">
        <v>0</v>
      </c>
      <c r="AG1297">
        <v>28</v>
      </c>
      <c r="AH1297">
        <v>3</v>
      </c>
      <c r="AI1297">
        <v>3</v>
      </c>
      <c r="AJ1297">
        <v>5</v>
      </c>
      <c r="AK1297">
        <v>4</v>
      </c>
      <c r="AL1297">
        <v>4</v>
      </c>
    </row>
    <row r="1298" spans="1:38" x14ac:dyDescent="0.3">
      <c r="A1298" t="s">
        <v>1368</v>
      </c>
      <c r="B1298">
        <v>49</v>
      </c>
      <c r="C1298" t="s">
        <v>1269</v>
      </c>
      <c r="D1298" t="s">
        <v>48</v>
      </c>
      <c r="E1298">
        <f t="shared" si="20"/>
        <v>0</v>
      </c>
      <c r="F1298" t="s">
        <v>55</v>
      </c>
      <c r="G1298">
        <v>1023</v>
      </c>
      <c r="H1298" t="s">
        <v>50</v>
      </c>
      <c r="I1298">
        <v>2</v>
      </c>
      <c r="J1298">
        <v>3</v>
      </c>
      <c r="K1298" t="s">
        <v>51</v>
      </c>
      <c r="L1298">
        <v>1</v>
      </c>
      <c r="M1298">
        <v>2065</v>
      </c>
      <c r="N1298">
        <v>4</v>
      </c>
      <c r="O1298" t="s">
        <v>43</v>
      </c>
      <c r="P1298">
        <v>63</v>
      </c>
      <c r="Q1298">
        <v>2</v>
      </c>
      <c r="R1298">
        <v>2</v>
      </c>
      <c r="S1298" t="s">
        <v>136</v>
      </c>
      <c r="T1298">
        <v>2</v>
      </c>
      <c r="U1298" t="s">
        <v>104</v>
      </c>
      <c r="V1298">
        <v>5390</v>
      </c>
      <c r="W1298" t="s">
        <v>162</v>
      </c>
      <c r="X1298">
        <v>13243</v>
      </c>
      <c r="Y1298">
        <v>2</v>
      </c>
      <c r="Z1298" t="s">
        <v>47</v>
      </c>
      <c r="AA1298" t="s">
        <v>48</v>
      </c>
      <c r="AB1298">
        <v>14</v>
      </c>
      <c r="AC1298">
        <v>3</v>
      </c>
      <c r="AD1298">
        <v>4</v>
      </c>
      <c r="AE1298">
        <v>80</v>
      </c>
      <c r="AF1298">
        <v>0</v>
      </c>
      <c r="AG1298">
        <v>17</v>
      </c>
      <c r="AH1298">
        <v>3</v>
      </c>
      <c r="AI1298">
        <v>2</v>
      </c>
      <c r="AJ1298">
        <v>9</v>
      </c>
      <c r="AK1298">
        <v>6</v>
      </c>
      <c r="AL1298">
        <v>0</v>
      </c>
    </row>
    <row r="1299" spans="1:38" x14ac:dyDescent="0.3">
      <c r="A1299" t="s">
        <v>1369</v>
      </c>
      <c r="B1299">
        <v>50</v>
      </c>
      <c r="C1299" t="s">
        <v>1269</v>
      </c>
      <c r="D1299" t="s">
        <v>39</v>
      </c>
      <c r="E1299">
        <f t="shared" si="20"/>
        <v>1</v>
      </c>
      <c r="F1299" t="s">
        <v>40</v>
      </c>
      <c r="G1299">
        <v>869</v>
      </c>
      <c r="H1299" t="s">
        <v>50</v>
      </c>
      <c r="I1299">
        <v>3</v>
      </c>
      <c r="J1299">
        <v>2</v>
      </c>
      <c r="K1299" t="s">
        <v>56</v>
      </c>
      <c r="L1299">
        <v>1</v>
      </c>
      <c r="M1299">
        <v>47</v>
      </c>
      <c r="N1299">
        <v>1</v>
      </c>
      <c r="O1299" t="s">
        <v>43</v>
      </c>
      <c r="P1299">
        <v>86</v>
      </c>
      <c r="Q1299">
        <v>2</v>
      </c>
      <c r="R1299">
        <v>1</v>
      </c>
      <c r="S1299" t="s">
        <v>53</v>
      </c>
      <c r="T1299">
        <v>3</v>
      </c>
      <c r="U1299" t="s">
        <v>104</v>
      </c>
      <c r="V1299">
        <v>2683</v>
      </c>
      <c r="W1299" t="s">
        <v>46</v>
      </c>
      <c r="X1299">
        <v>3810</v>
      </c>
      <c r="Y1299">
        <v>1</v>
      </c>
      <c r="Z1299" t="s">
        <v>47</v>
      </c>
      <c r="AA1299" t="s">
        <v>39</v>
      </c>
      <c r="AB1299">
        <v>14</v>
      </c>
      <c r="AC1299">
        <v>3</v>
      </c>
      <c r="AD1299">
        <v>3</v>
      </c>
      <c r="AE1299">
        <v>80</v>
      </c>
      <c r="AF1299">
        <v>0</v>
      </c>
      <c r="AG1299">
        <v>3</v>
      </c>
      <c r="AH1299">
        <v>2</v>
      </c>
      <c r="AI1299">
        <v>3</v>
      </c>
      <c r="AJ1299">
        <v>3</v>
      </c>
      <c r="AK1299">
        <v>2</v>
      </c>
      <c r="AL1299">
        <v>0</v>
      </c>
    </row>
    <row r="1300" spans="1:38" x14ac:dyDescent="0.3">
      <c r="A1300" t="s">
        <v>1370</v>
      </c>
      <c r="B1300">
        <v>50</v>
      </c>
      <c r="C1300" t="s">
        <v>1269</v>
      </c>
      <c r="D1300" t="s">
        <v>48</v>
      </c>
      <c r="E1300">
        <f t="shared" si="20"/>
        <v>0</v>
      </c>
      <c r="F1300" t="s">
        <v>40</v>
      </c>
      <c r="G1300">
        <v>989</v>
      </c>
      <c r="H1300" t="s">
        <v>41</v>
      </c>
      <c r="I1300">
        <v>7</v>
      </c>
      <c r="J1300">
        <v>2</v>
      </c>
      <c r="K1300" t="s">
        <v>51</v>
      </c>
      <c r="L1300">
        <v>1</v>
      </c>
      <c r="M1300">
        <v>80</v>
      </c>
      <c r="N1300">
        <v>2</v>
      </c>
      <c r="O1300" t="s">
        <v>52</v>
      </c>
      <c r="P1300">
        <v>43</v>
      </c>
      <c r="Q1300">
        <v>2</v>
      </c>
      <c r="R1300">
        <v>5</v>
      </c>
      <c r="S1300" t="s">
        <v>251</v>
      </c>
      <c r="T1300">
        <v>3</v>
      </c>
      <c r="U1300" t="s">
        <v>101</v>
      </c>
      <c r="V1300">
        <v>18740</v>
      </c>
      <c r="W1300" t="s">
        <v>366</v>
      </c>
      <c r="X1300">
        <v>16701</v>
      </c>
      <c r="Y1300">
        <v>5</v>
      </c>
      <c r="Z1300" t="s">
        <v>47</v>
      </c>
      <c r="AA1300" t="s">
        <v>39</v>
      </c>
      <c r="AB1300">
        <v>12</v>
      </c>
      <c r="AC1300">
        <v>3</v>
      </c>
      <c r="AD1300">
        <v>4</v>
      </c>
      <c r="AE1300">
        <v>80</v>
      </c>
      <c r="AF1300">
        <v>1</v>
      </c>
      <c r="AG1300">
        <v>29</v>
      </c>
      <c r="AH1300">
        <v>2</v>
      </c>
      <c r="AI1300">
        <v>2</v>
      </c>
      <c r="AJ1300">
        <v>27</v>
      </c>
      <c r="AK1300">
        <v>3</v>
      </c>
      <c r="AL1300">
        <v>13</v>
      </c>
    </row>
    <row r="1301" spans="1:38" x14ac:dyDescent="0.3">
      <c r="A1301" t="s">
        <v>1371</v>
      </c>
      <c r="B1301">
        <v>50</v>
      </c>
      <c r="C1301" t="s">
        <v>1269</v>
      </c>
      <c r="D1301" t="s">
        <v>48</v>
      </c>
      <c r="E1301">
        <f t="shared" si="20"/>
        <v>0</v>
      </c>
      <c r="F1301" t="s">
        <v>55</v>
      </c>
      <c r="G1301">
        <v>1115</v>
      </c>
      <c r="H1301" t="s">
        <v>41</v>
      </c>
      <c r="I1301">
        <v>1</v>
      </c>
      <c r="J1301">
        <v>3</v>
      </c>
      <c r="K1301" t="s">
        <v>42</v>
      </c>
      <c r="L1301">
        <v>1</v>
      </c>
      <c r="M1301">
        <v>141</v>
      </c>
      <c r="N1301">
        <v>1</v>
      </c>
      <c r="O1301" t="s">
        <v>52</v>
      </c>
      <c r="P1301">
        <v>73</v>
      </c>
      <c r="Q1301">
        <v>3</v>
      </c>
      <c r="R1301">
        <v>5</v>
      </c>
      <c r="S1301" t="s">
        <v>251</v>
      </c>
      <c r="T1301">
        <v>2</v>
      </c>
      <c r="U1301" t="s">
        <v>104</v>
      </c>
      <c r="V1301">
        <v>18172</v>
      </c>
      <c r="W1301" t="s">
        <v>366</v>
      </c>
      <c r="X1301">
        <v>9755</v>
      </c>
      <c r="Y1301">
        <v>3</v>
      </c>
      <c r="Z1301" t="s">
        <v>47</v>
      </c>
      <c r="AA1301" t="s">
        <v>39</v>
      </c>
      <c r="AB1301">
        <v>19</v>
      </c>
      <c r="AC1301">
        <v>3</v>
      </c>
      <c r="AD1301">
        <v>1</v>
      </c>
      <c r="AE1301">
        <v>80</v>
      </c>
      <c r="AF1301">
        <v>0</v>
      </c>
      <c r="AG1301">
        <v>28</v>
      </c>
      <c r="AH1301">
        <v>1</v>
      </c>
      <c r="AI1301">
        <v>2</v>
      </c>
      <c r="AJ1301">
        <v>8</v>
      </c>
      <c r="AK1301">
        <v>3</v>
      </c>
      <c r="AL1301">
        <v>0</v>
      </c>
    </row>
    <row r="1302" spans="1:38" x14ac:dyDescent="0.3">
      <c r="A1302" t="s">
        <v>1372</v>
      </c>
      <c r="B1302">
        <v>50</v>
      </c>
      <c r="C1302" t="s">
        <v>1269</v>
      </c>
      <c r="D1302" t="s">
        <v>48</v>
      </c>
      <c r="E1302">
        <f t="shared" si="20"/>
        <v>0</v>
      </c>
      <c r="F1302" t="s">
        <v>55</v>
      </c>
      <c r="G1302">
        <v>809</v>
      </c>
      <c r="H1302" t="s">
        <v>50</v>
      </c>
      <c r="I1302">
        <v>12</v>
      </c>
      <c r="J1302">
        <v>3</v>
      </c>
      <c r="K1302" t="s">
        <v>56</v>
      </c>
      <c r="L1302">
        <v>1</v>
      </c>
      <c r="M1302">
        <v>174</v>
      </c>
      <c r="N1302">
        <v>3</v>
      </c>
      <c r="O1302" t="s">
        <v>52</v>
      </c>
      <c r="P1302">
        <v>77</v>
      </c>
      <c r="Q1302">
        <v>3</v>
      </c>
      <c r="R1302">
        <v>3</v>
      </c>
      <c r="S1302" t="s">
        <v>136</v>
      </c>
      <c r="T1302">
        <v>4</v>
      </c>
      <c r="U1302" t="s">
        <v>45</v>
      </c>
      <c r="V1302">
        <v>9208</v>
      </c>
      <c r="W1302" t="s">
        <v>162</v>
      </c>
      <c r="X1302">
        <v>6645</v>
      </c>
      <c r="Y1302">
        <v>4</v>
      </c>
      <c r="Z1302" t="s">
        <v>47</v>
      </c>
      <c r="AA1302" t="s">
        <v>48</v>
      </c>
      <c r="AB1302">
        <v>11</v>
      </c>
      <c r="AC1302">
        <v>3</v>
      </c>
      <c r="AD1302">
        <v>4</v>
      </c>
      <c r="AE1302">
        <v>80</v>
      </c>
      <c r="AF1302">
        <v>0</v>
      </c>
      <c r="AG1302">
        <v>16</v>
      </c>
      <c r="AH1302">
        <v>3</v>
      </c>
      <c r="AI1302">
        <v>3</v>
      </c>
      <c r="AJ1302">
        <v>2</v>
      </c>
      <c r="AK1302">
        <v>2</v>
      </c>
      <c r="AL1302">
        <v>2</v>
      </c>
    </row>
    <row r="1303" spans="1:38" x14ac:dyDescent="0.3">
      <c r="A1303" t="s">
        <v>1373</v>
      </c>
      <c r="B1303">
        <v>50</v>
      </c>
      <c r="C1303" t="s">
        <v>1269</v>
      </c>
      <c r="D1303" t="s">
        <v>48</v>
      </c>
      <c r="E1303">
        <f t="shared" si="20"/>
        <v>0</v>
      </c>
      <c r="F1303" t="s">
        <v>40</v>
      </c>
      <c r="G1303">
        <v>1452</v>
      </c>
      <c r="H1303" t="s">
        <v>41</v>
      </c>
      <c r="I1303">
        <v>11</v>
      </c>
      <c r="J1303">
        <v>3</v>
      </c>
      <c r="K1303" t="s">
        <v>42</v>
      </c>
      <c r="L1303">
        <v>1</v>
      </c>
      <c r="M1303">
        <v>226</v>
      </c>
      <c r="N1303">
        <v>3</v>
      </c>
      <c r="O1303" t="s">
        <v>52</v>
      </c>
      <c r="P1303">
        <v>53</v>
      </c>
      <c r="Q1303">
        <v>3</v>
      </c>
      <c r="R1303">
        <v>5</v>
      </c>
      <c r="S1303" t="s">
        <v>440</v>
      </c>
      <c r="T1303">
        <v>2</v>
      </c>
      <c r="U1303" t="s">
        <v>45</v>
      </c>
      <c r="V1303">
        <v>19926</v>
      </c>
      <c r="W1303" t="s">
        <v>366</v>
      </c>
      <c r="X1303">
        <v>17053</v>
      </c>
      <c r="Y1303">
        <v>3</v>
      </c>
      <c r="Z1303" t="s">
        <v>47</v>
      </c>
      <c r="AA1303" t="s">
        <v>48</v>
      </c>
      <c r="AB1303">
        <v>15</v>
      </c>
      <c r="AC1303">
        <v>3</v>
      </c>
      <c r="AD1303">
        <v>2</v>
      </c>
      <c r="AE1303">
        <v>80</v>
      </c>
      <c r="AF1303">
        <v>0</v>
      </c>
      <c r="AG1303">
        <v>21</v>
      </c>
      <c r="AH1303">
        <v>5</v>
      </c>
      <c r="AI1303">
        <v>3</v>
      </c>
      <c r="AJ1303">
        <v>5</v>
      </c>
      <c r="AK1303">
        <v>4</v>
      </c>
      <c r="AL1303">
        <v>4</v>
      </c>
    </row>
    <row r="1304" spans="1:38" x14ac:dyDescent="0.3">
      <c r="A1304" t="s">
        <v>1374</v>
      </c>
      <c r="B1304">
        <v>50</v>
      </c>
      <c r="C1304" t="s">
        <v>1269</v>
      </c>
      <c r="D1304" t="s">
        <v>48</v>
      </c>
      <c r="E1304">
        <f t="shared" si="20"/>
        <v>0</v>
      </c>
      <c r="F1304" t="s">
        <v>40</v>
      </c>
      <c r="G1304">
        <v>328</v>
      </c>
      <c r="H1304" t="s">
        <v>41</v>
      </c>
      <c r="I1304">
        <v>1</v>
      </c>
      <c r="J1304">
        <v>3</v>
      </c>
      <c r="K1304" t="s">
        <v>51</v>
      </c>
      <c r="L1304">
        <v>1</v>
      </c>
      <c r="M1304">
        <v>249</v>
      </c>
      <c r="N1304">
        <v>3</v>
      </c>
      <c r="O1304" t="s">
        <v>43</v>
      </c>
      <c r="P1304">
        <v>86</v>
      </c>
      <c r="Q1304">
        <v>2</v>
      </c>
      <c r="R1304">
        <v>1</v>
      </c>
      <c r="S1304" t="s">
        <v>44</v>
      </c>
      <c r="T1304">
        <v>3</v>
      </c>
      <c r="U1304" t="s">
        <v>104</v>
      </c>
      <c r="V1304">
        <v>3690</v>
      </c>
      <c r="W1304" t="s">
        <v>46</v>
      </c>
      <c r="X1304">
        <v>3425</v>
      </c>
      <c r="Y1304">
        <v>2</v>
      </c>
      <c r="Z1304" t="s">
        <v>47</v>
      </c>
      <c r="AA1304" t="s">
        <v>48</v>
      </c>
      <c r="AB1304">
        <v>15</v>
      </c>
      <c r="AC1304">
        <v>3</v>
      </c>
      <c r="AD1304">
        <v>4</v>
      </c>
      <c r="AE1304">
        <v>80</v>
      </c>
      <c r="AF1304">
        <v>1</v>
      </c>
      <c r="AG1304">
        <v>5</v>
      </c>
      <c r="AH1304">
        <v>2</v>
      </c>
      <c r="AI1304">
        <v>2</v>
      </c>
      <c r="AJ1304">
        <v>3</v>
      </c>
      <c r="AK1304">
        <v>2</v>
      </c>
      <c r="AL1304">
        <v>0</v>
      </c>
    </row>
    <row r="1305" spans="1:38" x14ac:dyDescent="0.3">
      <c r="A1305" t="s">
        <v>1375</v>
      </c>
      <c r="B1305">
        <v>50</v>
      </c>
      <c r="C1305" t="s">
        <v>1269</v>
      </c>
      <c r="D1305" t="s">
        <v>48</v>
      </c>
      <c r="E1305">
        <f t="shared" si="20"/>
        <v>0</v>
      </c>
      <c r="F1305" t="s">
        <v>40</v>
      </c>
      <c r="G1305">
        <v>854</v>
      </c>
      <c r="H1305" t="s">
        <v>50</v>
      </c>
      <c r="I1305">
        <v>1</v>
      </c>
      <c r="J1305">
        <v>4</v>
      </c>
      <c r="K1305" t="s">
        <v>51</v>
      </c>
      <c r="L1305">
        <v>1</v>
      </c>
      <c r="M1305">
        <v>323</v>
      </c>
      <c r="N1305">
        <v>4</v>
      </c>
      <c r="O1305" t="s">
        <v>52</v>
      </c>
      <c r="P1305">
        <v>68</v>
      </c>
      <c r="Q1305">
        <v>3</v>
      </c>
      <c r="R1305">
        <v>5</v>
      </c>
      <c r="S1305" t="s">
        <v>440</v>
      </c>
      <c r="T1305">
        <v>4</v>
      </c>
      <c r="U1305" t="s">
        <v>101</v>
      </c>
      <c r="V1305">
        <v>19517</v>
      </c>
      <c r="W1305" t="s">
        <v>366</v>
      </c>
      <c r="X1305">
        <v>24118</v>
      </c>
      <c r="Y1305">
        <v>3</v>
      </c>
      <c r="Z1305" t="s">
        <v>47</v>
      </c>
      <c r="AA1305" t="s">
        <v>48</v>
      </c>
      <c r="AB1305">
        <v>11</v>
      </c>
      <c r="AC1305">
        <v>3</v>
      </c>
      <c r="AD1305">
        <v>3</v>
      </c>
      <c r="AE1305">
        <v>80</v>
      </c>
      <c r="AF1305">
        <v>1</v>
      </c>
      <c r="AG1305">
        <v>32</v>
      </c>
      <c r="AH1305">
        <v>3</v>
      </c>
      <c r="AI1305">
        <v>2</v>
      </c>
      <c r="AJ1305">
        <v>7</v>
      </c>
      <c r="AK1305">
        <v>0</v>
      </c>
      <c r="AL1305">
        <v>0</v>
      </c>
    </row>
    <row r="1306" spans="1:38" x14ac:dyDescent="0.3">
      <c r="A1306" t="s">
        <v>1376</v>
      </c>
      <c r="B1306">
        <v>50</v>
      </c>
      <c r="C1306" t="s">
        <v>1269</v>
      </c>
      <c r="D1306" t="s">
        <v>48</v>
      </c>
      <c r="E1306">
        <f t="shared" si="20"/>
        <v>0</v>
      </c>
      <c r="F1306" t="s">
        <v>40</v>
      </c>
      <c r="G1306">
        <v>797</v>
      </c>
      <c r="H1306" t="s">
        <v>41</v>
      </c>
      <c r="I1306">
        <v>4</v>
      </c>
      <c r="J1306">
        <v>1</v>
      </c>
      <c r="K1306" t="s">
        <v>42</v>
      </c>
      <c r="L1306">
        <v>1</v>
      </c>
      <c r="M1306">
        <v>385</v>
      </c>
      <c r="N1306">
        <v>1</v>
      </c>
      <c r="O1306" t="s">
        <v>43</v>
      </c>
      <c r="P1306">
        <v>96</v>
      </c>
      <c r="Q1306">
        <v>3</v>
      </c>
      <c r="R1306">
        <v>5</v>
      </c>
      <c r="S1306" t="s">
        <v>251</v>
      </c>
      <c r="T1306">
        <v>2</v>
      </c>
      <c r="U1306" t="s">
        <v>101</v>
      </c>
      <c r="V1306">
        <v>19144</v>
      </c>
      <c r="W1306" t="s">
        <v>366</v>
      </c>
      <c r="X1306">
        <v>15815</v>
      </c>
      <c r="Y1306">
        <v>3</v>
      </c>
      <c r="Z1306" t="s">
        <v>47</v>
      </c>
      <c r="AA1306" t="s">
        <v>48</v>
      </c>
      <c r="AB1306">
        <v>14</v>
      </c>
      <c r="AC1306">
        <v>3</v>
      </c>
      <c r="AD1306">
        <v>1</v>
      </c>
      <c r="AE1306">
        <v>80</v>
      </c>
      <c r="AF1306">
        <v>2</v>
      </c>
      <c r="AG1306">
        <v>28</v>
      </c>
      <c r="AH1306">
        <v>4</v>
      </c>
      <c r="AI1306">
        <v>2</v>
      </c>
      <c r="AJ1306">
        <v>10</v>
      </c>
      <c r="AK1306">
        <v>4</v>
      </c>
      <c r="AL1306">
        <v>1</v>
      </c>
    </row>
    <row r="1307" spans="1:38" x14ac:dyDescent="0.3">
      <c r="A1307" t="s">
        <v>1377</v>
      </c>
      <c r="B1307">
        <v>50</v>
      </c>
      <c r="C1307" t="s">
        <v>1269</v>
      </c>
      <c r="D1307" t="s">
        <v>48</v>
      </c>
      <c r="E1307">
        <f t="shared" si="20"/>
        <v>0</v>
      </c>
      <c r="F1307" t="s">
        <v>40</v>
      </c>
      <c r="G1307">
        <v>1046</v>
      </c>
      <c r="H1307" t="s">
        <v>41</v>
      </c>
      <c r="I1307">
        <v>10</v>
      </c>
      <c r="J1307">
        <v>3</v>
      </c>
      <c r="K1307" t="s">
        <v>67</v>
      </c>
      <c r="L1307">
        <v>1</v>
      </c>
      <c r="M1307">
        <v>491</v>
      </c>
      <c r="N1307">
        <v>4</v>
      </c>
      <c r="O1307" t="s">
        <v>43</v>
      </c>
      <c r="P1307">
        <v>100</v>
      </c>
      <c r="Q1307">
        <v>2</v>
      </c>
      <c r="R1307">
        <v>3</v>
      </c>
      <c r="S1307" t="s">
        <v>160</v>
      </c>
      <c r="T1307">
        <v>4</v>
      </c>
      <c r="U1307" t="s">
        <v>45</v>
      </c>
      <c r="V1307">
        <v>10496</v>
      </c>
      <c r="W1307" t="s">
        <v>252</v>
      </c>
      <c r="X1307">
        <v>2755</v>
      </c>
      <c r="Y1307">
        <v>6</v>
      </c>
      <c r="Z1307" t="s">
        <v>47</v>
      </c>
      <c r="AA1307" t="s">
        <v>48</v>
      </c>
      <c r="AB1307">
        <v>15</v>
      </c>
      <c r="AC1307">
        <v>3</v>
      </c>
      <c r="AD1307">
        <v>4</v>
      </c>
      <c r="AE1307">
        <v>80</v>
      </c>
      <c r="AF1307">
        <v>0</v>
      </c>
      <c r="AG1307">
        <v>20</v>
      </c>
      <c r="AH1307">
        <v>2</v>
      </c>
      <c r="AI1307">
        <v>3</v>
      </c>
      <c r="AJ1307">
        <v>4</v>
      </c>
      <c r="AK1307">
        <v>3</v>
      </c>
      <c r="AL1307">
        <v>1</v>
      </c>
    </row>
    <row r="1308" spans="1:38" x14ac:dyDescent="0.3">
      <c r="A1308" t="s">
        <v>1378</v>
      </c>
      <c r="B1308">
        <v>50</v>
      </c>
      <c r="C1308" t="s">
        <v>1269</v>
      </c>
      <c r="D1308" t="s">
        <v>48</v>
      </c>
      <c r="E1308">
        <f t="shared" si="20"/>
        <v>0</v>
      </c>
      <c r="F1308" t="s">
        <v>40</v>
      </c>
      <c r="G1308">
        <v>1099</v>
      </c>
      <c r="H1308" t="s">
        <v>41</v>
      </c>
      <c r="I1308">
        <v>29</v>
      </c>
      <c r="J1308">
        <v>4</v>
      </c>
      <c r="K1308" t="s">
        <v>42</v>
      </c>
      <c r="L1308">
        <v>1</v>
      </c>
      <c r="M1308">
        <v>569</v>
      </c>
      <c r="N1308">
        <v>2</v>
      </c>
      <c r="O1308" t="s">
        <v>43</v>
      </c>
      <c r="P1308">
        <v>88</v>
      </c>
      <c r="Q1308">
        <v>2</v>
      </c>
      <c r="R1308">
        <v>4</v>
      </c>
      <c r="S1308" t="s">
        <v>440</v>
      </c>
      <c r="T1308">
        <v>3</v>
      </c>
      <c r="U1308" t="s">
        <v>104</v>
      </c>
      <c r="V1308">
        <v>17046</v>
      </c>
      <c r="W1308" t="s">
        <v>366</v>
      </c>
      <c r="X1308">
        <v>9314</v>
      </c>
      <c r="Y1308">
        <v>0</v>
      </c>
      <c r="Z1308" t="s">
        <v>47</v>
      </c>
      <c r="AA1308" t="s">
        <v>48</v>
      </c>
      <c r="AB1308">
        <v>15</v>
      </c>
      <c r="AC1308">
        <v>3</v>
      </c>
      <c r="AD1308">
        <v>2</v>
      </c>
      <c r="AE1308">
        <v>80</v>
      </c>
      <c r="AF1308">
        <v>1</v>
      </c>
      <c r="AG1308">
        <v>28</v>
      </c>
      <c r="AH1308">
        <v>2</v>
      </c>
      <c r="AI1308">
        <v>3</v>
      </c>
      <c r="AJ1308">
        <v>27</v>
      </c>
      <c r="AK1308">
        <v>10</v>
      </c>
      <c r="AL1308">
        <v>15</v>
      </c>
    </row>
    <row r="1309" spans="1:38" x14ac:dyDescent="0.3">
      <c r="A1309" t="s">
        <v>1379</v>
      </c>
      <c r="B1309">
        <v>50</v>
      </c>
      <c r="C1309" t="s">
        <v>1269</v>
      </c>
      <c r="D1309" t="s">
        <v>48</v>
      </c>
      <c r="E1309">
        <f t="shared" si="20"/>
        <v>0</v>
      </c>
      <c r="F1309" t="s">
        <v>55</v>
      </c>
      <c r="G1309">
        <v>1246</v>
      </c>
      <c r="H1309" t="s">
        <v>70</v>
      </c>
      <c r="I1309">
        <v>3</v>
      </c>
      <c r="J1309">
        <v>3</v>
      </c>
      <c r="K1309" t="s">
        <v>51</v>
      </c>
      <c r="L1309">
        <v>1</v>
      </c>
      <c r="M1309">
        <v>644</v>
      </c>
      <c r="N1309">
        <v>1</v>
      </c>
      <c r="O1309" t="s">
        <v>43</v>
      </c>
      <c r="P1309">
        <v>99</v>
      </c>
      <c r="Q1309">
        <v>3</v>
      </c>
      <c r="R1309">
        <v>5</v>
      </c>
      <c r="S1309" t="s">
        <v>440</v>
      </c>
      <c r="T1309">
        <v>2</v>
      </c>
      <c r="U1309" t="s">
        <v>104</v>
      </c>
      <c r="V1309">
        <v>18200</v>
      </c>
      <c r="W1309" t="s">
        <v>366</v>
      </c>
      <c r="X1309">
        <v>7999</v>
      </c>
      <c r="Y1309">
        <v>1</v>
      </c>
      <c r="Z1309" t="s">
        <v>47</v>
      </c>
      <c r="AA1309" t="s">
        <v>48</v>
      </c>
      <c r="AB1309">
        <v>11</v>
      </c>
      <c r="AC1309">
        <v>3</v>
      </c>
      <c r="AD1309">
        <v>3</v>
      </c>
      <c r="AE1309">
        <v>80</v>
      </c>
      <c r="AF1309">
        <v>1</v>
      </c>
      <c r="AG1309">
        <v>32</v>
      </c>
      <c r="AH1309">
        <v>2</v>
      </c>
      <c r="AI1309">
        <v>3</v>
      </c>
      <c r="AJ1309">
        <v>32</v>
      </c>
      <c r="AK1309">
        <v>5</v>
      </c>
      <c r="AL1309">
        <v>10</v>
      </c>
    </row>
    <row r="1310" spans="1:38" x14ac:dyDescent="0.3">
      <c r="A1310" t="s">
        <v>1380</v>
      </c>
      <c r="B1310">
        <v>50</v>
      </c>
      <c r="C1310" t="s">
        <v>1269</v>
      </c>
      <c r="D1310" t="s">
        <v>48</v>
      </c>
      <c r="E1310">
        <f t="shared" si="20"/>
        <v>0</v>
      </c>
      <c r="F1310" t="s">
        <v>40</v>
      </c>
      <c r="G1310">
        <v>1207</v>
      </c>
      <c r="H1310" t="s">
        <v>41</v>
      </c>
      <c r="I1310">
        <v>28</v>
      </c>
      <c r="J1310">
        <v>1</v>
      </c>
      <c r="K1310" t="s">
        <v>51</v>
      </c>
      <c r="L1310">
        <v>1</v>
      </c>
      <c r="M1310">
        <v>716</v>
      </c>
      <c r="N1310">
        <v>4</v>
      </c>
      <c r="O1310" t="s">
        <v>43</v>
      </c>
      <c r="P1310">
        <v>74</v>
      </c>
      <c r="Q1310">
        <v>4</v>
      </c>
      <c r="R1310">
        <v>1</v>
      </c>
      <c r="S1310" t="s">
        <v>44</v>
      </c>
      <c r="T1310">
        <v>3</v>
      </c>
      <c r="U1310" t="s">
        <v>104</v>
      </c>
      <c r="V1310">
        <v>3221</v>
      </c>
      <c r="W1310" t="s">
        <v>46</v>
      </c>
      <c r="X1310">
        <v>3297</v>
      </c>
      <c r="Y1310">
        <v>1</v>
      </c>
      <c r="Z1310" t="s">
        <v>47</v>
      </c>
      <c r="AA1310" t="s">
        <v>39</v>
      </c>
      <c r="AB1310">
        <v>11</v>
      </c>
      <c r="AC1310">
        <v>3</v>
      </c>
      <c r="AD1310">
        <v>3</v>
      </c>
      <c r="AE1310">
        <v>80</v>
      </c>
      <c r="AF1310">
        <v>3</v>
      </c>
      <c r="AG1310">
        <v>20</v>
      </c>
      <c r="AH1310">
        <v>3</v>
      </c>
      <c r="AI1310">
        <v>3</v>
      </c>
      <c r="AJ1310">
        <v>20</v>
      </c>
      <c r="AK1310">
        <v>8</v>
      </c>
      <c r="AL1310">
        <v>3</v>
      </c>
    </row>
    <row r="1311" spans="1:38" x14ac:dyDescent="0.3">
      <c r="A1311" t="s">
        <v>1381</v>
      </c>
      <c r="B1311">
        <v>50</v>
      </c>
      <c r="C1311" t="s">
        <v>1269</v>
      </c>
      <c r="D1311" t="s">
        <v>39</v>
      </c>
      <c r="E1311">
        <f t="shared" si="20"/>
        <v>1</v>
      </c>
      <c r="F1311" t="s">
        <v>55</v>
      </c>
      <c r="G1311">
        <v>562</v>
      </c>
      <c r="H1311" t="s">
        <v>50</v>
      </c>
      <c r="I1311">
        <v>8</v>
      </c>
      <c r="J1311">
        <v>2</v>
      </c>
      <c r="K1311" t="s">
        <v>67</v>
      </c>
      <c r="L1311">
        <v>1</v>
      </c>
      <c r="M1311">
        <v>723</v>
      </c>
      <c r="N1311">
        <v>2</v>
      </c>
      <c r="O1311" t="s">
        <v>43</v>
      </c>
      <c r="P1311">
        <v>50</v>
      </c>
      <c r="Q1311">
        <v>3</v>
      </c>
      <c r="R1311">
        <v>2</v>
      </c>
      <c r="S1311" t="s">
        <v>136</v>
      </c>
      <c r="T1311">
        <v>3</v>
      </c>
      <c r="U1311" t="s">
        <v>104</v>
      </c>
      <c r="V1311">
        <v>6796</v>
      </c>
      <c r="W1311" t="s">
        <v>162</v>
      </c>
      <c r="X1311">
        <v>23452</v>
      </c>
      <c r="Y1311">
        <v>3</v>
      </c>
      <c r="Z1311" t="s">
        <v>47</v>
      </c>
      <c r="AA1311" t="s">
        <v>39</v>
      </c>
      <c r="AB1311">
        <v>14</v>
      </c>
      <c r="AC1311">
        <v>3</v>
      </c>
      <c r="AD1311">
        <v>1</v>
      </c>
      <c r="AE1311">
        <v>80</v>
      </c>
      <c r="AF1311">
        <v>1</v>
      </c>
      <c r="AG1311">
        <v>18</v>
      </c>
      <c r="AH1311">
        <v>4</v>
      </c>
      <c r="AI1311">
        <v>3</v>
      </c>
      <c r="AJ1311">
        <v>4</v>
      </c>
      <c r="AK1311">
        <v>3</v>
      </c>
      <c r="AL1311">
        <v>1</v>
      </c>
    </row>
    <row r="1312" spans="1:38" x14ac:dyDescent="0.3">
      <c r="A1312" t="s">
        <v>1382</v>
      </c>
      <c r="B1312">
        <v>50</v>
      </c>
      <c r="C1312" t="s">
        <v>1269</v>
      </c>
      <c r="D1312" t="s">
        <v>48</v>
      </c>
      <c r="E1312">
        <f t="shared" si="20"/>
        <v>0</v>
      </c>
      <c r="F1312" t="s">
        <v>40</v>
      </c>
      <c r="G1312">
        <v>316</v>
      </c>
      <c r="H1312" t="s">
        <v>50</v>
      </c>
      <c r="I1312">
        <v>8</v>
      </c>
      <c r="J1312">
        <v>4</v>
      </c>
      <c r="K1312" t="s">
        <v>56</v>
      </c>
      <c r="L1312">
        <v>1</v>
      </c>
      <c r="M1312">
        <v>738</v>
      </c>
      <c r="N1312">
        <v>4</v>
      </c>
      <c r="O1312" t="s">
        <v>43</v>
      </c>
      <c r="P1312">
        <v>54</v>
      </c>
      <c r="Q1312">
        <v>3</v>
      </c>
      <c r="R1312">
        <v>1</v>
      </c>
      <c r="S1312" t="s">
        <v>53</v>
      </c>
      <c r="T1312">
        <v>2</v>
      </c>
      <c r="U1312" t="s">
        <v>104</v>
      </c>
      <c r="V1312">
        <v>3875</v>
      </c>
      <c r="W1312" t="s">
        <v>46</v>
      </c>
      <c r="X1312">
        <v>9983</v>
      </c>
      <c r="Y1312">
        <v>7</v>
      </c>
      <c r="Z1312" t="s">
        <v>47</v>
      </c>
      <c r="AA1312" t="s">
        <v>48</v>
      </c>
      <c r="AB1312">
        <v>15</v>
      </c>
      <c r="AC1312">
        <v>3</v>
      </c>
      <c r="AD1312">
        <v>4</v>
      </c>
      <c r="AE1312">
        <v>80</v>
      </c>
      <c r="AF1312">
        <v>1</v>
      </c>
      <c r="AG1312">
        <v>4</v>
      </c>
      <c r="AH1312">
        <v>2</v>
      </c>
      <c r="AI1312">
        <v>3</v>
      </c>
      <c r="AJ1312">
        <v>2</v>
      </c>
      <c r="AK1312">
        <v>2</v>
      </c>
      <c r="AL1312">
        <v>2</v>
      </c>
    </row>
    <row r="1313" spans="1:38" x14ac:dyDescent="0.3">
      <c r="A1313" t="s">
        <v>1383</v>
      </c>
      <c r="B1313">
        <v>50</v>
      </c>
      <c r="C1313" t="s">
        <v>1269</v>
      </c>
      <c r="D1313" t="s">
        <v>48</v>
      </c>
      <c r="E1313">
        <f t="shared" si="20"/>
        <v>0</v>
      </c>
      <c r="F1313" t="s">
        <v>40</v>
      </c>
      <c r="G1313">
        <v>691</v>
      </c>
      <c r="H1313" t="s">
        <v>41</v>
      </c>
      <c r="I1313">
        <v>2</v>
      </c>
      <c r="J1313">
        <v>3</v>
      </c>
      <c r="K1313" t="s">
        <v>51</v>
      </c>
      <c r="L1313">
        <v>1</v>
      </c>
      <c r="M1313">
        <v>815</v>
      </c>
      <c r="N1313">
        <v>3</v>
      </c>
      <c r="O1313" t="s">
        <v>43</v>
      </c>
      <c r="P1313">
        <v>64</v>
      </c>
      <c r="Q1313">
        <v>3</v>
      </c>
      <c r="R1313">
        <v>4</v>
      </c>
      <c r="S1313" t="s">
        <v>251</v>
      </c>
      <c r="T1313">
        <v>3</v>
      </c>
      <c r="U1313" t="s">
        <v>104</v>
      </c>
      <c r="V1313">
        <v>17639</v>
      </c>
      <c r="W1313" t="s">
        <v>366</v>
      </c>
      <c r="X1313">
        <v>6881</v>
      </c>
      <c r="Y1313">
        <v>5</v>
      </c>
      <c r="Z1313" t="s">
        <v>47</v>
      </c>
      <c r="AA1313" t="s">
        <v>48</v>
      </c>
      <c r="AB1313">
        <v>16</v>
      </c>
      <c r="AC1313">
        <v>3</v>
      </c>
      <c r="AD1313">
        <v>4</v>
      </c>
      <c r="AE1313">
        <v>80</v>
      </c>
      <c r="AF1313">
        <v>0</v>
      </c>
      <c r="AG1313">
        <v>30</v>
      </c>
      <c r="AH1313">
        <v>3</v>
      </c>
      <c r="AI1313">
        <v>3</v>
      </c>
      <c r="AJ1313">
        <v>4</v>
      </c>
      <c r="AK1313">
        <v>3</v>
      </c>
      <c r="AL1313">
        <v>0</v>
      </c>
    </row>
    <row r="1314" spans="1:38" x14ac:dyDescent="0.3">
      <c r="A1314" t="s">
        <v>1384</v>
      </c>
      <c r="B1314">
        <v>50</v>
      </c>
      <c r="C1314" t="s">
        <v>1269</v>
      </c>
      <c r="D1314" t="s">
        <v>48</v>
      </c>
      <c r="E1314">
        <f t="shared" si="20"/>
        <v>0</v>
      </c>
      <c r="F1314" t="s">
        <v>58</v>
      </c>
      <c r="G1314">
        <v>881</v>
      </c>
      <c r="H1314" t="s">
        <v>41</v>
      </c>
      <c r="I1314">
        <v>2</v>
      </c>
      <c r="J1314">
        <v>4</v>
      </c>
      <c r="K1314" t="s">
        <v>42</v>
      </c>
      <c r="L1314">
        <v>1</v>
      </c>
      <c r="M1314">
        <v>905</v>
      </c>
      <c r="N1314">
        <v>1</v>
      </c>
      <c r="O1314" t="s">
        <v>43</v>
      </c>
      <c r="P1314">
        <v>98</v>
      </c>
      <c r="Q1314">
        <v>3</v>
      </c>
      <c r="R1314">
        <v>4</v>
      </c>
      <c r="S1314" t="s">
        <v>440</v>
      </c>
      <c r="T1314">
        <v>1</v>
      </c>
      <c r="U1314" t="s">
        <v>101</v>
      </c>
      <c r="V1314">
        <v>17924</v>
      </c>
      <c r="W1314" t="s">
        <v>366</v>
      </c>
      <c r="X1314">
        <v>4544</v>
      </c>
      <c r="Y1314">
        <v>1</v>
      </c>
      <c r="Z1314" t="s">
        <v>47</v>
      </c>
      <c r="AA1314" t="s">
        <v>48</v>
      </c>
      <c r="AB1314">
        <v>11</v>
      </c>
      <c r="AC1314">
        <v>3</v>
      </c>
      <c r="AD1314">
        <v>4</v>
      </c>
      <c r="AE1314">
        <v>80</v>
      </c>
      <c r="AF1314">
        <v>1</v>
      </c>
      <c r="AG1314">
        <v>31</v>
      </c>
      <c r="AH1314">
        <v>3</v>
      </c>
      <c r="AI1314">
        <v>3</v>
      </c>
      <c r="AJ1314">
        <v>31</v>
      </c>
      <c r="AK1314">
        <v>6</v>
      </c>
      <c r="AL1314">
        <v>14</v>
      </c>
    </row>
    <row r="1315" spans="1:38" x14ac:dyDescent="0.3">
      <c r="A1315" t="s">
        <v>1385</v>
      </c>
      <c r="B1315">
        <v>50</v>
      </c>
      <c r="C1315" t="s">
        <v>1269</v>
      </c>
      <c r="D1315" t="s">
        <v>48</v>
      </c>
      <c r="E1315">
        <f t="shared" si="20"/>
        <v>0</v>
      </c>
      <c r="F1315" t="s">
        <v>40</v>
      </c>
      <c r="G1315">
        <v>1126</v>
      </c>
      <c r="H1315" t="s">
        <v>41</v>
      </c>
      <c r="I1315">
        <v>1</v>
      </c>
      <c r="J1315">
        <v>2</v>
      </c>
      <c r="K1315" t="s">
        <v>51</v>
      </c>
      <c r="L1315">
        <v>1</v>
      </c>
      <c r="M1315">
        <v>997</v>
      </c>
      <c r="N1315">
        <v>4</v>
      </c>
      <c r="O1315" t="s">
        <v>43</v>
      </c>
      <c r="P1315">
        <v>66</v>
      </c>
      <c r="Q1315">
        <v>3</v>
      </c>
      <c r="R1315">
        <v>4</v>
      </c>
      <c r="S1315" t="s">
        <v>251</v>
      </c>
      <c r="T1315">
        <v>4</v>
      </c>
      <c r="U1315" t="s">
        <v>101</v>
      </c>
      <c r="V1315">
        <v>17399</v>
      </c>
      <c r="W1315" t="s">
        <v>366</v>
      </c>
      <c r="X1315">
        <v>6615</v>
      </c>
      <c r="Y1315">
        <v>9</v>
      </c>
      <c r="Z1315" t="s">
        <v>47</v>
      </c>
      <c r="AA1315" t="s">
        <v>48</v>
      </c>
      <c r="AB1315">
        <v>22</v>
      </c>
      <c r="AC1315">
        <v>4</v>
      </c>
      <c r="AD1315">
        <v>3</v>
      </c>
      <c r="AE1315">
        <v>80</v>
      </c>
      <c r="AF1315">
        <v>1</v>
      </c>
      <c r="AG1315">
        <v>32</v>
      </c>
      <c r="AH1315">
        <v>1</v>
      </c>
      <c r="AI1315">
        <v>2</v>
      </c>
      <c r="AJ1315">
        <v>5</v>
      </c>
      <c r="AK1315">
        <v>4</v>
      </c>
      <c r="AL1315">
        <v>1</v>
      </c>
    </row>
    <row r="1316" spans="1:38" x14ac:dyDescent="0.3">
      <c r="A1316" t="s">
        <v>1386</v>
      </c>
      <c r="B1316">
        <v>50</v>
      </c>
      <c r="C1316" t="s">
        <v>1269</v>
      </c>
      <c r="D1316" t="s">
        <v>48</v>
      </c>
      <c r="E1316">
        <f t="shared" si="20"/>
        <v>0</v>
      </c>
      <c r="F1316" t="s">
        <v>40</v>
      </c>
      <c r="G1316">
        <v>939</v>
      </c>
      <c r="H1316" t="s">
        <v>41</v>
      </c>
      <c r="I1316">
        <v>24</v>
      </c>
      <c r="J1316">
        <v>3</v>
      </c>
      <c r="K1316" t="s">
        <v>42</v>
      </c>
      <c r="L1316">
        <v>1</v>
      </c>
      <c r="M1316">
        <v>1005</v>
      </c>
      <c r="N1316">
        <v>4</v>
      </c>
      <c r="O1316" t="s">
        <v>43</v>
      </c>
      <c r="P1316">
        <v>95</v>
      </c>
      <c r="Q1316">
        <v>3</v>
      </c>
      <c r="R1316">
        <v>4</v>
      </c>
      <c r="S1316" t="s">
        <v>111</v>
      </c>
      <c r="T1316">
        <v>3</v>
      </c>
      <c r="U1316" t="s">
        <v>104</v>
      </c>
      <c r="V1316">
        <v>13973</v>
      </c>
      <c r="W1316" t="s">
        <v>252</v>
      </c>
      <c r="X1316">
        <v>4161</v>
      </c>
      <c r="Y1316">
        <v>3</v>
      </c>
      <c r="Z1316" t="s">
        <v>47</v>
      </c>
      <c r="AA1316" t="s">
        <v>39</v>
      </c>
      <c r="AB1316">
        <v>18</v>
      </c>
      <c r="AC1316">
        <v>3</v>
      </c>
      <c r="AD1316">
        <v>4</v>
      </c>
      <c r="AE1316">
        <v>80</v>
      </c>
      <c r="AF1316">
        <v>1</v>
      </c>
      <c r="AG1316">
        <v>22</v>
      </c>
      <c r="AH1316">
        <v>2</v>
      </c>
      <c r="AI1316">
        <v>3</v>
      </c>
      <c r="AJ1316">
        <v>12</v>
      </c>
      <c r="AK1316">
        <v>11</v>
      </c>
      <c r="AL1316">
        <v>1</v>
      </c>
    </row>
    <row r="1317" spans="1:38" x14ac:dyDescent="0.3">
      <c r="A1317" t="s">
        <v>1387</v>
      </c>
      <c r="B1317">
        <v>50</v>
      </c>
      <c r="C1317" t="s">
        <v>1269</v>
      </c>
      <c r="D1317" t="s">
        <v>48</v>
      </c>
      <c r="E1317">
        <f t="shared" si="20"/>
        <v>0</v>
      </c>
      <c r="F1317" t="s">
        <v>40</v>
      </c>
      <c r="G1317">
        <v>804</v>
      </c>
      <c r="H1317" t="s">
        <v>41</v>
      </c>
      <c r="I1317">
        <v>9</v>
      </c>
      <c r="J1317">
        <v>3</v>
      </c>
      <c r="K1317" t="s">
        <v>42</v>
      </c>
      <c r="L1317">
        <v>1</v>
      </c>
      <c r="M1317">
        <v>1030</v>
      </c>
      <c r="N1317">
        <v>1</v>
      </c>
      <c r="O1317" t="s">
        <v>43</v>
      </c>
      <c r="P1317">
        <v>64</v>
      </c>
      <c r="Q1317">
        <v>3</v>
      </c>
      <c r="R1317">
        <v>1</v>
      </c>
      <c r="S1317" t="s">
        <v>44</v>
      </c>
      <c r="T1317">
        <v>4</v>
      </c>
      <c r="U1317" t="s">
        <v>104</v>
      </c>
      <c r="V1317">
        <v>2380</v>
      </c>
      <c r="W1317" t="s">
        <v>46</v>
      </c>
      <c r="X1317">
        <v>20165</v>
      </c>
      <c r="Y1317">
        <v>4</v>
      </c>
      <c r="Z1317" t="s">
        <v>47</v>
      </c>
      <c r="AA1317" t="s">
        <v>48</v>
      </c>
      <c r="AB1317">
        <v>18</v>
      </c>
      <c r="AC1317">
        <v>3</v>
      </c>
      <c r="AD1317">
        <v>2</v>
      </c>
      <c r="AE1317">
        <v>80</v>
      </c>
      <c r="AF1317">
        <v>0</v>
      </c>
      <c r="AG1317">
        <v>8</v>
      </c>
      <c r="AH1317">
        <v>5</v>
      </c>
      <c r="AI1317">
        <v>3</v>
      </c>
      <c r="AJ1317">
        <v>1</v>
      </c>
      <c r="AK1317">
        <v>0</v>
      </c>
      <c r="AL1317">
        <v>0</v>
      </c>
    </row>
    <row r="1318" spans="1:38" x14ac:dyDescent="0.3">
      <c r="A1318" t="s">
        <v>1388</v>
      </c>
      <c r="B1318">
        <v>50</v>
      </c>
      <c r="C1318" t="s">
        <v>1269</v>
      </c>
      <c r="D1318" t="s">
        <v>48</v>
      </c>
      <c r="E1318">
        <f t="shared" si="20"/>
        <v>0</v>
      </c>
      <c r="F1318" t="s">
        <v>58</v>
      </c>
      <c r="G1318">
        <v>145</v>
      </c>
      <c r="H1318" t="s">
        <v>50</v>
      </c>
      <c r="I1318">
        <v>1</v>
      </c>
      <c r="J1318">
        <v>3</v>
      </c>
      <c r="K1318" t="s">
        <v>42</v>
      </c>
      <c r="L1318">
        <v>1</v>
      </c>
      <c r="M1318">
        <v>1040</v>
      </c>
      <c r="N1318">
        <v>4</v>
      </c>
      <c r="O1318" t="s">
        <v>52</v>
      </c>
      <c r="P1318">
        <v>95</v>
      </c>
      <c r="Q1318">
        <v>3</v>
      </c>
      <c r="R1318">
        <v>2</v>
      </c>
      <c r="S1318" t="s">
        <v>136</v>
      </c>
      <c r="T1318">
        <v>3</v>
      </c>
      <c r="U1318" t="s">
        <v>104</v>
      </c>
      <c r="V1318">
        <v>6347</v>
      </c>
      <c r="W1318" t="s">
        <v>162</v>
      </c>
      <c r="X1318">
        <v>24920</v>
      </c>
      <c r="Y1318">
        <v>0</v>
      </c>
      <c r="Z1318" t="s">
        <v>47</v>
      </c>
      <c r="AA1318" t="s">
        <v>48</v>
      </c>
      <c r="AB1318">
        <v>12</v>
      </c>
      <c r="AC1318">
        <v>3</v>
      </c>
      <c r="AD1318">
        <v>1</v>
      </c>
      <c r="AE1318">
        <v>80</v>
      </c>
      <c r="AF1318">
        <v>1</v>
      </c>
      <c r="AG1318">
        <v>19</v>
      </c>
      <c r="AH1318">
        <v>3</v>
      </c>
      <c r="AI1318">
        <v>3</v>
      </c>
      <c r="AJ1318">
        <v>18</v>
      </c>
      <c r="AK1318">
        <v>7</v>
      </c>
      <c r="AL1318">
        <v>0</v>
      </c>
    </row>
    <row r="1319" spans="1:38" x14ac:dyDescent="0.3">
      <c r="A1319" t="s">
        <v>1389</v>
      </c>
      <c r="B1319">
        <v>50</v>
      </c>
      <c r="C1319" t="s">
        <v>1269</v>
      </c>
      <c r="D1319" t="s">
        <v>48</v>
      </c>
      <c r="E1319">
        <f t="shared" si="20"/>
        <v>0</v>
      </c>
      <c r="F1319" t="s">
        <v>40</v>
      </c>
      <c r="G1319">
        <v>1464</v>
      </c>
      <c r="H1319" t="s">
        <v>41</v>
      </c>
      <c r="I1319">
        <v>2</v>
      </c>
      <c r="J1319">
        <v>4</v>
      </c>
      <c r="K1319" t="s">
        <v>51</v>
      </c>
      <c r="L1319">
        <v>1</v>
      </c>
      <c r="M1319">
        <v>1061</v>
      </c>
      <c r="N1319">
        <v>2</v>
      </c>
      <c r="O1319" t="s">
        <v>43</v>
      </c>
      <c r="P1319">
        <v>62</v>
      </c>
      <c r="Q1319">
        <v>3</v>
      </c>
      <c r="R1319">
        <v>5</v>
      </c>
      <c r="S1319" t="s">
        <v>251</v>
      </c>
      <c r="T1319">
        <v>3</v>
      </c>
      <c r="U1319" t="s">
        <v>104</v>
      </c>
      <c r="V1319">
        <v>19237</v>
      </c>
      <c r="W1319" t="s">
        <v>366</v>
      </c>
      <c r="X1319">
        <v>12853</v>
      </c>
      <c r="Y1319">
        <v>2</v>
      </c>
      <c r="Z1319" t="s">
        <v>47</v>
      </c>
      <c r="AA1319" t="s">
        <v>39</v>
      </c>
      <c r="AB1319">
        <v>11</v>
      </c>
      <c r="AC1319">
        <v>3</v>
      </c>
      <c r="AD1319">
        <v>4</v>
      </c>
      <c r="AE1319">
        <v>80</v>
      </c>
      <c r="AF1319">
        <v>1</v>
      </c>
      <c r="AG1319">
        <v>29</v>
      </c>
      <c r="AH1319">
        <v>2</v>
      </c>
      <c r="AI1319">
        <v>2</v>
      </c>
      <c r="AJ1319">
        <v>8</v>
      </c>
      <c r="AK1319">
        <v>1</v>
      </c>
      <c r="AL1319">
        <v>7</v>
      </c>
    </row>
    <row r="1320" spans="1:38" x14ac:dyDescent="0.3">
      <c r="A1320" t="s">
        <v>1390</v>
      </c>
      <c r="B1320">
        <v>50</v>
      </c>
      <c r="C1320" t="s">
        <v>1269</v>
      </c>
      <c r="D1320" t="s">
        <v>39</v>
      </c>
      <c r="E1320">
        <f t="shared" si="20"/>
        <v>1</v>
      </c>
      <c r="F1320" t="s">
        <v>55</v>
      </c>
      <c r="G1320">
        <v>959</v>
      </c>
      <c r="H1320" t="s">
        <v>50</v>
      </c>
      <c r="I1320">
        <v>1</v>
      </c>
      <c r="J1320">
        <v>4</v>
      </c>
      <c r="K1320" t="s">
        <v>72</v>
      </c>
      <c r="L1320">
        <v>1</v>
      </c>
      <c r="M1320">
        <v>1113</v>
      </c>
      <c r="N1320">
        <v>4</v>
      </c>
      <c r="O1320" t="s">
        <v>43</v>
      </c>
      <c r="P1320">
        <v>81</v>
      </c>
      <c r="Q1320">
        <v>3</v>
      </c>
      <c r="R1320">
        <v>2</v>
      </c>
      <c r="S1320" t="s">
        <v>136</v>
      </c>
      <c r="T1320">
        <v>3</v>
      </c>
      <c r="U1320" t="s">
        <v>45</v>
      </c>
      <c r="V1320">
        <v>4728</v>
      </c>
      <c r="W1320" t="s">
        <v>46</v>
      </c>
      <c r="X1320">
        <v>17251</v>
      </c>
      <c r="Y1320">
        <v>3</v>
      </c>
      <c r="Z1320" t="s">
        <v>47</v>
      </c>
      <c r="AA1320" t="s">
        <v>39</v>
      </c>
      <c r="AB1320">
        <v>14</v>
      </c>
      <c r="AC1320">
        <v>3</v>
      </c>
      <c r="AD1320">
        <v>4</v>
      </c>
      <c r="AE1320">
        <v>80</v>
      </c>
      <c r="AF1320">
        <v>0</v>
      </c>
      <c r="AG1320">
        <v>5</v>
      </c>
      <c r="AH1320">
        <v>4</v>
      </c>
      <c r="AI1320">
        <v>3</v>
      </c>
      <c r="AJ1320">
        <v>0</v>
      </c>
      <c r="AK1320">
        <v>0</v>
      </c>
      <c r="AL1320">
        <v>0</v>
      </c>
    </row>
    <row r="1321" spans="1:38" x14ac:dyDescent="0.3">
      <c r="A1321" t="s">
        <v>1391</v>
      </c>
      <c r="B1321">
        <v>50</v>
      </c>
      <c r="C1321" t="s">
        <v>1269</v>
      </c>
      <c r="D1321" t="s">
        <v>48</v>
      </c>
      <c r="E1321">
        <f t="shared" si="20"/>
        <v>0</v>
      </c>
      <c r="F1321" t="s">
        <v>55</v>
      </c>
      <c r="G1321">
        <v>1421</v>
      </c>
      <c r="H1321" t="s">
        <v>41</v>
      </c>
      <c r="I1321">
        <v>2</v>
      </c>
      <c r="J1321">
        <v>3</v>
      </c>
      <c r="K1321" t="s">
        <v>51</v>
      </c>
      <c r="L1321">
        <v>1</v>
      </c>
      <c r="M1321">
        <v>1215</v>
      </c>
      <c r="N1321">
        <v>4</v>
      </c>
      <c r="O1321" t="s">
        <v>52</v>
      </c>
      <c r="P1321">
        <v>30</v>
      </c>
      <c r="Q1321">
        <v>3</v>
      </c>
      <c r="R1321">
        <v>4</v>
      </c>
      <c r="S1321" t="s">
        <v>440</v>
      </c>
      <c r="T1321">
        <v>1</v>
      </c>
      <c r="U1321" t="s">
        <v>104</v>
      </c>
      <c r="V1321">
        <v>17856</v>
      </c>
      <c r="W1321" t="s">
        <v>366</v>
      </c>
      <c r="X1321">
        <v>9490</v>
      </c>
      <c r="Y1321">
        <v>2</v>
      </c>
      <c r="Z1321" t="s">
        <v>47</v>
      </c>
      <c r="AA1321" t="s">
        <v>48</v>
      </c>
      <c r="AB1321">
        <v>22</v>
      </c>
      <c r="AC1321">
        <v>4</v>
      </c>
      <c r="AD1321">
        <v>3</v>
      </c>
      <c r="AE1321">
        <v>80</v>
      </c>
      <c r="AF1321">
        <v>1</v>
      </c>
      <c r="AG1321">
        <v>32</v>
      </c>
      <c r="AH1321">
        <v>3</v>
      </c>
      <c r="AI1321">
        <v>3</v>
      </c>
      <c r="AJ1321">
        <v>2</v>
      </c>
      <c r="AK1321">
        <v>2</v>
      </c>
      <c r="AL1321">
        <v>2</v>
      </c>
    </row>
    <row r="1322" spans="1:38" x14ac:dyDescent="0.3">
      <c r="A1322" t="s">
        <v>1392</v>
      </c>
      <c r="B1322">
        <v>50</v>
      </c>
      <c r="C1322" t="s">
        <v>1269</v>
      </c>
      <c r="D1322" t="s">
        <v>48</v>
      </c>
      <c r="E1322">
        <f t="shared" si="20"/>
        <v>0</v>
      </c>
      <c r="F1322" t="s">
        <v>40</v>
      </c>
      <c r="G1322">
        <v>1322</v>
      </c>
      <c r="H1322" t="s">
        <v>41</v>
      </c>
      <c r="I1322">
        <v>28</v>
      </c>
      <c r="J1322">
        <v>3</v>
      </c>
      <c r="K1322" t="s">
        <v>42</v>
      </c>
      <c r="L1322">
        <v>1</v>
      </c>
      <c r="M1322">
        <v>1317</v>
      </c>
      <c r="N1322">
        <v>4</v>
      </c>
      <c r="O1322" t="s">
        <v>52</v>
      </c>
      <c r="P1322">
        <v>43</v>
      </c>
      <c r="Q1322">
        <v>3</v>
      </c>
      <c r="R1322">
        <v>4</v>
      </c>
      <c r="S1322" t="s">
        <v>251</v>
      </c>
      <c r="T1322">
        <v>1</v>
      </c>
      <c r="U1322" t="s">
        <v>104</v>
      </c>
      <c r="V1322">
        <v>16880</v>
      </c>
      <c r="W1322" t="s">
        <v>366</v>
      </c>
      <c r="X1322">
        <v>22422</v>
      </c>
      <c r="Y1322">
        <v>4</v>
      </c>
      <c r="Z1322" t="s">
        <v>47</v>
      </c>
      <c r="AA1322" t="s">
        <v>39</v>
      </c>
      <c r="AB1322">
        <v>11</v>
      </c>
      <c r="AC1322">
        <v>3</v>
      </c>
      <c r="AD1322">
        <v>2</v>
      </c>
      <c r="AE1322">
        <v>80</v>
      </c>
      <c r="AF1322">
        <v>0</v>
      </c>
      <c r="AG1322">
        <v>25</v>
      </c>
      <c r="AH1322">
        <v>2</v>
      </c>
      <c r="AI1322">
        <v>3</v>
      </c>
      <c r="AJ1322">
        <v>3</v>
      </c>
      <c r="AK1322">
        <v>2</v>
      </c>
      <c r="AL1322">
        <v>1</v>
      </c>
    </row>
    <row r="1323" spans="1:38" x14ac:dyDescent="0.3">
      <c r="A1323" t="s">
        <v>1393</v>
      </c>
      <c r="B1323">
        <v>50</v>
      </c>
      <c r="C1323" t="s">
        <v>1269</v>
      </c>
      <c r="D1323" t="s">
        <v>48</v>
      </c>
      <c r="E1323">
        <f t="shared" si="20"/>
        <v>0</v>
      </c>
      <c r="F1323" t="s">
        <v>55</v>
      </c>
      <c r="G1323">
        <v>333</v>
      </c>
      <c r="H1323" t="s">
        <v>41</v>
      </c>
      <c r="I1323">
        <v>22</v>
      </c>
      <c r="J1323">
        <v>5</v>
      </c>
      <c r="K1323" t="s">
        <v>51</v>
      </c>
      <c r="L1323">
        <v>1</v>
      </c>
      <c r="M1323">
        <v>1539</v>
      </c>
      <c r="N1323">
        <v>3</v>
      </c>
      <c r="O1323" t="s">
        <v>43</v>
      </c>
      <c r="P1323">
        <v>88</v>
      </c>
      <c r="Q1323">
        <v>1</v>
      </c>
      <c r="R1323">
        <v>4</v>
      </c>
      <c r="S1323" t="s">
        <v>251</v>
      </c>
      <c r="T1323">
        <v>4</v>
      </c>
      <c r="U1323" t="s">
        <v>45</v>
      </c>
      <c r="V1323">
        <v>14411</v>
      </c>
      <c r="W1323" t="s">
        <v>252</v>
      </c>
      <c r="X1323">
        <v>24450</v>
      </c>
      <c r="Y1323">
        <v>1</v>
      </c>
      <c r="Z1323" t="s">
        <v>47</v>
      </c>
      <c r="AA1323" t="s">
        <v>39</v>
      </c>
      <c r="AB1323">
        <v>13</v>
      </c>
      <c r="AC1323">
        <v>3</v>
      </c>
      <c r="AD1323">
        <v>4</v>
      </c>
      <c r="AE1323">
        <v>80</v>
      </c>
      <c r="AF1323">
        <v>0</v>
      </c>
      <c r="AG1323">
        <v>32</v>
      </c>
      <c r="AH1323">
        <v>2</v>
      </c>
      <c r="AI1323">
        <v>3</v>
      </c>
      <c r="AJ1323">
        <v>32</v>
      </c>
      <c r="AK1323">
        <v>6</v>
      </c>
      <c r="AL1323">
        <v>13</v>
      </c>
    </row>
    <row r="1324" spans="1:38" x14ac:dyDescent="0.3">
      <c r="A1324" t="s">
        <v>1394</v>
      </c>
      <c r="B1324">
        <v>50</v>
      </c>
      <c r="C1324" t="s">
        <v>1269</v>
      </c>
      <c r="D1324" t="s">
        <v>48</v>
      </c>
      <c r="E1324">
        <f t="shared" si="20"/>
        <v>0</v>
      </c>
      <c r="F1324" t="s">
        <v>40</v>
      </c>
      <c r="G1324">
        <v>264</v>
      </c>
      <c r="H1324" t="s">
        <v>50</v>
      </c>
      <c r="I1324">
        <v>9</v>
      </c>
      <c r="J1324">
        <v>3</v>
      </c>
      <c r="K1324" t="s">
        <v>56</v>
      </c>
      <c r="L1324">
        <v>1</v>
      </c>
      <c r="M1324">
        <v>1591</v>
      </c>
      <c r="N1324">
        <v>3</v>
      </c>
      <c r="O1324" t="s">
        <v>43</v>
      </c>
      <c r="P1324">
        <v>59</v>
      </c>
      <c r="Q1324">
        <v>3</v>
      </c>
      <c r="R1324">
        <v>5</v>
      </c>
      <c r="S1324" t="s">
        <v>440</v>
      </c>
      <c r="T1324">
        <v>3</v>
      </c>
      <c r="U1324" t="s">
        <v>104</v>
      </c>
      <c r="V1324">
        <v>19331</v>
      </c>
      <c r="W1324" t="s">
        <v>366</v>
      </c>
      <c r="X1324">
        <v>19519</v>
      </c>
      <c r="Y1324">
        <v>4</v>
      </c>
      <c r="Z1324" t="s">
        <v>47</v>
      </c>
      <c r="AA1324" t="s">
        <v>39</v>
      </c>
      <c r="AB1324">
        <v>16</v>
      </c>
      <c r="AC1324">
        <v>3</v>
      </c>
      <c r="AD1324">
        <v>3</v>
      </c>
      <c r="AE1324">
        <v>80</v>
      </c>
      <c r="AF1324">
        <v>1</v>
      </c>
      <c r="AG1324">
        <v>27</v>
      </c>
      <c r="AH1324">
        <v>2</v>
      </c>
      <c r="AI1324">
        <v>3</v>
      </c>
      <c r="AJ1324">
        <v>1</v>
      </c>
      <c r="AK1324">
        <v>0</v>
      </c>
      <c r="AL1324">
        <v>0</v>
      </c>
    </row>
    <row r="1325" spans="1:38" x14ac:dyDescent="0.3">
      <c r="A1325" t="s">
        <v>1395</v>
      </c>
      <c r="B1325">
        <v>50</v>
      </c>
      <c r="C1325" t="s">
        <v>1269</v>
      </c>
      <c r="D1325" t="s">
        <v>48</v>
      </c>
      <c r="E1325">
        <f t="shared" si="20"/>
        <v>0</v>
      </c>
      <c r="F1325" t="s">
        <v>55</v>
      </c>
      <c r="G1325">
        <v>1234</v>
      </c>
      <c r="H1325" t="s">
        <v>41</v>
      </c>
      <c r="I1325">
        <v>20</v>
      </c>
      <c r="J1325">
        <v>5</v>
      </c>
      <c r="K1325" t="s">
        <v>51</v>
      </c>
      <c r="L1325">
        <v>1</v>
      </c>
      <c r="M1325">
        <v>1606</v>
      </c>
      <c r="N1325">
        <v>2</v>
      </c>
      <c r="O1325" t="s">
        <v>43</v>
      </c>
      <c r="P1325">
        <v>41</v>
      </c>
      <c r="Q1325">
        <v>3</v>
      </c>
      <c r="R1325">
        <v>4</v>
      </c>
      <c r="S1325" t="s">
        <v>160</v>
      </c>
      <c r="T1325">
        <v>3</v>
      </c>
      <c r="U1325" t="s">
        <v>104</v>
      </c>
      <c r="V1325">
        <v>11245</v>
      </c>
      <c r="W1325" t="s">
        <v>252</v>
      </c>
      <c r="X1325">
        <v>20689</v>
      </c>
      <c r="Y1325">
        <v>2</v>
      </c>
      <c r="Z1325" t="s">
        <v>47</v>
      </c>
      <c r="AA1325" t="s">
        <v>39</v>
      </c>
      <c r="AB1325">
        <v>15</v>
      </c>
      <c r="AC1325">
        <v>3</v>
      </c>
      <c r="AD1325">
        <v>3</v>
      </c>
      <c r="AE1325">
        <v>80</v>
      </c>
      <c r="AF1325">
        <v>1</v>
      </c>
      <c r="AG1325">
        <v>32</v>
      </c>
      <c r="AH1325">
        <v>3</v>
      </c>
      <c r="AI1325">
        <v>3</v>
      </c>
      <c r="AJ1325">
        <v>30</v>
      </c>
      <c r="AK1325">
        <v>8</v>
      </c>
      <c r="AL1325">
        <v>12</v>
      </c>
    </row>
    <row r="1326" spans="1:38" x14ac:dyDescent="0.3">
      <c r="A1326" t="s">
        <v>1396</v>
      </c>
      <c r="B1326">
        <v>50</v>
      </c>
      <c r="C1326" t="s">
        <v>1269</v>
      </c>
      <c r="D1326" t="s">
        <v>48</v>
      </c>
      <c r="E1326">
        <f t="shared" si="20"/>
        <v>0</v>
      </c>
      <c r="F1326" t="s">
        <v>40</v>
      </c>
      <c r="G1326">
        <v>813</v>
      </c>
      <c r="H1326" t="s">
        <v>41</v>
      </c>
      <c r="I1326">
        <v>17</v>
      </c>
      <c r="J1326">
        <v>5</v>
      </c>
      <c r="K1326" t="s">
        <v>42</v>
      </c>
      <c r="L1326">
        <v>1</v>
      </c>
      <c r="M1326">
        <v>1656</v>
      </c>
      <c r="N1326">
        <v>4</v>
      </c>
      <c r="O1326" t="s">
        <v>52</v>
      </c>
      <c r="P1326">
        <v>50</v>
      </c>
      <c r="Q1326">
        <v>2</v>
      </c>
      <c r="R1326">
        <v>3</v>
      </c>
      <c r="S1326" t="s">
        <v>251</v>
      </c>
      <c r="T1326">
        <v>1</v>
      </c>
      <c r="U1326" t="s">
        <v>101</v>
      </c>
      <c r="V1326">
        <v>13269</v>
      </c>
      <c r="W1326" t="s">
        <v>252</v>
      </c>
      <c r="X1326">
        <v>21981</v>
      </c>
      <c r="Y1326">
        <v>5</v>
      </c>
      <c r="Z1326" t="s">
        <v>47</v>
      </c>
      <c r="AA1326" t="s">
        <v>48</v>
      </c>
      <c r="AB1326">
        <v>15</v>
      </c>
      <c r="AC1326">
        <v>3</v>
      </c>
      <c r="AD1326">
        <v>3</v>
      </c>
      <c r="AE1326">
        <v>80</v>
      </c>
      <c r="AF1326">
        <v>3</v>
      </c>
      <c r="AG1326">
        <v>19</v>
      </c>
      <c r="AH1326">
        <v>3</v>
      </c>
      <c r="AI1326">
        <v>3</v>
      </c>
      <c r="AJ1326">
        <v>14</v>
      </c>
      <c r="AK1326">
        <v>11</v>
      </c>
      <c r="AL1326">
        <v>1</v>
      </c>
    </row>
    <row r="1327" spans="1:38" x14ac:dyDescent="0.3">
      <c r="A1327" t="s">
        <v>1397</v>
      </c>
      <c r="B1327">
        <v>50</v>
      </c>
      <c r="C1327" t="s">
        <v>1269</v>
      </c>
      <c r="D1327" t="s">
        <v>39</v>
      </c>
      <c r="E1327">
        <f t="shared" si="20"/>
        <v>1</v>
      </c>
      <c r="F1327" t="s">
        <v>55</v>
      </c>
      <c r="G1327">
        <v>878</v>
      </c>
      <c r="H1327" t="s">
        <v>50</v>
      </c>
      <c r="I1327">
        <v>1</v>
      </c>
      <c r="J1327">
        <v>4</v>
      </c>
      <c r="K1327" t="s">
        <v>42</v>
      </c>
      <c r="L1327">
        <v>1</v>
      </c>
      <c r="M1327">
        <v>2044</v>
      </c>
      <c r="N1327">
        <v>2</v>
      </c>
      <c r="O1327" t="s">
        <v>43</v>
      </c>
      <c r="P1327">
        <v>94</v>
      </c>
      <c r="Q1327">
        <v>3</v>
      </c>
      <c r="R1327">
        <v>2</v>
      </c>
      <c r="S1327" t="s">
        <v>136</v>
      </c>
      <c r="T1327">
        <v>3</v>
      </c>
      <c r="U1327" t="s">
        <v>101</v>
      </c>
      <c r="V1327">
        <v>6728</v>
      </c>
      <c r="W1327" t="s">
        <v>162</v>
      </c>
      <c r="X1327">
        <v>14255</v>
      </c>
      <c r="Y1327">
        <v>7</v>
      </c>
      <c r="Z1327" t="s">
        <v>47</v>
      </c>
      <c r="AA1327" t="s">
        <v>48</v>
      </c>
      <c r="AB1327">
        <v>12</v>
      </c>
      <c r="AC1327">
        <v>3</v>
      </c>
      <c r="AD1327">
        <v>4</v>
      </c>
      <c r="AE1327">
        <v>80</v>
      </c>
      <c r="AF1327">
        <v>2</v>
      </c>
      <c r="AG1327">
        <v>12</v>
      </c>
      <c r="AH1327">
        <v>3</v>
      </c>
      <c r="AI1327">
        <v>3</v>
      </c>
      <c r="AJ1327">
        <v>6</v>
      </c>
      <c r="AK1327">
        <v>3</v>
      </c>
      <c r="AL1327">
        <v>0</v>
      </c>
    </row>
    <row r="1328" spans="1:38" x14ac:dyDescent="0.3">
      <c r="A1328" t="s">
        <v>1398</v>
      </c>
      <c r="B1328">
        <v>50</v>
      </c>
      <c r="C1328" t="s">
        <v>1269</v>
      </c>
      <c r="D1328" t="s">
        <v>39</v>
      </c>
      <c r="E1328">
        <f t="shared" si="20"/>
        <v>1</v>
      </c>
      <c r="F1328" t="s">
        <v>40</v>
      </c>
      <c r="G1328">
        <v>410</v>
      </c>
      <c r="H1328" t="s">
        <v>50</v>
      </c>
      <c r="I1328">
        <v>28</v>
      </c>
      <c r="J1328">
        <v>3</v>
      </c>
      <c r="K1328" t="s">
        <v>56</v>
      </c>
      <c r="L1328">
        <v>1</v>
      </c>
      <c r="M1328">
        <v>2055</v>
      </c>
      <c r="N1328">
        <v>4</v>
      </c>
      <c r="O1328" t="s">
        <v>43</v>
      </c>
      <c r="P1328">
        <v>39</v>
      </c>
      <c r="Q1328">
        <v>2</v>
      </c>
      <c r="R1328">
        <v>3</v>
      </c>
      <c r="S1328" t="s">
        <v>136</v>
      </c>
      <c r="T1328">
        <v>1</v>
      </c>
      <c r="U1328" t="s">
        <v>101</v>
      </c>
      <c r="V1328">
        <v>10854</v>
      </c>
      <c r="W1328" t="s">
        <v>252</v>
      </c>
      <c r="X1328">
        <v>16586</v>
      </c>
      <c r="Y1328">
        <v>4</v>
      </c>
      <c r="Z1328" t="s">
        <v>47</v>
      </c>
      <c r="AA1328" t="s">
        <v>39</v>
      </c>
      <c r="AB1328">
        <v>13</v>
      </c>
      <c r="AC1328">
        <v>3</v>
      </c>
      <c r="AD1328">
        <v>2</v>
      </c>
      <c r="AE1328">
        <v>80</v>
      </c>
      <c r="AF1328">
        <v>1</v>
      </c>
      <c r="AG1328">
        <v>20</v>
      </c>
      <c r="AH1328">
        <v>3</v>
      </c>
      <c r="AI1328">
        <v>3</v>
      </c>
      <c r="AJ1328">
        <v>3</v>
      </c>
      <c r="AK1328">
        <v>2</v>
      </c>
      <c r="AL1328">
        <v>2</v>
      </c>
    </row>
    <row r="1329" spans="1:38" x14ac:dyDescent="0.3">
      <c r="A1329" t="s">
        <v>1399</v>
      </c>
      <c r="B1329">
        <v>51</v>
      </c>
      <c r="C1329" t="s">
        <v>1269</v>
      </c>
      <c r="D1329" t="s">
        <v>48</v>
      </c>
      <c r="E1329">
        <f t="shared" si="20"/>
        <v>0</v>
      </c>
      <c r="F1329" t="s">
        <v>40</v>
      </c>
      <c r="G1329">
        <v>432</v>
      </c>
      <c r="H1329" t="s">
        <v>41</v>
      </c>
      <c r="I1329">
        <v>9</v>
      </c>
      <c r="J1329">
        <v>4</v>
      </c>
      <c r="K1329" t="s">
        <v>42</v>
      </c>
      <c r="L1329">
        <v>1</v>
      </c>
      <c r="M1329">
        <v>116</v>
      </c>
      <c r="N1329">
        <v>4</v>
      </c>
      <c r="O1329" t="s">
        <v>43</v>
      </c>
      <c r="P1329">
        <v>96</v>
      </c>
      <c r="Q1329">
        <v>3</v>
      </c>
      <c r="R1329">
        <v>1</v>
      </c>
      <c r="S1329" t="s">
        <v>44</v>
      </c>
      <c r="T1329">
        <v>4</v>
      </c>
      <c r="U1329" t="s">
        <v>104</v>
      </c>
      <c r="V1329">
        <v>2075</v>
      </c>
      <c r="W1329" t="s">
        <v>46</v>
      </c>
      <c r="X1329">
        <v>18725</v>
      </c>
      <c r="Y1329">
        <v>3</v>
      </c>
      <c r="Z1329" t="s">
        <v>47</v>
      </c>
      <c r="AA1329" t="s">
        <v>48</v>
      </c>
      <c r="AB1329">
        <v>23</v>
      </c>
      <c r="AC1329">
        <v>4</v>
      </c>
      <c r="AD1329">
        <v>2</v>
      </c>
      <c r="AE1329">
        <v>80</v>
      </c>
      <c r="AF1329">
        <v>2</v>
      </c>
      <c r="AG1329">
        <v>10</v>
      </c>
      <c r="AH1329">
        <v>4</v>
      </c>
      <c r="AI1329">
        <v>3</v>
      </c>
      <c r="AJ1329">
        <v>4</v>
      </c>
      <c r="AK1329">
        <v>2</v>
      </c>
      <c r="AL1329">
        <v>0</v>
      </c>
    </row>
    <row r="1330" spans="1:38" x14ac:dyDescent="0.3">
      <c r="A1330" t="s">
        <v>1400</v>
      </c>
      <c r="B1330">
        <v>51</v>
      </c>
      <c r="C1330" t="s">
        <v>1269</v>
      </c>
      <c r="D1330" t="s">
        <v>48</v>
      </c>
      <c r="E1330">
        <f t="shared" si="20"/>
        <v>0</v>
      </c>
      <c r="F1330" t="s">
        <v>40</v>
      </c>
      <c r="G1330">
        <v>632</v>
      </c>
      <c r="H1330" t="s">
        <v>50</v>
      </c>
      <c r="I1330">
        <v>21</v>
      </c>
      <c r="J1330">
        <v>4</v>
      </c>
      <c r="K1330" t="s">
        <v>56</v>
      </c>
      <c r="L1330">
        <v>1</v>
      </c>
      <c r="M1330">
        <v>120</v>
      </c>
      <c r="N1330">
        <v>3</v>
      </c>
      <c r="O1330" t="s">
        <v>43</v>
      </c>
      <c r="P1330">
        <v>71</v>
      </c>
      <c r="Q1330">
        <v>3</v>
      </c>
      <c r="R1330">
        <v>2</v>
      </c>
      <c r="S1330" t="s">
        <v>136</v>
      </c>
      <c r="T1330">
        <v>4</v>
      </c>
      <c r="U1330" t="s">
        <v>45</v>
      </c>
      <c r="V1330">
        <v>5441</v>
      </c>
      <c r="W1330" t="s">
        <v>162</v>
      </c>
      <c r="X1330">
        <v>8423</v>
      </c>
      <c r="Y1330">
        <v>0</v>
      </c>
      <c r="Z1330" t="s">
        <v>47</v>
      </c>
      <c r="AA1330" t="s">
        <v>39</v>
      </c>
      <c r="AB1330">
        <v>22</v>
      </c>
      <c r="AC1330">
        <v>4</v>
      </c>
      <c r="AD1330">
        <v>4</v>
      </c>
      <c r="AE1330">
        <v>80</v>
      </c>
      <c r="AF1330">
        <v>0</v>
      </c>
      <c r="AG1330">
        <v>11</v>
      </c>
      <c r="AH1330">
        <v>2</v>
      </c>
      <c r="AI1330">
        <v>1</v>
      </c>
      <c r="AJ1330">
        <v>10</v>
      </c>
      <c r="AK1330">
        <v>7</v>
      </c>
      <c r="AL1330">
        <v>1</v>
      </c>
    </row>
    <row r="1331" spans="1:38" x14ac:dyDescent="0.3">
      <c r="A1331" t="s">
        <v>1401</v>
      </c>
      <c r="B1331">
        <v>51</v>
      </c>
      <c r="C1331" t="s">
        <v>1269</v>
      </c>
      <c r="D1331" t="s">
        <v>48</v>
      </c>
      <c r="E1331">
        <f t="shared" si="20"/>
        <v>0</v>
      </c>
      <c r="F1331" t="s">
        <v>55</v>
      </c>
      <c r="G1331">
        <v>1456</v>
      </c>
      <c r="H1331" t="s">
        <v>41</v>
      </c>
      <c r="I1331">
        <v>1</v>
      </c>
      <c r="J1331">
        <v>4</v>
      </c>
      <c r="K1331" t="s">
        <v>51</v>
      </c>
      <c r="L1331">
        <v>1</v>
      </c>
      <c r="M1331">
        <v>145</v>
      </c>
      <c r="N1331">
        <v>1</v>
      </c>
      <c r="O1331" t="s">
        <v>52</v>
      </c>
      <c r="P1331">
        <v>30</v>
      </c>
      <c r="Q1331">
        <v>2</v>
      </c>
      <c r="R1331">
        <v>3</v>
      </c>
      <c r="S1331" t="s">
        <v>160</v>
      </c>
      <c r="T1331">
        <v>1</v>
      </c>
      <c r="U1331" t="s">
        <v>45</v>
      </c>
      <c r="V1331">
        <v>7484</v>
      </c>
      <c r="W1331" t="s">
        <v>162</v>
      </c>
      <c r="X1331">
        <v>25796</v>
      </c>
      <c r="Y1331">
        <v>3</v>
      </c>
      <c r="Z1331" t="s">
        <v>47</v>
      </c>
      <c r="AA1331" t="s">
        <v>48</v>
      </c>
      <c r="AB1331">
        <v>20</v>
      </c>
      <c r="AC1331">
        <v>4</v>
      </c>
      <c r="AD1331">
        <v>3</v>
      </c>
      <c r="AE1331">
        <v>80</v>
      </c>
      <c r="AF1331">
        <v>0</v>
      </c>
      <c r="AG1331">
        <v>23</v>
      </c>
      <c r="AH1331">
        <v>1</v>
      </c>
      <c r="AI1331">
        <v>2</v>
      </c>
      <c r="AJ1331">
        <v>13</v>
      </c>
      <c r="AK1331">
        <v>12</v>
      </c>
      <c r="AL1331">
        <v>12</v>
      </c>
    </row>
    <row r="1332" spans="1:38" x14ac:dyDescent="0.3">
      <c r="A1332" t="s">
        <v>1402</v>
      </c>
      <c r="B1332">
        <v>51</v>
      </c>
      <c r="C1332" t="s">
        <v>1269</v>
      </c>
      <c r="D1332" t="s">
        <v>48</v>
      </c>
      <c r="E1332">
        <f t="shared" si="20"/>
        <v>0</v>
      </c>
      <c r="F1332" t="s">
        <v>40</v>
      </c>
      <c r="G1332">
        <v>684</v>
      </c>
      <c r="H1332" t="s">
        <v>41</v>
      </c>
      <c r="I1332">
        <v>6</v>
      </c>
      <c r="J1332">
        <v>3</v>
      </c>
      <c r="K1332" t="s">
        <v>42</v>
      </c>
      <c r="L1332">
        <v>1</v>
      </c>
      <c r="M1332">
        <v>162</v>
      </c>
      <c r="N1332">
        <v>1</v>
      </c>
      <c r="O1332" t="s">
        <v>43</v>
      </c>
      <c r="P1332">
        <v>51</v>
      </c>
      <c r="Q1332">
        <v>3</v>
      </c>
      <c r="R1332">
        <v>5</v>
      </c>
      <c r="S1332" t="s">
        <v>251</v>
      </c>
      <c r="T1332">
        <v>3</v>
      </c>
      <c r="U1332" t="s">
        <v>45</v>
      </c>
      <c r="V1332">
        <v>19537</v>
      </c>
      <c r="W1332" t="s">
        <v>366</v>
      </c>
      <c r="X1332">
        <v>6462</v>
      </c>
      <c r="Y1332">
        <v>7</v>
      </c>
      <c r="Z1332" t="s">
        <v>47</v>
      </c>
      <c r="AA1332" t="s">
        <v>48</v>
      </c>
      <c r="AB1332">
        <v>13</v>
      </c>
      <c r="AC1332">
        <v>3</v>
      </c>
      <c r="AD1332">
        <v>3</v>
      </c>
      <c r="AE1332">
        <v>80</v>
      </c>
      <c r="AF1332">
        <v>0</v>
      </c>
      <c r="AG1332">
        <v>23</v>
      </c>
      <c r="AH1332">
        <v>5</v>
      </c>
      <c r="AI1332">
        <v>3</v>
      </c>
      <c r="AJ1332">
        <v>20</v>
      </c>
      <c r="AK1332">
        <v>18</v>
      </c>
      <c r="AL1332">
        <v>15</v>
      </c>
    </row>
    <row r="1333" spans="1:38" x14ac:dyDescent="0.3">
      <c r="A1333" t="s">
        <v>1403</v>
      </c>
      <c r="B1333">
        <v>51</v>
      </c>
      <c r="C1333" t="s">
        <v>1269</v>
      </c>
      <c r="D1333" t="s">
        <v>39</v>
      </c>
      <c r="E1333">
        <f t="shared" si="20"/>
        <v>1</v>
      </c>
      <c r="F1333" t="s">
        <v>55</v>
      </c>
      <c r="G1333">
        <v>1150</v>
      </c>
      <c r="H1333" t="s">
        <v>41</v>
      </c>
      <c r="I1333">
        <v>8</v>
      </c>
      <c r="J1333">
        <v>4</v>
      </c>
      <c r="K1333" t="s">
        <v>42</v>
      </c>
      <c r="L1333">
        <v>1</v>
      </c>
      <c r="M1333">
        <v>179</v>
      </c>
      <c r="N1333">
        <v>1</v>
      </c>
      <c r="O1333" t="s">
        <v>43</v>
      </c>
      <c r="P1333">
        <v>53</v>
      </c>
      <c r="Q1333">
        <v>1</v>
      </c>
      <c r="R1333">
        <v>3</v>
      </c>
      <c r="S1333" t="s">
        <v>111</v>
      </c>
      <c r="T1333">
        <v>4</v>
      </c>
      <c r="U1333" t="s">
        <v>45</v>
      </c>
      <c r="V1333">
        <v>10650</v>
      </c>
      <c r="W1333" t="s">
        <v>252</v>
      </c>
      <c r="X1333">
        <v>25150</v>
      </c>
      <c r="Y1333">
        <v>2</v>
      </c>
      <c r="Z1333" t="s">
        <v>47</v>
      </c>
      <c r="AA1333" t="s">
        <v>48</v>
      </c>
      <c r="AB1333">
        <v>15</v>
      </c>
      <c r="AC1333">
        <v>3</v>
      </c>
      <c r="AD1333">
        <v>4</v>
      </c>
      <c r="AE1333">
        <v>80</v>
      </c>
      <c r="AF1333">
        <v>0</v>
      </c>
      <c r="AG1333">
        <v>18</v>
      </c>
      <c r="AH1333">
        <v>2</v>
      </c>
      <c r="AI1333">
        <v>3</v>
      </c>
      <c r="AJ1333">
        <v>4</v>
      </c>
      <c r="AK1333">
        <v>2</v>
      </c>
      <c r="AL1333">
        <v>0</v>
      </c>
    </row>
    <row r="1334" spans="1:38" x14ac:dyDescent="0.3">
      <c r="A1334" t="s">
        <v>1404</v>
      </c>
      <c r="B1334">
        <v>51</v>
      </c>
      <c r="C1334" t="s">
        <v>1269</v>
      </c>
      <c r="D1334" t="s">
        <v>48</v>
      </c>
      <c r="E1334">
        <f t="shared" si="20"/>
        <v>0</v>
      </c>
      <c r="F1334" t="s">
        <v>40</v>
      </c>
      <c r="G1334">
        <v>1169</v>
      </c>
      <c r="H1334" t="s">
        <v>41</v>
      </c>
      <c r="I1334">
        <v>7</v>
      </c>
      <c r="J1334">
        <v>4</v>
      </c>
      <c r="K1334" t="s">
        <v>51</v>
      </c>
      <c r="L1334">
        <v>1</v>
      </c>
      <c r="M1334">
        <v>211</v>
      </c>
      <c r="N1334">
        <v>2</v>
      </c>
      <c r="O1334" t="s">
        <v>43</v>
      </c>
      <c r="P1334">
        <v>34</v>
      </c>
      <c r="Q1334">
        <v>2</v>
      </c>
      <c r="R1334">
        <v>2</v>
      </c>
      <c r="S1334" t="s">
        <v>111</v>
      </c>
      <c r="T1334">
        <v>3</v>
      </c>
      <c r="U1334" t="s">
        <v>104</v>
      </c>
      <c r="V1334">
        <v>6132</v>
      </c>
      <c r="W1334" t="s">
        <v>162</v>
      </c>
      <c r="X1334">
        <v>13983</v>
      </c>
      <c r="Y1334">
        <v>2</v>
      </c>
      <c r="Z1334" t="s">
        <v>47</v>
      </c>
      <c r="AA1334" t="s">
        <v>48</v>
      </c>
      <c r="AB1334">
        <v>17</v>
      </c>
      <c r="AC1334">
        <v>3</v>
      </c>
      <c r="AD1334">
        <v>3</v>
      </c>
      <c r="AE1334">
        <v>80</v>
      </c>
      <c r="AF1334">
        <v>0</v>
      </c>
      <c r="AG1334">
        <v>10</v>
      </c>
      <c r="AH1334">
        <v>2</v>
      </c>
      <c r="AI1334">
        <v>3</v>
      </c>
      <c r="AJ1334">
        <v>1</v>
      </c>
      <c r="AK1334">
        <v>0</v>
      </c>
      <c r="AL1334">
        <v>0</v>
      </c>
    </row>
    <row r="1335" spans="1:38" x14ac:dyDescent="0.3">
      <c r="A1335" t="s">
        <v>1405</v>
      </c>
      <c r="B1335">
        <v>51</v>
      </c>
      <c r="C1335" t="s">
        <v>1269</v>
      </c>
      <c r="D1335" t="s">
        <v>48</v>
      </c>
      <c r="E1335">
        <f t="shared" si="20"/>
        <v>0</v>
      </c>
      <c r="F1335" t="s">
        <v>40</v>
      </c>
      <c r="G1335">
        <v>313</v>
      </c>
      <c r="H1335" t="s">
        <v>41</v>
      </c>
      <c r="I1335">
        <v>3</v>
      </c>
      <c r="J1335">
        <v>3</v>
      </c>
      <c r="K1335" t="s">
        <v>51</v>
      </c>
      <c r="L1335">
        <v>1</v>
      </c>
      <c r="M1335">
        <v>258</v>
      </c>
      <c r="N1335">
        <v>4</v>
      </c>
      <c r="O1335" t="s">
        <v>52</v>
      </c>
      <c r="P1335">
        <v>98</v>
      </c>
      <c r="Q1335">
        <v>3</v>
      </c>
      <c r="R1335">
        <v>4</v>
      </c>
      <c r="S1335" t="s">
        <v>160</v>
      </c>
      <c r="T1335">
        <v>2</v>
      </c>
      <c r="U1335" t="s">
        <v>45</v>
      </c>
      <c r="V1335">
        <v>13734</v>
      </c>
      <c r="W1335" t="s">
        <v>252</v>
      </c>
      <c r="X1335">
        <v>7192</v>
      </c>
      <c r="Y1335">
        <v>3</v>
      </c>
      <c r="Z1335" t="s">
        <v>47</v>
      </c>
      <c r="AA1335" t="s">
        <v>48</v>
      </c>
      <c r="AB1335">
        <v>18</v>
      </c>
      <c r="AC1335">
        <v>3</v>
      </c>
      <c r="AD1335">
        <v>3</v>
      </c>
      <c r="AE1335">
        <v>80</v>
      </c>
      <c r="AF1335">
        <v>0</v>
      </c>
      <c r="AG1335">
        <v>21</v>
      </c>
      <c r="AH1335">
        <v>6</v>
      </c>
      <c r="AI1335">
        <v>3</v>
      </c>
      <c r="AJ1335">
        <v>7</v>
      </c>
      <c r="AK1335">
        <v>7</v>
      </c>
      <c r="AL1335">
        <v>1</v>
      </c>
    </row>
    <row r="1336" spans="1:38" x14ac:dyDescent="0.3">
      <c r="A1336" t="s">
        <v>1406</v>
      </c>
      <c r="B1336">
        <v>51</v>
      </c>
      <c r="C1336" t="s">
        <v>1269</v>
      </c>
      <c r="D1336" t="s">
        <v>48</v>
      </c>
      <c r="E1336">
        <f t="shared" si="20"/>
        <v>0</v>
      </c>
      <c r="F1336" t="s">
        <v>40</v>
      </c>
      <c r="G1336">
        <v>1469</v>
      </c>
      <c r="H1336" t="s">
        <v>41</v>
      </c>
      <c r="I1336">
        <v>8</v>
      </c>
      <c r="J1336">
        <v>4</v>
      </c>
      <c r="K1336" t="s">
        <v>42</v>
      </c>
      <c r="L1336">
        <v>1</v>
      </c>
      <c r="M1336">
        <v>296</v>
      </c>
      <c r="N1336">
        <v>2</v>
      </c>
      <c r="O1336" t="s">
        <v>43</v>
      </c>
      <c r="P1336">
        <v>81</v>
      </c>
      <c r="Q1336">
        <v>2</v>
      </c>
      <c r="R1336">
        <v>3</v>
      </c>
      <c r="S1336" t="s">
        <v>251</v>
      </c>
      <c r="T1336">
        <v>2</v>
      </c>
      <c r="U1336" t="s">
        <v>104</v>
      </c>
      <c r="V1336">
        <v>12490</v>
      </c>
      <c r="W1336" t="s">
        <v>252</v>
      </c>
      <c r="X1336">
        <v>15736</v>
      </c>
      <c r="Y1336">
        <v>5</v>
      </c>
      <c r="Z1336" t="s">
        <v>47</v>
      </c>
      <c r="AA1336" t="s">
        <v>48</v>
      </c>
      <c r="AB1336">
        <v>16</v>
      </c>
      <c r="AC1336">
        <v>3</v>
      </c>
      <c r="AD1336">
        <v>4</v>
      </c>
      <c r="AE1336">
        <v>80</v>
      </c>
      <c r="AF1336">
        <v>2</v>
      </c>
      <c r="AG1336">
        <v>16</v>
      </c>
      <c r="AH1336">
        <v>5</v>
      </c>
      <c r="AI1336">
        <v>1</v>
      </c>
      <c r="AJ1336">
        <v>10</v>
      </c>
      <c r="AK1336">
        <v>9</v>
      </c>
      <c r="AL1336">
        <v>4</v>
      </c>
    </row>
    <row r="1337" spans="1:38" x14ac:dyDescent="0.3">
      <c r="A1337" t="s">
        <v>1407</v>
      </c>
      <c r="B1337">
        <v>51</v>
      </c>
      <c r="C1337" t="s">
        <v>1269</v>
      </c>
      <c r="D1337" t="s">
        <v>48</v>
      </c>
      <c r="E1337">
        <f t="shared" si="20"/>
        <v>0</v>
      </c>
      <c r="F1337" t="s">
        <v>40</v>
      </c>
      <c r="G1337">
        <v>833</v>
      </c>
      <c r="H1337" t="s">
        <v>41</v>
      </c>
      <c r="I1337">
        <v>1</v>
      </c>
      <c r="J1337">
        <v>3</v>
      </c>
      <c r="K1337" t="s">
        <v>42</v>
      </c>
      <c r="L1337">
        <v>1</v>
      </c>
      <c r="M1337">
        <v>353</v>
      </c>
      <c r="N1337">
        <v>3</v>
      </c>
      <c r="O1337" t="s">
        <v>43</v>
      </c>
      <c r="P1337">
        <v>96</v>
      </c>
      <c r="Q1337">
        <v>3</v>
      </c>
      <c r="R1337">
        <v>1</v>
      </c>
      <c r="S1337" t="s">
        <v>59</v>
      </c>
      <c r="T1337">
        <v>4</v>
      </c>
      <c r="U1337" t="s">
        <v>104</v>
      </c>
      <c r="V1337">
        <v>2723</v>
      </c>
      <c r="W1337" t="s">
        <v>46</v>
      </c>
      <c r="X1337">
        <v>23231</v>
      </c>
      <c r="Y1337">
        <v>1</v>
      </c>
      <c r="Z1337" t="s">
        <v>47</v>
      </c>
      <c r="AA1337" t="s">
        <v>48</v>
      </c>
      <c r="AB1337">
        <v>11</v>
      </c>
      <c r="AC1337">
        <v>3</v>
      </c>
      <c r="AD1337">
        <v>2</v>
      </c>
      <c r="AE1337">
        <v>80</v>
      </c>
      <c r="AF1337">
        <v>0</v>
      </c>
      <c r="AG1337">
        <v>1</v>
      </c>
      <c r="AH1337">
        <v>0</v>
      </c>
      <c r="AI1337">
        <v>2</v>
      </c>
      <c r="AJ1337">
        <v>1</v>
      </c>
      <c r="AK1337">
        <v>0</v>
      </c>
      <c r="AL1337">
        <v>0</v>
      </c>
    </row>
    <row r="1338" spans="1:38" x14ac:dyDescent="0.3">
      <c r="A1338" t="s">
        <v>1408</v>
      </c>
      <c r="B1338">
        <v>51</v>
      </c>
      <c r="C1338" t="s">
        <v>1269</v>
      </c>
      <c r="D1338" t="s">
        <v>48</v>
      </c>
      <c r="E1338">
        <f t="shared" si="20"/>
        <v>0</v>
      </c>
      <c r="F1338" t="s">
        <v>40</v>
      </c>
      <c r="G1338">
        <v>1302</v>
      </c>
      <c r="H1338" t="s">
        <v>41</v>
      </c>
      <c r="I1338">
        <v>2</v>
      </c>
      <c r="J1338">
        <v>3</v>
      </c>
      <c r="K1338" t="s">
        <v>51</v>
      </c>
      <c r="L1338">
        <v>1</v>
      </c>
      <c r="M1338">
        <v>408</v>
      </c>
      <c r="N1338">
        <v>4</v>
      </c>
      <c r="O1338" t="s">
        <v>43</v>
      </c>
      <c r="P1338">
        <v>84</v>
      </c>
      <c r="Q1338">
        <v>1</v>
      </c>
      <c r="R1338">
        <v>2</v>
      </c>
      <c r="S1338" t="s">
        <v>111</v>
      </c>
      <c r="T1338">
        <v>2</v>
      </c>
      <c r="U1338" t="s">
        <v>101</v>
      </c>
      <c r="V1338">
        <v>5482</v>
      </c>
      <c r="W1338" t="s">
        <v>162</v>
      </c>
      <c r="X1338">
        <v>16321</v>
      </c>
      <c r="Y1338">
        <v>5</v>
      </c>
      <c r="Z1338" t="s">
        <v>47</v>
      </c>
      <c r="AA1338" t="s">
        <v>48</v>
      </c>
      <c r="AB1338">
        <v>18</v>
      </c>
      <c r="AC1338">
        <v>3</v>
      </c>
      <c r="AD1338">
        <v>4</v>
      </c>
      <c r="AE1338">
        <v>80</v>
      </c>
      <c r="AF1338">
        <v>1</v>
      </c>
      <c r="AG1338">
        <v>13</v>
      </c>
      <c r="AH1338">
        <v>3</v>
      </c>
      <c r="AI1338">
        <v>3</v>
      </c>
      <c r="AJ1338">
        <v>4</v>
      </c>
      <c r="AK1338">
        <v>1</v>
      </c>
      <c r="AL1338">
        <v>1</v>
      </c>
    </row>
    <row r="1339" spans="1:38" x14ac:dyDescent="0.3">
      <c r="A1339" t="s">
        <v>1409</v>
      </c>
      <c r="B1339">
        <v>51</v>
      </c>
      <c r="C1339" t="s">
        <v>1269</v>
      </c>
      <c r="D1339" t="s">
        <v>48</v>
      </c>
      <c r="E1339">
        <f t="shared" si="20"/>
        <v>0</v>
      </c>
      <c r="F1339" t="s">
        <v>40</v>
      </c>
      <c r="G1339">
        <v>1178</v>
      </c>
      <c r="H1339" t="s">
        <v>50</v>
      </c>
      <c r="I1339">
        <v>14</v>
      </c>
      <c r="J1339">
        <v>2</v>
      </c>
      <c r="K1339" t="s">
        <v>42</v>
      </c>
      <c r="L1339">
        <v>1</v>
      </c>
      <c r="M1339">
        <v>500</v>
      </c>
      <c r="N1339">
        <v>3</v>
      </c>
      <c r="O1339" t="s">
        <v>52</v>
      </c>
      <c r="P1339">
        <v>87</v>
      </c>
      <c r="Q1339">
        <v>3</v>
      </c>
      <c r="R1339">
        <v>2</v>
      </c>
      <c r="S1339" t="s">
        <v>136</v>
      </c>
      <c r="T1339">
        <v>4</v>
      </c>
      <c r="U1339" t="s">
        <v>104</v>
      </c>
      <c r="V1339">
        <v>4936</v>
      </c>
      <c r="W1339" t="s">
        <v>46</v>
      </c>
      <c r="X1339">
        <v>14862</v>
      </c>
      <c r="Y1339">
        <v>4</v>
      </c>
      <c r="Z1339" t="s">
        <v>47</v>
      </c>
      <c r="AA1339" t="s">
        <v>48</v>
      </c>
      <c r="AB1339">
        <v>11</v>
      </c>
      <c r="AC1339">
        <v>3</v>
      </c>
      <c r="AD1339">
        <v>3</v>
      </c>
      <c r="AE1339">
        <v>80</v>
      </c>
      <c r="AF1339">
        <v>1</v>
      </c>
      <c r="AG1339">
        <v>18</v>
      </c>
      <c r="AH1339">
        <v>2</v>
      </c>
      <c r="AI1339">
        <v>2</v>
      </c>
      <c r="AJ1339">
        <v>7</v>
      </c>
      <c r="AK1339">
        <v>7</v>
      </c>
      <c r="AL1339">
        <v>0</v>
      </c>
    </row>
    <row r="1340" spans="1:38" x14ac:dyDescent="0.3">
      <c r="A1340" t="s">
        <v>1410</v>
      </c>
      <c r="B1340">
        <v>51</v>
      </c>
      <c r="C1340" t="s">
        <v>1269</v>
      </c>
      <c r="D1340" t="s">
        <v>48</v>
      </c>
      <c r="E1340">
        <f t="shared" si="20"/>
        <v>0</v>
      </c>
      <c r="F1340" t="s">
        <v>40</v>
      </c>
      <c r="G1340">
        <v>1318</v>
      </c>
      <c r="H1340" t="s">
        <v>50</v>
      </c>
      <c r="I1340">
        <v>26</v>
      </c>
      <c r="J1340">
        <v>4</v>
      </c>
      <c r="K1340" t="s">
        <v>56</v>
      </c>
      <c r="L1340">
        <v>1</v>
      </c>
      <c r="M1340">
        <v>851</v>
      </c>
      <c r="N1340">
        <v>1</v>
      </c>
      <c r="O1340" t="s">
        <v>52</v>
      </c>
      <c r="P1340">
        <v>66</v>
      </c>
      <c r="Q1340">
        <v>3</v>
      </c>
      <c r="R1340">
        <v>4</v>
      </c>
      <c r="S1340" t="s">
        <v>440</v>
      </c>
      <c r="T1340">
        <v>3</v>
      </c>
      <c r="U1340" t="s">
        <v>104</v>
      </c>
      <c r="V1340">
        <v>16307</v>
      </c>
      <c r="W1340" t="s">
        <v>366</v>
      </c>
      <c r="X1340">
        <v>5594</v>
      </c>
      <c r="Y1340">
        <v>2</v>
      </c>
      <c r="Z1340" t="s">
        <v>47</v>
      </c>
      <c r="AA1340" t="s">
        <v>48</v>
      </c>
      <c r="AB1340">
        <v>14</v>
      </c>
      <c r="AC1340">
        <v>3</v>
      </c>
      <c r="AD1340">
        <v>3</v>
      </c>
      <c r="AE1340">
        <v>80</v>
      </c>
      <c r="AF1340">
        <v>1</v>
      </c>
      <c r="AG1340">
        <v>29</v>
      </c>
      <c r="AH1340">
        <v>2</v>
      </c>
      <c r="AI1340">
        <v>2</v>
      </c>
      <c r="AJ1340">
        <v>20</v>
      </c>
      <c r="AK1340">
        <v>6</v>
      </c>
      <c r="AL1340">
        <v>4</v>
      </c>
    </row>
    <row r="1341" spans="1:38" x14ac:dyDescent="0.3">
      <c r="A1341" t="s">
        <v>1411</v>
      </c>
      <c r="B1341">
        <v>51</v>
      </c>
      <c r="C1341" t="s">
        <v>1269</v>
      </c>
      <c r="D1341" t="s">
        <v>39</v>
      </c>
      <c r="E1341">
        <f t="shared" si="20"/>
        <v>1</v>
      </c>
      <c r="F1341" t="s">
        <v>40</v>
      </c>
      <c r="G1341">
        <v>1323</v>
      </c>
      <c r="H1341" t="s">
        <v>41</v>
      </c>
      <c r="I1341">
        <v>4</v>
      </c>
      <c r="J1341">
        <v>4</v>
      </c>
      <c r="K1341" t="s">
        <v>42</v>
      </c>
      <c r="L1341">
        <v>1</v>
      </c>
      <c r="M1341">
        <v>1081</v>
      </c>
      <c r="N1341">
        <v>1</v>
      </c>
      <c r="O1341" t="s">
        <v>43</v>
      </c>
      <c r="P1341">
        <v>34</v>
      </c>
      <c r="Q1341">
        <v>3</v>
      </c>
      <c r="R1341">
        <v>1</v>
      </c>
      <c r="S1341" t="s">
        <v>59</v>
      </c>
      <c r="T1341">
        <v>3</v>
      </c>
      <c r="U1341" t="s">
        <v>104</v>
      </c>
      <c r="V1341">
        <v>2461</v>
      </c>
      <c r="W1341" t="s">
        <v>46</v>
      </c>
      <c r="X1341">
        <v>10332</v>
      </c>
      <c r="Y1341">
        <v>9</v>
      </c>
      <c r="Z1341" t="s">
        <v>47</v>
      </c>
      <c r="AA1341" t="s">
        <v>39</v>
      </c>
      <c r="AB1341">
        <v>12</v>
      </c>
      <c r="AC1341">
        <v>3</v>
      </c>
      <c r="AD1341">
        <v>3</v>
      </c>
      <c r="AE1341">
        <v>80</v>
      </c>
      <c r="AF1341">
        <v>3</v>
      </c>
      <c r="AG1341">
        <v>18</v>
      </c>
      <c r="AH1341">
        <v>2</v>
      </c>
      <c r="AI1341">
        <v>4</v>
      </c>
      <c r="AJ1341">
        <v>10</v>
      </c>
      <c r="AK1341">
        <v>0</v>
      </c>
      <c r="AL1341">
        <v>2</v>
      </c>
    </row>
    <row r="1342" spans="1:38" x14ac:dyDescent="0.3">
      <c r="A1342" t="s">
        <v>1412</v>
      </c>
      <c r="B1342">
        <v>51</v>
      </c>
      <c r="C1342" t="s">
        <v>1269</v>
      </c>
      <c r="D1342" t="s">
        <v>48</v>
      </c>
      <c r="E1342">
        <f t="shared" si="20"/>
        <v>0</v>
      </c>
      <c r="F1342" t="s">
        <v>55</v>
      </c>
      <c r="G1342">
        <v>237</v>
      </c>
      <c r="H1342" t="s">
        <v>50</v>
      </c>
      <c r="I1342">
        <v>9</v>
      </c>
      <c r="J1342">
        <v>3</v>
      </c>
      <c r="K1342" t="s">
        <v>42</v>
      </c>
      <c r="L1342">
        <v>1</v>
      </c>
      <c r="M1342">
        <v>1282</v>
      </c>
      <c r="N1342">
        <v>4</v>
      </c>
      <c r="O1342" t="s">
        <v>43</v>
      </c>
      <c r="P1342">
        <v>83</v>
      </c>
      <c r="Q1342">
        <v>3</v>
      </c>
      <c r="R1342">
        <v>5</v>
      </c>
      <c r="S1342" t="s">
        <v>440</v>
      </c>
      <c r="T1342">
        <v>2</v>
      </c>
      <c r="U1342" t="s">
        <v>101</v>
      </c>
      <c r="V1342">
        <v>19847</v>
      </c>
      <c r="W1342" t="s">
        <v>366</v>
      </c>
      <c r="X1342">
        <v>19196</v>
      </c>
      <c r="Y1342">
        <v>4</v>
      </c>
      <c r="Z1342" t="s">
        <v>47</v>
      </c>
      <c r="AA1342" t="s">
        <v>39</v>
      </c>
      <c r="AB1342">
        <v>24</v>
      </c>
      <c r="AC1342">
        <v>4</v>
      </c>
      <c r="AD1342">
        <v>1</v>
      </c>
      <c r="AE1342">
        <v>80</v>
      </c>
      <c r="AF1342">
        <v>1</v>
      </c>
      <c r="AG1342">
        <v>31</v>
      </c>
      <c r="AH1342">
        <v>5</v>
      </c>
      <c r="AI1342">
        <v>2</v>
      </c>
      <c r="AJ1342">
        <v>29</v>
      </c>
      <c r="AK1342">
        <v>10</v>
      </c>
      <c r="AL1342">
        <v>11</v>
      </c>
    </row>
    <row r="1343" spans="1:38" x14ac:dyDescent="0.3">
      <c r="A1343" t="s">
        <v>1413</v>
      </c>
      <c r="B1343">
        <v>51</v>
      </c>
      <c r="C1343" t="s">
        <v>1269</v>
      </c>
      <c r="D1343" t="s">
        <v>48</v>
      </c>
      <c r="E1343">
        <f t="shared" si="20"/>
        <v>0</v>
      </c>
      <c r="F1343" t="s">
        <v>55</v>
      </c>
      <c r="G1343">
        <v>968</v>
      </c>
      <c r="H1343" t="s">
        <v>41</v>
      </c>
      <c r="I1343">
        <v>6</v>
      </c>
      <c r="J1343">
        <v>2</v>
      </c>
      <c r="K1343" t="s">
        <v>51</v>
      </c>
      <c r="L1343">
        <v>1</v>
      </c>
      <c r="M1343">
        <v>1297</v>
      </c>
      <c r="N1343">
        <v>2</v>
      </c>
      <c r="O1343" t="s">
        <v>52</v>
      </c>
      <c r="P1343">
        <v>40</v>
      </c>
      <c r="Q1343">
        <v>2</v>
      </c>
      <c r="R1343">
        <v>1</v>
      </c>
      <c r="S1343" t="s">
        <v>44</v>
      </c>
      <c r="T1343">
        <v>3</v>
      </c>
      <c r="U1343" t="s">
        <v>45</v>
      </c>
      <c r="V1343">
        <v>2838</v>
      </c>
      <c r="W1343" t="s">
        <v>46</v>
      </c>
      <c r="X1343">
        <v>4257</v>
      </c>
      <c r="Y1343">
        <v>0</v>
      </c>
      <c r="Z1343" t="s">
        <v>47</v>
      </c>
      <c r="AA1343" t="s">
        <v>48</v>
      </c>
      <c r="AB1343">
        <v>14</v>
      </c>
      <c r="AC1343">
        <v>3</v>
      </c>
      <c r="AD1343">
        <v>2</v>
      </c>
      <c r="AE1343">
        <v>80</v>
      </c>
      <c r="AF1343">
        <v>0</v>
      </c>
      <c r="AG1343">
        <v>8</v>
      </c>
      <c r="AH1343">
        <v>6</v>
      </c>
      <c r="AI1343">
        <v>2</v>
      </c>
      <c r="AJ1343">
        <v>7</v>
      </c>
      <c r="AK1343">
        <v>0</v>
      </c>
      <c r="AL1343">
        <v>7</v>
      </c>
    </row>
    <row r="1344" spans="1:38" x14ac:dyDescent="0.3">
      <c r="A1344" t="s">
        <v>1414</v>
      </c>
      <c r="B1344">
        <v>51</v>
      </c>
      <c r="C1344" t="s">
        <v>1269</v>
      </c>
      <c r="D1344" t="s">
        <v>48</v>
      </c>
      <c r="E1344">
        <f t="shared" si="20"/>
        <v>0</v>
      </c>
      <c r="F1344" t="s">
        <v>40</v>
      </c>
      <c r="G1344">
        <v>770</v>
      </c>
      <c r="H1344" t="s">
        <v>70</v>
      </c>
      <c r="I1344">
        <v>5</v>
      </c>
      <c r="J1344">
        <v>3</v>
      </c>
      <c r="K1344" t="s">
        <v>42</v>
      </c>
      <c r="L1344">
        <v>1</v>
      </c>
      <c r="M1344">
        <v>1352</v>
      </c>
      <c r="N1344">
        <v>3</v>
      </c>
      <c r="O1344" t="s">
        <v>43</v>
      </c>
      <c r="P1344">
        <v>84</v>
      </c>
      <c r="Q1344">
        <v>3</v>
      </c>
      <c r="R1344">
        <v>4</v>
      </c>
      <c r="S1344" t="s">
        <v>440</v>
      </c>
      <c r="T1344">
        <v>2</v>
      </c>
      <c r="U1344" t="s">
        <v>101</v>
      </c>
      <c r="V1344">
        <v>14026</v>
      </c>
      <c r="W1344" t="s">
        <v>252</v>
      </c>
      <c r="X1344">
        <v>17588</v>
      </c>
      <c r="Y1344">
        <v>1</v>
      </c>
      <c r="Z1344" t="s">
        <v>47</v>
      </c>
      <c r="AA1344" t="s">
        <v>39</v>
      </c>
      <c r="AB1344">
        <v>11</v>
      </c>
      <c r="AC1344">
        <v>3</v>
      </c>
      <c r="AD1344">
        <v>2</v>
      </c>
      <c r="AE1344">
        <v>80</v>
      </c>
      <c r="AF1344">
        <v>1</v>
      </c>
      <c r="AG1344">
        <v>33</v>
      </c>
      <c r="AH1344">
        <v>2</v>
      </c>
      <c r="AI1344">
        <v>3</v>
      </c>
      <c r="AJ1344">
        <v>33</v>
      </c>
      <c r="AK1344">
        <v>9</v>
      </c>
      <c r="AL1344">
        <v>0</v>
      </c>
    </row>
    <row r="1345" spans="1:38" x14ac:dyDescent="0.3">
      <c r="A1345" t="s">
        <v>1415</v>
      </c>
      <c r="B1345">
        <v>51</v>
      </c>
      <c r="C1345" t="s">
        <v>1269</v>
      </c>
      <c r="D1345" t="s">
        <v>48</v>
      </c>
      <c r="E1345">
        <f t="shared" si="20"/>
        <v>0</v>
      </c>
      <c r="F1345" t="s">
        <v>40</v>
      </c>
      <c r="G1345">
        <v>1405</v>
      </c>
      <c r="H1345" t="s">
        <v>41</v>
      </c>
      <c r="I1345">
        <v>11</v>
      </c>
      <c r="J1345">
        <v>2</v>
      </c>
      <c r="K1345" t="s">
        <v>67</v>
      </c>
      <c r="L1345">
        <v>1</v>
      </c>
      <c r="M1345">
        <v>1367</v>
      </c>
      <c r="N1345">
        <v>4</v>
      </c>
      <c r="O1345" t="s">
        <v>52</v>
      </c>
      <c r="P1345">
        <v>82</v>
      </c>
      <c r="Q1345">
        <v>2</v>
      </c>
      <c r="R1345">
        <v>4</v>
      </c>
      <c r="S1345" t="s">
        <v>111</v>
      </c>
      <c r="T1345">
        <v>2</v>
      </c>
      <c r="U1345" t="s">
        <v>45</v>
      </c>
      <c r="V1345">
        <v>13142</v>
      </c>
      <c r="W1345" t="s">
        <v>252</v>
      </c>
      <c r="X1345">
        <v>24439</v>
      </c>
      <c r="Y1345">
        <v>3</v>
      </c>
      <c r="Z1345" t="s">
        <v>47</v>
      </c>
      <c r="AA1345" t="s">
        <v>48</v>
      </c>
      <c r="AB1345">
        <v>16</v>
      </c>
      <c r="AC1345">
        <v>3</v>
      </c>
      <c r="AD1345">
        <v>2</v>
      </c>
      <c r="AE1345">
        <v>80</v>
      </c>
      <c r="AF1345">
        <v>0</v>
      </c>
      <c r="AG1345">
        <v>29</v>
      </c>
      <c r="AH1345">
        <v>1</v>
      </c>
      <c r="AI1345">
        <v>2</v>
      </c>
      <c r="AJ1345">
        <v>5</v>
      </c>
      <c r="AK1345">
        <v>2</v>
      </c>
      <c r="AL1345">
        <v>0</v>
      </c>
    </row>
    <row r="1346" spans="1:38" x14ac:dyDescent="0.3">
      <c r="A1346" t="s">
        <v>1416</v>
      </c>
      <c r="B1346">
        <v>51</v>
      </c>
      <c r="C1346" t="s">
        <v>1269</v>
      </c>
      <c r="D1346" t="s">
        <v>48</v>
      </c>
      <c r="E1346">
        <f t="shared" si="20"/>
        <v>0</v>
      </c>
      <c r="F1346" t="s">
        <v>55</v>
      </c>
      <c r="G1346">
        <v>541</v>
      </c>
      <c r="H1346" t="s">
        <v>50</v>
      </c>
      <c r="I1346">
        <v>2</v>
      </c>
      <c r="J1346">
        <v>3</v>
      </c>
      <c r="K1346" t="s">
        <v>56</v>
      </c>
      <c r="L1346">
        <v>1</v>
      </c>
      <c r="M1346">
        <v>1391</v>
      </c>
      <c r="N1346">
        <v>2</v>
      </c>
      <c r="O1346" t="s">
        <v>43</v>
      </c>
      <c r="P1346">
        <v>52</v>
      </c>
      <c r="Q1346">
        <v>3</v>
      </c>
      <c r="R1346">
        <v>3</v>
      </c>
      <c r="S1346" t="s">
        <v>136</v>
      </c>
      <c r="T1346">
        <v>2</v>
      </c>
      <c r="U1346" t="s">
        <v>104</v>
      </c>
      <c r="V1346">
        <v>10596</v>
      </c>
      <c r="W1346" t="s">
        <v>252</v>
      </c>
      <c r="X1346">
        <v>15395</v>
      </c>
      <c r="Y1346">
        <v>2</v>
      </c>
      <c r="Z1346" t="s">
        <v>47</v>
      </c>
      <c r="AA1346" t="s">
        <v>48</v>
      </c>
      <c r="AB1346">
        <v>11</v>
      </c>
      <c r="AC1346">
        <v>3</v>
      </c>
      <c r="AD1346">
        <v>2</v>
      </c>
      <c r="AE1346">
        <v>80</v>
      </c>
      <c r="AF1346">
        <v>0</v>
      </c>
      <c r="AG1346">
        <v>14</v>
      </c>
      <c r="AH1346">
        <v>5</v>
      </c>
      <c r="AI1346">
        <v>3</v>
      </c>
      <c r="AJ1346">
        <v>4</v>
      </c>
      <c r="AK1346">
        <v>2</v>
      </c>
      <c r="AL1346">
        <v>3</v>
      </c>
    </row>
    <row r="1347" spans="1:38" x14ac:dyDescent="0.3">
      <c r="A1347" t="s">
        <v>1417</v>
      </c>
      <c r="B1347">
        <v>51</v>
      </c>
      <c r="C1347" t="s">
        <v>1269</v>
      </c>
      <c r="D1347" t="s">
        <v>48</v>
      </c>
      <c r="E1347">
        <f t="shared" ref="E1347:E1410" si="21">IF(D1347="Yes",1,0)</f>
        <v>0</v>
      </c>
      <c r="F1347" t="s">
        <v>40</v>
      </c>
      <c r="G1347">
        <v>942</v>
      </c>
      <c r="H1347" t="s">
        <v>41</v>
      </c>
      <c r="I1347">
        <v>3</v>
      </c>
      <c r="J1347">
        <v>3</v>
      </c>
      <c r="K1347" t="s">
        <v>67</v>
      </c>
      <c r="L1347">
        <v>1</v>
      </c>
      <c r="M1347">
        <v>1786</v>
      </c>
      <c r="N1347">
        <v>1</v>
      </c>
      <c r="O1347" t="s">
        <v>52</v>
      </c>
      <c r="P1347">
        <v>53</v>
      </c>
      <c r="Q1347">
        <v>3</v>
      </c>
      <c r="R1347">
        <v>3</v>
      </c>
      <c r="S1347" t="s">
        <v>440</v>
      </c>
      <c r="T1347">
        <v>3</v>
      </c>
      <c r="U1347" t="s">
        <v>104</v>
      </c>
      <c r="V1347">
        <v>13116</v>
      </c>
      <c r="W1347" t="s">
        <v>252</v>
      </c>
      <c r="X1347">
        <v>22984</v>
      </c>
      <c r="Y1347">
        <v>2</v>
      </c>
      <c r="Z1347" t="s">
        <v>47</v>
      </c>
      <c r="AA1347" t="s">
        <v>48</v>
      </c>
      <c r="AB1347">
        <v>11</v>
      </c>
      <c r="AC1347">
        <v>3</v>
      </c>
      <c r="AD1347">
        <v>4</v>
      </c>
      <c r="AE1347">
        <v>80</v>
      </c>
      <c r="AF1347">
        <v>0</v>
      </c>
      <c r="AG1347">
        <v>15</v>
      </c>
      <c r="AH1347">
        <v>2</v>
      </c>
      <c r="AI1347">
        <v>3</v>
      </c>
      <c r="AJ1347">
        <v>2</v>
      </c>
      <c r="AK1347">
        <v>2</v>
      </c>
      <c r="AL1347">
        <v>2</v>
      </c>
    </row>
    <row r="1348" spans="1:38" x14ac:dyDescent="0.3">
      <c r="A1348" t="s">
        <v>1418</v>
      </c>
      <c r="B1348">
        <v>52</v>
      </c>
      <c r="C1348" t="s">
        <v>1269</v>
      </c>
      <c r="D1348" t="s">
        <v>48</v>
      </c>
      <c r="E1348">
        <f t="shared" si="21"/>
        <v>0</v>
      </c>
      <c r="F1348" t="s">
        <v>40</v>
      </c>
      <c r="G1348">
        <v>699</v>
      </c>
      <c r="H1348" t="s">
        <v>41</v>
      </c>
      <c r="I1348">
        <v>1</v>
      </c>
      <c r="J1348">
        <v>4</v>
      </c>
      <c r="K1348" t="s">
        <v>42</v>
      </c>
      <c r="L1348">
        <v>1</v>
      </c>
      <c r="M1348">
        <v>259</v>
      </c>
      <c r="N1348">
        <v>3</v>
      </c>
      <c r="O1348" t="s">
        <v>43</v>
      </c>
      <c r="P1348">
        <v>65</v>
      </c>
      <c r="Q1348">
        <v>2</v>
      </c>
      <c r="R1348">
        <v>5</v>
      </c>
      <c r="S1348" t="s">
        <v>440</v>
      </c>
      <c r="T1348">
        <v>3</v>
      </c>
      <c r="U1348" t="s">
        <v>104</v>
      </c>
      <c r="V1348">
        <v>19999</v>
      </c>
      <c r="W1348" t="s">
        <v>366</v>
      </c>
      <c r="X1348">
        <v>5678</v>
      </c>
      <c r="Y1348">
        <v>0</v>
      </c>
      <c r="Z1348" t="s">
        <v>47</v>
      </c>
      <c r="AA1348" t="s">
        <v>48</v>
      </c>
      <c r="AB1348">
        <v>14</v>
      </c>
      <c r="AC1348">
        <v>3</v>
      </c>
      <c r="AD1348">
        <v>1</v>
      </c>
      <c r="AE1348">
        <v>80</v>
      </c>
      <c r="AF1348">
        <v>1</v>
      </c>
      <c r="AG1348">
        <v>34</v>
      </c>
      <c r="AH1348">
        <v>5</v>
      </c>
      <c r="AI1348">
        <v>3</v>
      </c>
      <c r="AJ1348">
        <v>33</v>
      </c>
      <c r="AK1348">
        <v>18</v>
      </c>
      <c r="AL1348">
        <v>11</v>
      </c>
    </row>
    <row r="1349" spans="1:38" x14ac:dyDescent="0.3">
      <c r="A1349" t="s">
        <v>1419</v>
      </c>
      <c r="B1349">
        <v>52</v>
      </c>
      <c r="C1349" t="s">
        <v>1269</v>
      </c>
      <c r="D1349" t="s">
        <v>48</v>
      </c>
      <c r="E1349">
        <f t="shared" si="21"/>
        <v>0</v>
      </c>
      <c r="F1349" t="s">
        <v>40</v>
      </c>
      <c r="G1349">
        <v>1323</v>
      </c>
      <c r="H1349" t="s">
        <v>41</v>
      </c>
      <c r="I1349">
        <v>2</v>
      </c>
      <c r="J1349">
        <v>3</v>
      </c>
      <c r="K1349" t="s">
        <v>42</v>
      </c>
      <c r="L1349">
        <v>1</v>
      </c>
      <c r="M1349">
        <v>316</v>
      </c>
      <c r="N1349">
        <v>3</v>
      </c>
      <c r="O1349" t="s">
        <v>52</v>
      </c>
      <c r="P1349">
        <v>89</v>
      </c>
      <c r="Q1349">
        <v>2</v>
      </c>
      <c r="R1349">
        <v>1</v>
      </c>
      <c r="S1349" t="s">
        <v>44</v>
      </c>
      <c r="T1349">
        <v>4</v>
      </c>
      <c r="U1349" t="s">
        <v>45</v>
      </c>
      <c r="V1349">
        <v>3212</v>
      </c>
      <c r="W1349" t="s">
        <v>46</v>
      </c>
      <c r="X1349">
        <v>3300</v>
      </c>
      <c r="Y1349">
        <v>7</v>
      </c>
      <c r="Z1349" t="s">
        <v>47</v>
      </c>
      <c r="AA1349" t="s">
        <v>48</v>
      </c>
      <c r="AB1349">
        <v>15</v>
      </c>
      <c r="AC1349">
        <v>3</v>
      </c>
      <c r="AD1349">
        <v>2</v>
      </c>
      <c r="AE1349">
        <v>80</v>
      </c>
      <c r="AF1349">
        <v>0</v>
      </c>
      <c r="AG1349">
        <v>6</v>
      </c>
      <c r="AH1349">
        <v>3</v>
      </c>
      <c r="AI1349">
        <v>2</v>
      </c>
      <c r="AJ1349">
        <v>2</v>
      </c>
      <c r="AK1349">
        <v>2</v>
      </c>
      <c r="AL1349">
        <v>2</v>
      </c>
    </row>
    <row r="1350" spans="1:38" x14ac:dyDescent="0.3">
      <c r="A1350" t="s">
        <v>1420</v>
      </c>
      <c r="B1350">
        <v>52</v>
      </c>
      <c r="C1350" t="s">
        <v>1269</v>
      </c>
      <c r="D1350" t="s">
        <v>48</v>
      </c>
      <c r="E1350">
        <f t="shared" si="21"/>
        <v>0</v>
      </c>
      <c r="F1350" t="s">
        <v>58</v>
      </c>
      <c r="G1350">
        <v>771</v>
      </c>
      <c r="H1350" t="s">
        <v>50</v>
      </c>
      <c r="I1350">
        <v>2</v>
      </c>
      <c r="J1350">
        <v>4</v>
      </c>
      <c r="K1350" t="s">
        <v>42</v>
      </c>
      <c r="L1350">
        <v>1</v>
      </c>
      <c r="M1350">
        <v>329</v>
      </c>
      <c r="N1350">
        <v>1</v>
      </c>
      <c r="O1350" t="s">
        <v>43</v>
      </c>
      <c r="P1350">
        <v>79</v>
      </c>
      <c r="Q1350">
        <v>2</v>
      </c>
      <c r="R1350">
        <v>5</v>
      </c>
      <c r="S1350" t="s">
        <v>440</v>
      </c>
      <c r="T1350">
        <v>3</v>
      </c>
      <c r="U1350" t="s">
        <v>45</v>
      </c>
      <c r="V1350">
        <v>19068</v>
      </c>
      <c r="W1350" t="s">
        <v>366</v>
      </c>
      <c r="X1350">
        <v>21030</v>
      </c>
      <c r="Y1350">
        <v>1</v>
      </c>
      <c r="Z1350" t="s">
        <v>47</v>
      </c>
      <c r="AA1350" t="s">
        <v>39</v>
      </c>
      <c r="AB1350">
        <v>18</v>
      </c>
      <c r="AC1350">
        <v>3</v>
      </c>
      <c r="AD1350">
        <v>4</v>
      </c>
      <c r="AE1350">
        <v>80</v>
      </c>
      <c r="AF1350">
        <v>0</v>
      </c>
      <c r="AG1350">
        <v>33</v>
      </c>
      <c r="AH1350">
        <v>2</v>
      </c>
      <c r="AI1350">
        <v>4</v>
      </c>
      <c r="AJ1350">
        <v>33</v>
      </c>
      <c r="AK1350">
        <v>7</v>
      </c>
      <c r="AL1350">
        <v>15</v>
      </c>
    </row>
    <row r="1351" spans="1:38" x14ac:dyDescent="0.3">
      <c r="A1351" t="s">
        <v>1421</v>
      </c>
      <c r="B1351">
        <v>52</v>
      </c>
      <c r="C1351" t="s">
        <v>1269</v>
      </c>
      <c r="D1351" t="s">
        <v>39</v>
      </c>
      <c r="E1351">
        <f t="shared" si="21"/>
        <v>1</v>
      </c>
      <c r="F1351" t="s">
        <v>40</v>
      </c>
      <c r="G1351">
        <v>723</v>
      </c>
      <c r="H1351" t="s">
        <v>41</v>
      </c>
      <c r="I1351">
        <v>8</v>
      </c>
      <c r="J1351">
        <v>4</v>
      </c>
      <c r="K1351" t="s">
        <v>51</v>
      </c>
      <c r="L1351">
        <v>1</v>
      </c>
      <c r="M1351">
        <v>433</v>
      </c>
      <c r="N1351">
        <v>3</v>
      </c>
      <c r="O1351" t="s">
        <v>43</v>
      </c>
      <c r="P1351">
        <v>85</v>
      </c>
      <c r="Q1351">
        <v>2</v>
      </c>
      <c r="R1351">
        <v>2</v>
      </c>
      <c r="S1351" t="s">
        <v>59</v>
      </c>
      <c r="T1351">
        <v>2</v>
      </c>
      <c r="U1351" t="s">
        <v>104</v>
      </c>
      <c r="V1351">
        <v>4941</v>
      </c>
      <c r="W1351" t="s">
        <v>46</v>
      </c>
      <c r="X1351">
        <v>17747</v>
      </c>
      <c r="Y1351">
        <v>2</v>
      </c>
      <c r="Z1351" t="s">
        <v>47</v>
      </c>
      <c r="AA1351" t="s">
        <v>48</v>
      </c>
      <c r="AB1351">
        <v>15</v>
      </c>
      <c r="AC1351">
        <v>3</v>
      </c>
      <c r="AD1351">
        <v>1</v>
      </c>
      <c r="AE1351">
        <v>80</v>
      </c>
      <c r="AF1351">
        <v>0</v>
      </c>
      <c r="AG1351">
        <v>11</v>
      </c>
      <c r="AH1351">
        <v>3</v>
      </c>
      <c r="AI1351">
        <v>2</v>
      </c>
      <c r="AJ1351">
        <v>8</v>
      </c>
      <c r="AK1351">
        <v>2</v>
      </c>
      <c r="AL1351">
        <v>7</v>
      </c>
    </row>
    <row r="1352" spans="1:38" x14ac:dyDescent="0.3">
      <c r="A1352" t="s">
        <v>1422</v>
      </c>
      <c r="B1352">
        <v>52</v>
      </c>
      <c r="C1352" t="s">
        <v>1269</v>
      </c>
      <c r="D1352" t="s">
        <v>48</v>
      </c>
      <c r="E1352">
        <f t="shared" si="21"/>
        <v>0</v>
      </c>
      <c r="F1352" t="s">
        <v>40</v>
      </c>
      <c r="G1352">
        <v>319</v>
      </c>
      <c r="H1352" t="s">
        <v>41</v>
      </c>
      <c r="I1352">
        <v>3</v>
      </c>
      <c r="J1352">
        <v>3</v>
      </c>
      <c r="K1352" t="s">
        <v>51</v>
      </c>
      <c r="L1352">
        <v>1</v>
      </c>
      <c r="M1352">
        <v>543</v>
      </c>
      <c r="N1352">
        <v>4</v>
      </c>
      <c r="O1352" t="s">
        <v>43</v>
      </c>
      <c r="P1352">
        <v>39</v>
      </c>
      <c r="Q1352">
        <v>2</v>
      </c>
      <c r="R1352">
        <v>3</v>
      </c>
      <c r="S1352" t="s">
        <v>111</v>
      </c>
      <c r="T1352">
        <v>3</v>
      </c>
      <c r="U1352" t="s">
        <v>104</v>
      </c>
      <c r="V1352">
        <v>7969</v>
      </c>
      <c r="W1352" t="s">
        <v>162</v>
      </c>
      <c r="X1352">
        <v>19609</v>
      </c>
      <c r="Y1352">
        <v>2</v>
      </c>
      <c r="Z1352" t="s">
        <v>47</v>
      </c>
      <c r="AA1352" t="s">
        <v>39</v>
      </c>
      <c r="AB1352">
        <v>14</v>
      </c>
      <c r="AC1352">
        <v>3</v>
      </c>
      <c r="AD1352">
        <v>3</v>
      </c>
      <c r="AE1352">
        <v>80</v>
      </c>
      <c r="AF1352">
        <v>0</v>
      </c>
      <c r="AG1352">
        <v>28</v>
      </c>
      <c r="AH1352">
        <v>4</v>
      </c>
      <c r="AI1352">
        <v>3</v>
      </c>
      <c r="AJ1352">
        <v>5</v>
      </c>
      <c r="AK1352">
        <v>4</v>
      </c>
      <c r="AL1352">
        <v>0</v>
      </c>
    </row>
    <row r="1353" spans="1:38" x14ac:dyDescent="0.3">
      <c r="A1353" t="s">
        <v>1423</v>
      </c>
      <c r="B1353">
        <v>52</v>
      </c>
      <c r="C1353" t="s">
        <v>1269</v>
      </c>
      <c r="D1353" t="s">
        <v>48</v>
      </c>
      <c r="E1353">
        <f t="shared" si="21"/>
        <v>0</v>
      </c>
      <c r="F1353" t="s">
        <v>40</v>
      </c>
      <c r="G1353">
        <v>1490</v>
      </c>
      <c r="H1353" t="s">
        <v>41</v>
      </c>
      <c r="I1353">
        <v>4</v>
      </c>
      <c r="J1353">
        <v>2</v>
      </c>
      <c r="K1353" t="s">
        <v>42</v>
      </c>
      <c r="L1353">
        <v>1</v>
      </c>
      <c r="M1353">
        <v>546</v>
      </c>
      <c r="N1353">
        <v>4</v>
      </c>
      <c r="O1353" t="s">
        <v>52</v>
      </c>
      <c r="P1353">
        <v>30</v>
      </c>
      <c r="Q1353">
        <v>3</v>
      </c>
      <c r="R1353">
        <v>4</v>
      </c>
      <c r="S1353" t="s">
        <v>440</v>
      </c>
      <c r="T1353">
        <v>4</v>
      </c>
      <c r="U1353" t="s">
        <v>104</v>
      </c>
      <c r="V1353">
        <v>16555</v>
      </c>
      <c r="W1353" t="s">
        <v>366</v>
      </c>
      <c r="X1353">
        <v>10310</v>
      </c>
      <c r="Y1353">
        <v>2</v>
      </c>
      <c r="Z1353" t="s">
        <v>47</v>
      </c>
      <c r="AA1353" t="s">
        <v>48</v>
      </c>
      <c r="AB1353">
        <v>13</v>
      </c>
      <c r="AC1353">
        <v>3</v>
      </c>
      <c r="AD1353">
        <v>4</v>
      </c>
      <c r="AE1353">
        <v>80</v>
      </c>
      <c r="AF1353">
        <v>0</v>
      </c>
      <c r="AG1353">
        <v>31</v>
      </c>
      <c r="AH1353">
        <v>2</v>
      </c>
      <c r="AI1353">
        <v>1</v>
      </c>
      <c r="AJ1353">
        <v>5</v>
      </c>
      <c r="AK1353">
        <v>2</v>
      </c>
      <c r="AL1353">
        <v>1</v>
      </c>
    </row>
    <row r="1354" spans="1:38" x14ac:dyDescent="0.3">
      <c r="A1354" t="s">
        <v>1424</v>
      </c>
      <c r="B1354">
        <v>52</v>
      </c>
      <c r="C1354" t="s">
        <v>1269</v>
      </c>
      <c r="D1354" t="s">
        <v>48</v>
      </c>
      <c r="E1354">
        <f t="shared" si="21"/>
        <v>0</v>
      </c>
      <c r="F1354" t="s">
        <v>40</v>
      </c>
      <c r="G1354">
        <v>956</v>
      </c>
      <c r="H1354" t="s">
        <v>41</v>
      </c>
      <c r="I1354">
        <v>6</v>
      </c>
      <c r="J1354">
        <v>2</v>
      </c>
      <c r="K1354" t="s">
        <v>67</v>
      </c>
      <c r="L1354">
        <v>1</v>
      </c>
      <c r="M1354">
        <v>630</v>
      </c>
      <c r="N1354">
        <v>4</v>
      </c>
      <c r="O1354" t="s">
        <v>43</v>
      </c>
      <c r="P1354">
        <v>78</v>
      </c>
      <c r="Q1354">
        <v>3</v>
      </c>
      <c r="R1354">
        <v>2</v>
      </c>
      <c r="S1354" t="s">
        <v>59</v>
      </c>
      <c r="T1354">
        <v>1</v>
      </c>
      <c r="U1354" t="s">
        <v>101</v>
      </c>
      <c r="V1354">
        <v>5577</v>
      </c>
      <c r="W1354" t="s">
        <v>162</v>
      </c>
      <c r="X1354">
        <v>22087</v>
      </c>
      <c r="Y1354">
        <v>3</v>
      </c>
      <c r="Z1354" t="s">
        <v>47</v>
      </c>
      <c r="AA1354" t="s">
        <v>39</v>
      </c>
      <c r="AB1354">
        <v>12</v>
      </c>
      <c r="AC1354">
        <v>3</v>
      </c>
      <c r="AD1354">
        <v>2</v>
      </c>
      <c r="AE1354">
        <v>80</v>
      </c>
      <c r="AF1354">
        <v>2</v>
      </c>
      <c r="AG1354">
        <v>18</v>
      </c>
      <c r="AH1354">
        <v>3</v>
      </c>
      <c r="AI1354">
        <v>3</v>
      </c>
      <c r="AJ1354">
        <v>10</v>
      </c>
      <c r="AK1354">
        <v>9</v>
      </c>
      <c r="AL1354">
        <v>6</v>
      </c>
    </row>
    <row r="1355" spans="1:38" x14ac:dyDescent="0.3">
      <c r="A1355" t="s">
        <v>1425</v>
      </c>
      <c r="B1355">
        <v>52</v>
      </c>
      <c r="C1355" t="s">
        <v>1269</v>
      </c>
      <c r="D1355" t="s">
        <v>48</v>
      </c>
      <c r="E1355">
        <f t="shared" si="21"/>
        <v>0</v>
      </c>
      <c r="F1355" t="s">
        <v>40</v>
      </c>
      <c r="G1355">
        <v>621</v>
      </c>
      <c r="H1355" t="s">
        <v>50</v>
      </c>
      <c r="I1355">
        <v>3</v>
      </c>
      <c r="J1355">
        <v>4</v>
      </c>
      <c r="K1355" t="s">
        <v>56</v>
      </c>
      <c r="L1355">
        <v>1</v>
      </c>
      <c r="M1355">
        <v>776</v>
      </c>
      <c r="N1355">
        <v>3</v>
      </c>
      <c r="O1355" t="s">
        <v>43</v>
      </c>
      <c r="P1355">
        <v>31</v>
      </c>
      <c r="Q1355">
        <v>2</v>
      </c>
      <c r="R1355">
        <v>4</v>
      </c>
      <c r="S1355" t="s">
        <v>440</v>
      </c>
      <c r="T1355">
        <v>1</v>
      </c>
      <c r="U1355" t="s">
        <v>104</v>
      </c>
      <c r="V1355">
        <v>16856</v>
      </c>
      <c r="W1355" t="s">
        <v>366</v>
      </c>
      <c r="X1355">
        <v>10084</v>
      </c>
      <c r="Y1355">
        <v>1</v>
      </c>
      <c r="Z1355" t="s">
        <v>47</v>
      </c>
      <c r="AA1355" t="s">
        <v>48</v>
      </c>
      <c r="AB1355">
        <v>11</v>
      </c>
      <c r="AC1355">
        <v>3</v>
      </c>
      <c r="AD1355">
        <v>1</v>
      </c>
      <c r="AE1355">
        <v>80</v>
      </c>
      <c r="AF1355">
        <v>0</v>
      </c>
      <c r="AG1355">
        <v>34</v>
      </c>
      <c r="AH1355">
        <v>3</v>
      </c>
      <c r="AI1355">
        <v>4</v>
      </c>
      <c r="AJ1355">
        <v>34</v>
      </c>
      <c r="AK1355">
        <v>6</v>
      </c>
      <c r="AL1355">
        <v>1</v>
      </c>
    </row>
    <row r="1356" spans="1:38" x14ac:dyDescent="0.3">
      <c r="A1356" t="s">
        <v>1426</v>
      </c>
      <c r="B1356">
        <v>52</v>
      </c>
      <c r="C1356" t="s">
        <v>1269</v>
      </c>
      <c r="D1356" t="s">
        <v>48</v>
      </c>
      <c r="E1356">
        <f t="shared" si="21"/>
        <v>0</v>
      </c>
      <c r="F1356" t="s">
        <v>58</v>
      </c>
      <c r="G1356">
        <v>715</v>
      </c>
      <c r="H1356" t="s">
        <v>41</v>
      </c>
      <c r="I1356">
        <v>19</v>
      </c>
      <c r="J1356">
        <v>4</v>
      </c>
      <c r="K1356" t="s">
        <v>51</v>
      </c>
      <c r="L1356">
        <v>1</v>
      </c>
      <c r="M1356">
        <v>791</v>
      </c>
      <c r="N1356">
        <v>4</v>
      </c>
      <c r="O1356" t="s">
        <v>43</v>
      </c>
      <c r="P1356">
        <v>41</v>
      </c>
      <c r="Q1356">
        <v>3</v>
      </c>
      <c r="R1356">
        <v>1</v>
      </c>
      <c r="S1356" t="s">
        <v>59</v>
      </c>
      <c r="T1356">
        <v>4</v>
      </c>
      <c r="U1356" t="s">
        <v>104</v>
      </c>
      <c r="V1356">
        <v>4258</v>
      </c>
      <c r="W1356" t="s">
        <v>46</v>
      </c>
      <c r="X1356">
        <v>26589</v>
      </c>
      <c r="Y1356">
        <v>0</v>
      </c>
      <c r="Z1356" t="s">
        <v>47</v>
      </c>
      <c r="AA1356" t="s">
        <v>48</v>
      </c>
      <c r="AB1356">
        <v>18</v>
      </c>
      <c r="AC1356">
        <v>3</v>
      </c>
      <c r="AD1356">
        <v>1</v>
      </c>
      <c r="AE1356">
        <v>80</v>
      </c>
      <c r="AF1356">
        <v>1</v>
      </c>
      <c r="AG1356">
        <v>5</v>
      </c>
      <c r="AH1356">
        <v>3</v>
      </c>
      <c r="AI1356">
        <v>3</v>
      </c>
      <c r="AJ1356">
        <v>4</v>
      </c>
      <c r="AK1356">
        <v>3</v>
      </c>
      <c r="AL1356">
        <v>1</v>
      </c>
    </row>
    <row r="1357" spans="1:38" x14ac:dyDescent="0.3">
      <c r="A1357" t="s">
        <v>1427</v>
      </c>
      <c r="B1357">
        <v>52</v>
      </c>
      <c r="C1357" t="s">
        <v>1269</v>
      </c>
      <c r="D1357" t="s">
        <v>48</v>
      </c>
      <c r="E1357">
        <f t="shared" si="21"/>
        <v>0</v>
      </c>
      <c r="F1357" t="s">
        <v>40</v>
      </c>
      <c r="G1357">
        <v>1325</v>
      </c>
      <c r="H1357" t="s">
        <v>41</v>
      </c>
      <c r="I1357">
        <v>11</v>
      </c>
      <c r="J1357">
        <v>4</v>
      </c>
      <c r="K1357" t="s">
        <v>42</v>
      </c>
      <c r="L1357">
        <v>1</v>
      </c>
      <c r="M1357">
        <v>813</v>
      </c>
      <c r="N1357">
        <v>4</v>
      </c>
      <c r="O1357" t="s">
        <v>52</v>
      </c>
      <c r="P1357">
        <v>82</v>
      </c>
      <c r="Q1357">
        <v>3</v>
      </c>
      <c r="R1357">
        <v>2</v>
      </c>
      <c r="S1357" t="s">
        <v>44</v>
      </c>
      <c r="T1357">
        <v>3</v>
      </c>
      <c r="U1357" t="s">
        <v>104</v>
      </c>
      <c r="V1357">
        <v>3149</v>
      </c>
      <c r="W1357" t="s">
        <v>46</v>
      </c>
      <c r="X1357">
        <v>21821</v>
      </c>
      <c r="Y1357">
        <v>8</v>
      </c>
      <c r="Z1357" t="s">
        <v>47</v>
      </c>
      <c r="AA1357" t="s">
        <v>48</v>
      </c>
      <c r="AB1357">
        <v>20</v>
      </c>
      <c r="AC1357">
        <v>4</v>
      </c>
      <c r="AD1357">
        <v>2</v>
      </c>
      <c r="AE1357">
        <v>80</v>
      </c>
      <c r="AF1357">
        <v>1</v>
      </c>
      <c r="AG1357">
        <v>9</v>
      </c>
      <c r="AH1357">
        <v>3</v>
      </c>
      <c r="AI1357">
        <v>3</v>
      </c>
      <c r="AJ1357">
        <v>5</v>
      </c>
      <c r="AK1357">
        <v>2</v>
      </c>
      <c r="AL1357">
        <v>1</v>
      </c>
    </row>
    <row r="1358" spans="1:38" x14ac:dyDescent="0.3">
      <c r="A1358" t="s">
        <v>1428</v>
      </c>
      <c r="B1358">
        <v>52</v>
      </c>
      <c r="C1358" t="s">
        <v>1269</v>
      </c>
      <c r="D1358" t="s">
        <v>48</v>
      </c>
      <c r="E1358">
        <f t="shared" si="21"/>
        <v>0</v>
      </c>
      <c r="F1358" t="s">
        <v>55</v>
      </c>
      <c r="G1358">
        <v>890</v>
      </c>
      <c r="H1358" t="s">
        <v>41</v>
      </c>
      <c r="I1358">
        <v>25</v>
      </c>
      <c r="J1358">
        <v>4</v>
      </c>
      <c r="K1358" t="s">
        <v>51</v>
      </c>
      <c r="L1358">
        <v>1</v>
      </c>
      <c r="M1358">
        <v>867</v>
      </c>
      <c r="N1358">
        <v>3</v>
      </c>
      <c r="O1358" t="s">
        <v>52</v>
      </c>
      <c r="P1358">
        <v>81</v>
      </c>
      <c r="Q1358">
        <v>2</v>
      </c>
      <c r="R1358">
        <v>4</v>
      </c>
      <c r="S1358" t="s">
        <v>111</v>
      </c>
      <c r="T1358">
        <v>4</v>
      </c>
      <c r="U1358" t="s">
        <v>104</v>
      </c>
      <c r="V1358">
        <v>13826</v>
      </c>
      <c r="W1358" t="s">
        <v>252</v>
      </c>
      <c r="X1358">
        <v>19028</v>
      </c>
      <c r="Y1358">
        <v>3</v>
      </c>
      <c r="Z1358" t="s">
        <v>47</v>
      </c>
      <c r="AA1358" t="s">
        <v>48</v>
      </c>
      <c r="AB1358">
        <v>22</v>
      </c>
      <c r="AC1358">
        <v>4</v>
      </c>
      <c r="AD1358">
        <v>3</v>
      </c>
      <c r="AE1358">
        <v>80</v>
      </c>
      <c r="AF1358">
        <v>0</v>
      </c>
      <c r="AG1358">
        <v>31</v>
      </c>
      <c r="AH1358">
        <v>3</v>
      </c>
      <c r="AI1358">
        <v>3</v>
      </c>
      <c r="AJ1358">
        <v>9</v>
      </c>
      <c r="AK1358">
        <v>8</v>
      </c>
      <c r="AL1358">
        <v>0</v>
      </c>
    </row>
    <row r="1359" spans="1:38" x14ac:dyDescent="0.3">
      <c r="A1359" t="s">
        <v>1429</v>
      </c>
      <c r="B1359">
        <v>52</v>
      </c>
      <c r="C1359" t="s">
        <v>1269</v>
      </c>
      <c r="D1359" t="s">
        <v>48</v>
      </c>
      <c r="E1359">
        <f t="shared" si="21"/>
        <v>0</v>
      </c>
      <c r="F1359" t="s">
        <v>40</v>
      </c>
      <c r="G1359">
        <v>1053</v>
      </c>
      <c r="H1359" t="s">
        <v>41</v>
      </c>
      <c r="I1359">
        <v>1</v>
      </c>
      <c r="J1359">
        <v>2</v>
      </c>
      <c r="K1359" t="s">
        <v>42</v>
      </c>
      <c r="L1359">
        <v>1</v>
      </c>
      <c r="M1359">
        <v>976</v>
      </c>
      <c r="N1359">
        <v>4</v>
      </c>
      <c r="O1359" t="s">
        <v>43</v>
      </c>
      <c r="P1359">
        <v>70</v>
      </c>
      <c r="Q1359">
        <v>3</v>
      </c>
      <c r="R1359">
        <v>4</v>
      </c>
      <c r="S1359" t="s">
        <v>440</v>
      </c>
      <c r="T1359">
        <v>4</v>
      </c>
      <c r="U1359" t="s">
        <v>104</v>
      </c>
      <c r="V1359">
        <v>17099</v>
      </c>
      <c r="W1359" t="s">
        <v>366</v>
      </c>
      <c r="X1359">
        <v>13829</v>
      </c>
      <c r="Y1359">
        <v>2</v>
      </c>
      <c r="Z1359" t="s">
        <v>47</v>
      </c>
      <c r="AA1359" t="s">
        <v>48</v>
      </c>
      <c r="AB1359">
        <v>15</v>
      </c>
      <c r="AC1359">
        <v>3</v>
      </c>
      <c r="AD1359">
        <v>2</v>
      </c>
      <c r="AE1359">
        <v>80</v>
      </c>
      <c r="AF1359">
        <v>1</v>
      </c>
      <c r="AG1359">
        <v>26</v>
      </c>
      <c r="AH1359">
        <v>2</v>
      </c>
      <c r="AI1359">
        <v>2</v>
      </c>
      <c r="AJ1359">
        <v>9</v>
      </c>
      <c r="AK1359">
        <v>8</v>
      </c>
      <c r="AL1359">
        <v>7</v>
      </c>
    </row>
    <row r="1360" spans="1:38" x14ac:dyDescent="0.3">
      <c r="A1360" t="s">
        <v>1430</v>
      </c>
      <c r="B1360">
        <v>52</v>
      </c>
      <c r="C1360" t="s">
        <v>1269</v>
      </c>
      <c r="D1360" t="s">
        <v>39</v>
      </c>
      <c r="E1360">
        <f t="shared" si="21"/>
        <v>1</v>
      </c>
      <c r="F1360" t="s">
        <v>40</v>
      </c>
      <c r="G1360">
        <v>266</v>
      </c>
      <c r="H1360" t="s">
        <v>50</v>
      </c>
      <c r="I1360">
        <v>2</v>
      </c>
      <c r="J1360">
        <v>1</v>
      </c>
      <c r="K1360" t="s">
        <v>56</v>
      </c>
      <c r="L1360">
        <v>1</v>
      </c>
      <c r="M1360">
        <v>1038</v>
      </c>
      <c r="N1360">
        <v>1</v>
      </c>
      <c r="O1360" t="s">
        <v>52</v>
      </c>
      <c r="P1360">
        <v>57</v>
      </c>
      <c r="Q1360">
        <v>1</v>
      </c>
      <c r="R1360">
        <v>5</v>
      </c>
      <c r="S1360" t="s">
        <v>440</v>
      </c>
      <c r="T1360">
        <v>4</v>
      </c>
      <c r="U1360" t="s">
        <v>104</v>
      </c>
      <c r="V1360">
        <v>19845</v>
      </c>
      <c r="W1360" t="s">
        <v>366</v>
      </c>
      <c r="X1360">
        <v>25846</v>
      </c>
      <c r="Y1360">
        <v>1</v>
      </c>
      <c r="Z1360" t="s">
        <v>47</v>
      </c>
      <c r="AA1360" t="s">
        <v>48</v>
      </c>
      <c r="AB1360">
        <v>15</v>
      </c>
      <c r="AC1360">
        <v>3</v>
      </c>
      <c r="AD1360">
        <v>4</v>
      </c>
      <c r="AE1360">
        <v>80</v>
      </c>
      <c r="AF1360">
        <v>1</v>
      </c>
      <c r="AG1360">
        <v>33</v>
      </c>
      <c r="AH1360">
        <v>3</v>
      </c>
      <c r="AI1360">
        <v>3</v>
      </c>
      <c r="AJ1360">
        <v>32</v>
      </c>
      <c r="AK1360">
        <v>14</v>
      </c>
      <c r="AL1360">
        <v>6</v>
      </c>
    </row>
    <row r="1361" spans="1:38" x14ac:dyDescent="0.3">
      <c r="A1361" t="s">
        <v>1431</v>
      </c>
      <c r="B1361">
        <v>52</v>
      </c>
      <c r="C1361" t="s">
        <v>1269</v>
      </c>
      <c r="D1361" t="s">
        <v>48</v>
      </c>
      <c r="E1361">
        <f t="shared" si="21"/>
        <v>0</v>
      </c>
      <c r="F1361" t="s">
        <v>40</v>
      </c>
      <c r="G1361">
        <v>994</v>
      </c>
      <c r="H1361" t="s">
        <v>41</v>
      </c>
      <c r="I1361">
        <v>7</v>
      </c>
      <c r="J1361">
        <v>4</v>
      </c>
      <c r="K1361" t="s">
        <v>42</v>
      </c>
      <c r="L1361">
        <v>1</v>
      </c>
      <c r="M1361">
        <v>1118</v>
      </c>
      <c r="N1361">
        <v>2</v>
      </c>
      <c r="O1361" t="s">
        <v>43</v>
      </c>
      <c r="P1361">
        <v>87</v>
      </c>
      <c r="Q1361">
        <v>3</v>
      </c>
      <c r="R1361">
        <v>3</v>
      </c>
      <c r="S1361" t="s">
        <v>160</v>
      </c>
      <c r="T1361">
        <v>2</v>
      </c>
      <c r="U1361" t="s">
        <v>45</v>
      </c>
      <c r="V1361">
        <v>10445</v>
      </c>
      <c r="W1361" t="s">
        <v>252</v>
      </c>
      <c r="X1361">
        <v>15322</v>
      </c>
      <c r="Y1361">
        <v>7</v>
      </c>
      <c r="Z1361" t="s">
        <v>47</v>
      </c>
      <c r="AA1361" t="s">
        <v>48</v>
      </c>
      <c r="AB1361">
        <v>19</v>
      </c>
      <c r="AC1361">
        <v>3</v>
      </c>
      <c r="AD1361">
        <v>4</v>
      </c>
      <c r="AE1361">
        <v>80</v>
      </c>
      <c r="AF1361">
        <v>0</v>
      </c>
      <c r="AG1361">
        <v>18</v>
      </c>
      <c r="AH1361">
        <v>4</v>
      </c>
      <c r="AI1361">
        <v>3</v>
      </c>
      <c r="AJ1361">
        <v>8</v>
      </c>
      <c r="AK1361">
        <v>6</v>
      </c>
      <c r="AL1361">
        <v>4</v>
      </c>
    </row>
    <row r="1362" spans="1:38" x14ac:dyDescent="0.3">
      <c r="A1362" t="s">
        <v>1432</v>
      </c>
      <c r="B1362">
        <v>52</v>
      </c>
      <c r="C1362" t="s">
        <v>1269</v>
      </c>
      <c r="D1362" t="s">
        <v>39</v>
      </c>
      <c r="E1362">
        <f t="shared" si="21"/>
        <v>1</v>
      </c>
      <c r="F1362" t="s">
        <v>40</v>
      </c>
      <c r="G1362">
        <v>1030</v>
      </c>
      <c r="H1362" t="s">
        <v>50</v>
      </c>
      <c r="I1362">
        <v>5</v>
      </c>
      <c r="J1362">
        <v>3</v>
      </c>
      <c r="K1362" t="s">
        <v>42</v>
      </c>
      <c r="L1362">
        <v>1</v>
      </c>
      <c r="M1362">
        <v>1319</v>
      </c>
      <c r="N1362">
        <v>2</v>
      </c>
      <c r="O1362" t="s">
        <v>43</v>
      </c>
      <c r="P1362">
        <v>64</v>
      </c>
      <c r="Q1362">
        <v>3</v>
      </c>
      <c r="R1362">
        <v>3</v>
      </c>
      <c r="S1362" t="s">
        <v>136</v>
      </c>
      <c r="T1362">
        <v>2</v>
      </c>
      <c r="U1362" t="s">
        <v>45</v>
      </c>
      <c r="V1362">
        <v>8446</v>
      </c>
      <c r="W1362" t="s">
        <v>162</v>
      </c>
      <c r="X1362">
        <v>21534</v>
      </c>
      <c r="Y1362">
        <v>9</v>
      </c>
      <c r="Z1362" t="s">
        <v>47</v>
      </c>
      <c r="AA1362" t="s">
        <v>39</v>
      </c>
      <c r="AB1362">
        <v>19</v>
      </c>
      <c r="AC1362">
        <v>3</v>
      </c>
      <c r="AD1362">
        <v>3</v>
      </c>
      <c r="AE1362">
        <v>80</v>
      </c>
      <c r="AF1362">
        <v>0</v>
      </c>
      <c r="AG1362">
        <v>10</v>
      </c>
      <c r="AH1362">
        <v>2</v>
      </c>
      <c r="AI1362">
        <v>2</v>
      </c>
      <c r="AJ1362">
        <v>8</v>
      </c>
      <c r="AK1362">
        <v>7</v>
      </c>
      <c r="AL1362">
        <v>7</v>
      </c>
    </row>
    <row r="1363" spans="1:38" x14ac:dyDescent="0.3">
      <c r="A1363" t="s">
        <v>1433</v>
      </c>
      <c r="B1363">
        <v>52</v>
      </c>
      <c r="C1363" t="s">
        <v>1269</v>
      </c>
      <c r="D1363" t="s">
        <v>48</v>
      </c>
      <c r="E1363">
        <f t="shared" si="21"/>
        <v>0</v>
      </c>
      <c r="F1363" t="s">
        <v>55</v>
      </c>
      <c r="G1363">
        <v>322</v>
      </c>
      <c r="H1363" t="s">
        <v>41</v>
      </c>
      <c r="I1363">
        <v>28</v>
      </c>
      <c r="J1363">
        <v>2</v>
      </c>
      <c r="K1363" t="s">
        <v>51</v>
      </c>
      <c r="L1363">
        <v>1</v>
      </c>
      <c r="M1363">
        <v>1401</v>
      </c>
      <c r="N1363">
        <v>4</v>
      </c>
      <c r="O1363" t="s">
        <v>52</v>
      </c>
      <c r="P1363">
        <v>59</v>
      </c>
      <c r="Q1363">
        <v>4</v>
      </c>
      <c r="R1363">
        <v>4</v>
      </c>
      <c r="S1363" t="s">
        <v>111</v>
      </c>
      <c r="T1363">
        <v>3</v>
      </c>
      <c r="U1363" t="s">
        <v>104</v>
      </c>
      <c r="V1363">
        <v>13247</v>
      </c>
      <c r="W1363" t="s">
        <v>252</v>
      </c>
      <c r="X1363">
        <v>9731</v>
      </c>
      <c r="Y1363">
        <v>2</v>
      </c>
      <c r="Z1363" t="s">
        <v>47</v>
      </c>
      <c r="AA1363" t="s">
        <v>39</v>
      </c>
      <c r="AB1363">
        <v>11</v>
      </c>
      <c r="AC1363">
        <v>3</v>
      </c>
      <c r="AD1363">
        <v>2</v>
      </c>
      <c r="AE1363">
        <v>80</v>
      </c>
      <c r="AF1363">
        <v>1</v>
      </c>
      <c r="AG1363">
        <v>24</v>
      </c>
      <c r="AH1363">
        <v>3</v>
      </c>
      <c r="AI1363">
        <v>2</v>
      </c>
      <c r="AJ1363">
        <v>5</v>
      </c>
      <c r="AK1363">
        <v>3</v>
      </c>
      <c r="AL1363">
        <v>0</v>
      </c>
    </row>
    <row r="1364" spans="1:38" x14ac:dyDescent="0.3">
      <c r="A1364" t="s">
        <v>1434</v>
      </c>
      <c r="B1364">
        <v>52</v>
      </c>
      <c r="C1364" t="s">
        <v>1269</v>
      </c>
      <c r="D1364" t="s">
        <v>48</v>
      </c>
      <c r="E1364">
        <f t="shared" si="21"/>
        <v>0</v>
      </c>
      <c r="F1364" t="s">
        <v>40</v>
      </c>
      <c r="G1364">
        <v>258</v>
      </c>
      <c r="H1364" t="s">
        <v>41</v>
      </c>
      <c r="I1364">
        <v>8</v>
      </c>
      <c r="J1364">
        <v>4</v>
      </c>
      <c r="K1364" t="s">
        <v>72</v>
      </c>
      <c r="L1364">
        <v>1</v>
      </c>
      <c r="M1364">
        <v>1409</v>
      </c>
      <c r="N1364">
        <v>3</v>
      </c>
      <c r="O1364" t="s">
        <v>52</v>
      </c>
      <c r="P1364">
        <v>54</v>
      </c>
      <c r="Q1364">
        <v>3</v>
      </c>
      <c r="R1364">
        <v>1</v>
      </c>
      <c r="S1364" t="s">
        <v>44</v>
      </c>
      <c r="T1364">
        <v>1</v>
      </c>
      <c r="U1364" t="s">
        <v>104</v>
      </c>
      <c r="V1364">
        <v>2950</v>
      </c>
      <c r="W1364" t="s">
        <v>46</v>
      </c>
      <c r="X1364">
        <v>17363</v>
      </c>
      <c r="Y1364">
        <v>9</v>
      </c>
      <c r="Z1364" t="s">
        <v>47</v>
      </c>
      <c r="AA1364" t="s">
        <v>48</v>
      </c>
      <c r="AB1364">
        <v>13</v>
      </c>
      <c r="AC1364">
        <v>3</v>
      </c>
      <c r="AD1364">
        <v>3</v>
      </c>
      <c r="AE1364">
        <v>80</v>
      </c>
      <c r="AF1364">
        <v>0</v>
      </c>
      <c r="AG1364">
        <v>12</v>
      </c>
      <c r="AH1364">
        <v>2</v>
      </c>
      <c r="AI1364">
        <v>1</v>
      </c>
      <c r="AJ1364">
        <v>5</v>
      </c>
      <c r="AK1364">
        <v>4</v>
      </c>
      <c r="AL1364">
        <v>0</v>
      </c>
    </row>
    <row r="1365" spans="1:38" x14ac:dyDescent="0.3">
      <c r="A1365" t="s">
        <v>1435</v>
      </c>
      <c r="B1365">
        <v>52</v>
      </c>
      <c r="C1365" t="s">
        <v>1269</v>
      </c>
      <c r="D1365" t="s">
        <v>48</v>
      </c>
      <c r="E1365">
        <f t="shared" si="21"/>
        <v>0</v>
      </c>
      <c r="F1365" t="s">
        <v>58</v>
      </c>
      <c r="G1365">
        <v>585</v>
      </c>
      <c r="H1365" t="s">
        <v>50</v>
      </c>
      <c r="I1365">
        <v>29</v>
      </c>
      <c r="J1365">
        <v>4</v>
      </c>
      <c r="K1365" t="s">
        <v>42</v>
      </c>
      <c r="L1365">
        <v>1</v>
      </c>
      <c r="M1365">
        <v>2019</v>
      </c>
      <c r="N1365">
        <v>1</v>
      </c>
      <c r="O1365" t="s">
        <v>43</v>
      </c>
      <c r="P1365">
        <v>40</v>
      </c>
      <c r="Q1365">
        <v>3</v>
      </c>
      <c r="R1365">
        <v>1</v>
      </c>
      <c r="S1365" t="s">
        <v>53</v>
      </c>
      <c r="T1365">
        <v>4</v>
      </c>
      <c r="U1365" t="s">
        <v>101</v>
      </c>
      <c r="V1365">
        <v>3482</v>
      </c>
      <c r="W1365" t="s">
        <v>46</v>
      </c>
      <c r="X1365">
        <v>19788</v>
      </c>
      <c r="Y1365">
        <v>2</v>
      </c>
      <c r="Z1365" t="s">
        <v>47</v>
      </c>
      <c r="AA1365" t="s">
        <v>48</v>
      </c>
      <c r="AB1365">
        <v>15</v>
      </c>
      <c r="AC1365">
        <v>3</v>
      </c>
      <c r="AD1365">
        <v>2</v>
      </c>
      <c r="AE1365">
        <v>80</v>
      </c>
      <c r="AF1365">
        <v>2</v>
      </c>
      <c r="AG1365">
        <v>16</v>
      </c>
      <c r="AH1365">
        <v>3</v>
      </c>
      <c r="AI1365">
        <v>2</v>
      </c>
      <c r="AJ1365">
        <v>9</v>
      </c>
      <c r="AK1365">
        <v>8</v>
      </c>
      <c r="AL1365">
        <v>0</v>
      </c>
    </row>
    <row r="1366" spans="1:38" x14ac:dyDescent="0.3">
      <c r="A1366" t="s">
        <v>1436</v>
      </c>
      <c r="B1366">
        <v>53</v>
      </c>
      <c r="C1366" t="s">
        <v>1269</v>
      </c>
      <c r="D1366" t="s">
        <v>48</v>
      </c>
      <c r="E1366">
        <f t="shared" si="21"/>
        <v>0</v>
      </c>
      <c r="F1366" t="s">
        <v>40</v>
      </c>
      <c r="G1366">
        <v>1219</v>
      </c>
      <c r="H1366" t="s">
        <v>50</v>
      </c>
      <c r="I1366">
        <v>2</v>
      </c>
      <c r="J1366">
        <v>4</v>
      </c>
      <c r="K1366" t="s">
        <v>42</v>
      </c>
      <c r="L1366">
        <v>1</v>
      </c>
      <c r="M1366">
        <v>23</v>
      </c>
      <c r="N1366">
        <v>1</v>
      </c>
      <c r="O1366" t="s">
        <v>52</v>
      </c>
      <c r="P1366">
        <v>78</v>
      </c>
      <c r="Q1366">
        <v>2</v>
      </c>
      <c r="R1366">
        <v>4</v>
      </c>
      <c r="S1366" t="s">
        <v>440</v>
      </c>
      <c r="T1366">
        <v>4</v>
      </c>
      <c r="U1366" t="s">
        <v>104</v>
      </c>
      <c r="V1366">
        <v>15427</v>
      </c>
      <c r="W1366" t="s">
        <v>366</v>
      </c>
      <c r="X1366">
        <v>22021</v>
      </c>
      <c r="Y1366">
        <v>2</v>
      </c>
      <c r="Z1366" t="s">
        <v>47</v>
      </c>
      <c r="AA1366" t="s">
        <v>48</v>
      </c>
      <c r="AB1366">
        <v>16</v>
      </c>
      <c r="AC1366">
        <v>3</v>
      </c>
      <c r="AD1366">
        <v>3</v>
      </c>
      <c r="AE1366">
        <v>80</v>
      </c>
      <c r="AF1366">
        <v>0</v>
      </c>
      <c r="AG1366">
        <v>31</v>
      </c>
      <c r="AH1366">
        <v>3</v>
      </c>
      <c r="AI1366">
        <v>3</v>
      </c>
      <c r="AJ1366">
        <v>25</v>
      </c>
      <c r="AK1366">
        <v>8</v>
      </c>
      <c r="AL1366">
        <v>3</v>
      </c>
    </row>
    <row r="1367" spans="1:38" x14ac:dyDescent="0.3">
      <c r="A1367" t="s">
        <v>1437</v>
      </c>
      <c r="B1367">
        <v>53</v>
      </c>
      <c r="C1367" t="s">
        <v>1269</v>
      </c>
      <c r="D1367" t="s">
        <v>48</v>
      </c>
      <c r="E1367">
        <f t="shared" si="21"/>
        <v>0</v>
      </c>
      <c r="F1367" t="s">
        <v>40</v>
      </c>
      <c r="G1367">
        <v>1282</v>
      </c>
      <c r="H1367" t="s">
        <v>41</v>
      </c>
      <c r="I1367">
        <v>5</v>
      </c>
      <c r="J1367">
        <v>3</v>
      </c>
      <c r="K1367" t="s">
        <v>72</v>
      </c>
      <c r="L1367">
        <v>1</v>
      </c>
      <c r="M1367">
        <v>32</v>
      </c>
      <c r="N1367">
        <v>3</v>
      </c>
      <c r="O1367" t="s">
        <v>52</v>
      </c>
      <c r="P1367">
        <v>58</v>
      </c>
      <c r="Q1367">
        <v>3</v>
      </c>
      <c r="R1367">
        <v>5</v>
      </c>
      <c r="S1367" t="s">
        <v>440</v>
      </c>
      <c r="T1367">
        <v>3</v>
      </c>
      <c r="U1367" t="s">
        <v>101</v>
      </c>
      <c r="V1367">
        <v>19094</v>
      </c>
      <c r="W1367" t="s">
        <v>366</v>
      </c>
      <c r="X1367">
        <v>10735</v>
      </c>
      <c r="Y1367">
        <v>4</v>
      </c>
      <c r="Z1367" t="s">
        <v>47</v>
      </c>
      <c r="AA1367" t="s">
        <v>48</v>
      </c>
      <c r="AB1367">
        <v>11</v>
      </c>
      <c r="AC1367">
        <v>3</v>
      </c>
      <c r="AD1367">
        <v>4</v>
      </c>
      <c r="AE1367">
        <v>80</v>
      </c>
      <c r="AF1367">
        <v>1</v>
      </c>
      <c r="AG1367">
        <v>26</v>
      </c>
      <c r="AH1367">
        <v>3</v>
      </c>
      <c r="AI1367">
        <v>2</v>
      </c>
      <c r="AJ1367">
        <v>14</v>
      </c>
      <c r="AK1367">
        <v>13</v>
      </c>
      <c r="AL1367">
        <v>4</v>
      </c>
    </row>
    <row r="1368" spans="1:38" x14ac:dyDescent="0.3">
      <c r="A1368" t="s">
        <v>1438</v>
      </c>
      <c r="B1368">
        <v>53</v>
      </c>
      <c r="C1368" t="s">
        <v>1269</v>
      </c>
      <c r="D1368" t="s">
        <v>48</v>
      </c>
      <c r="E1368">
        <f t="shared" si="21"/>
        <v>0</v>
      </c>
      <c r="F1368" t="s">
        <v>40</v>
      </c>
      <c r="G1368">
        <v>1436</v>
      </c>
      <c r="H1368" t="s">
        <v>50</v>
      </c>
      <c r="I1368">
        <v>6</v>
      </c>
      <c r="J1368">
        <v>2</v>
      </c>
      <c r="K1368" t="s">
        <v>56</v>
      </c>
      <c r="L1368">
        <v>1</v>
      </c>
      <c r="M1368">
        <v>205</v>
      </c>
      <c r="N1368">
        <v>2</v>
      </c>
      <c r="O1368" t="s">
        <v>43</v>
      </c>
      <c r="P1368">
        <v>34</v>
      </c>
      <c r="Q1368">
        <v>3</v>
      </c>
      <c r="R1368">
        <v>2</v>
      </c>
      <c r="S1368" t="s">
        <v>53</v>
      </c>
      <c r="T1368">
        <v>3</v>
      </c>
      <c r="U1368" t="s">
        <v>104</v>
      </c>
      <c r="V1368">
        <v>2306</v>
      </c>
      <c r="W1368" t="s">
        <v>46</v>
      </c>
      <c r="X1368">
        <v>16047</v>
      </c>
      <c r="Y1368">
        <v>2</v>
      </c>
      <c r="Z1368" t="s">
        <v>47</v>
      </c>
      <c r="AA1368" t="s">
        <v>39</v>
      </c>
      <c r="AB1368">
        <v>20</v>
      </c>
      <c r="AC1368">
        <v>4</v>
      </c>
      <c r="AD1368">
        <v>4</v>
      </c>
      <c r="AE1368">
        <v>80</v>
      </c>
      <c r="AF1368">
        <v>1</v>
      </c>
      <c r="AG1368">
        <v>13</v>
      </c>
      <c r="AH1368">
        <v>3</v>
      </c>
      <c r="AI1368">
        <v>1</v>
      </c>
      <c r="AJ1368">
        <v>7</v>
      </c>
      <c r="AK1368">
        <v>7</v>
      </c>
      <c r="AL1368">
        <v>4</v>
      </c>
    </row>
    <row r="1369" spans="1:38" x14ac:dyDescent="0.3">
      <c r="A1369" t="s">
        <v>1439</v>
      </c>
      <c r="B1369">
        <v>53</v>
      </c>
      <c r="C1369" t="s">
        <v>1269</v>
      </c>
      <c r="D1369" t="s">
        <v>48</v>
      </c>
      <c r="E1369">
        <f t="shared" si="21"/>
        <v>0</v>
      </c>
      <c r="F1369" t="s">
        <v>40</v>
      </c>
      <c r="G1369">
        <v>1084</v>
      </c>
      <c r="H1369" t="s">
        <v>41</v>
      </c>
      <c r="I1369">
        <v>13</v>
      </c>
      <c r="J1369">
        <v>2</v>
      </c>
      <c r="K1369" t="s">
        <v>51</v>
      </c>
      <c r="L1369">
        <v>1</v>
      </c>
      <c r="M1369">
        <v>250</v>
      </c>
      <c r="N1369">
        <v>4</v>
      </c>
      <c r="O1369" t="s">
        <v>52</v>
      </c>
      <c r="P1369">
        <v>57</v>
      </c>
      <c r="Q1369">
        <v>4</v>
      </c>
      <c r="R1369">
        <v>2</v>
      </c>
      <c r="S1369" t="s">
        <v>111</v>
      </c>
      <c r="T1369">
        <v>1</v>
      </c>
      <c r="U1369" t="s">
        <v>101</v>
      </c>
      <c r="V1369">
        <v>4450</v>
      </c>
      <c r="W1369" t="s">
        <v>46</v>
      </c>
      <c r="X1369">
        <v>26250</v>
      </c>
      <c r="Y1369">
        <v>1</v>
      </c>
      <c r="Z1369" t="s">
        <v>47</v>
      </c>
      <c r="AA1369" t="s">
        <v>48</v>
      </c>
      <c r="AB1369">
        <v>11</v>
      </c>
      <c r="AC1369">
        <v>3</v>
      </c>
      <c r="AD1369">
        <v>3</v>
      </c>
      <c r="AE1369">
        <v>80</v>
      </c>
      <c r="AF1369">
        <v>2</v>
      </c>
      <c r="AG1369">
        <v>5</v>
      </c>
      <c r="AH1369">
        <v>3</v>
      </c>
      <c r="AI1369">
        <v>3</v>
      </c>
      <c r="AJ1369">
        <v>4</v>
      </c>
      <c r="AK1369">
        <v>2</v>
      </c>
      <c r="AL1369">
        <v>1</v>
      </c>
    </row>
    <row r="1370" spans="1:38" x14ac:dyDescent="0.3">
      <c r="A1370" t="s">
        <v>1440</v>
      </c>
      <c r="B1370">
        <v>53</v>
      </c>
      <c r="C1370" t="s">
        <v>1269</v>
      </c>
      <c r="D1370" t="s">
        <v>48</v>
      </c>
      <c r="E1370">
        <f t="shared" si="21"/>
        <v>0</v>
      </c>
      <c r="F1370" t="s">
        <v>40</v>
      </c>
      <c r="G1370">
        <v>1070</v>
      </c>
      <c r="H1370" t="s">
        <v>41</v>
      </c>
      <c r="I1370">
        <v>3</v>
      </c>
      <c r="J1370">
        <v>4</v>
      </c>
      <c r="K1370" t="s">
        <v>51</v>
      </c>
      <c r="L1370">
        <v>1</v>
      </c>
      <c r="M1370">
        <v>386</v>
      </c>
      <c r="N1370">
        <v>3</v>
      </c>
      <c r="O1370" t="s">
        <v>43</v>
      </c>
      <c r="P1370">
        <v>45</v>
      </c>
      <c r="Q1370">
        <v>3</v>
      </c>
      <c r="R1370">
        <v>4</v>
      </c>
      <c r="S1370" t="s">
        <v>251</v>
      </c>
      <c r="T1370">
        <v>3</v>
      </c>
      <c r="U1370" t="s">
        <v>104</v>
      </c>
      <c r="V1370">
        <v>17584</v>
      </c>
      <c r="W1370" t="s">
        <v>366</v>
      </c>
      <c r="X1370">
        <v>21016</v>
      </c>
      <c r="Y1370">
        <v>3</v>
      </c>
      <c r="Z1370" t="s">
        <v>47</v>
      </c>
      <c r="AA1370" t="s">
        <v>39</v>
      </c>
      <c r="AB1370">
        <v>16</v>
      </c>
      <c r="AC1370">
        <v>3</v>
      </c>
      <c r="AD1370">
        <v>4</v>
      </c>
      <c r="AE1370">
        <v>80</v>
      </c>
      <c r="AF1370">
        <v>3</v>
      </c>
      <c r="AG1370">
        <v>21</v>
      </c>
      <c r="AH1370">
        <v>5</v>
      </c>
      <c r="AI1370">
        <v>2</v>
      </c>
      <c r="AJ1370">
        <v>5</v>
      </c>
      <c r="AK1370">
        <v>3</v>
      </c>
      <c r="AL1370">
        <v>1</v>
      </c>
    </row>
    <row r="1371" spans="1:38" x14ac:dyDescent="0.3">
      <c r="A1371" t="s">
        <v>1441</v>
      </c>
      <c r="B1371">
        <v>53</v>
      </c>
      <c r="C1371" t="s">
        <v>1269</v>
      </c>
      <c r="D1371" t="s">
        <v>48</v>
      </c>
      <c r="E1371">
        <f t="shared" si="21"/>
        <v>0</v>
      </c>
      <c r="F1371" t="s">
        <v>40</v>
      </c>
      <c r="G1371">
        <v>238</v>
      </c>
      <c r="H1371" t="s">
        <v>50</v>
      </c>
      <c r="I1371">
        <v>1</v>
      </c>
      <c r="J1371">
        <v>1</v>
      </c>
      <c r="K1371" t="s">
        <v>51</v>
      </c>
      <c r="L1371">
        <v>1</v>
      </c>
      <c r="M1371">
        <v>682</v>
      </c>
      <c r="N1371">
        <v>4</v>
      </c>
      <c r="O1371" t="s">
        <v>52</v>
      </c>
      <c r="P1371">
        <v>34</v>
      </c>
      <c r="Q1371">
        <v>3</v>
      </c>
      <c r="R1371">
        <v>2</v>
      </c>
      <c r="S1371" t="s">
        <v>136</v>
      </c>
      <c r="T1371">
        <v>1</v>
      </c>
      <c r="U1371" t="s">
        <v>45</v>
      </c>
      <c r="V1371">
        <v>8381</v>
      </c>
      <c r="W1371" t="s">
        <v>162</v>
      </c>
      <c r="X1371">
        <v>7507</v>
      </c>
      <c r="Y1371">
        <v>7</v>
      </c>
      <c r="Z1371" t="s">
        <v>47</v>
      </c>
      <c r="AA1371" t="s">
        <v>48</v>
      </c>
      <c r="AB1371">
        <v>20</v>
      </c>
      <c r="AC1371">
        <v>4</v>
      </c>
      <c r="AD1371">
        <v>4</v>
      </c>
      <c r="AE1371">
        <v>80</v>
      </c>
      <c r="AF1371">
        <v>0</v>
      </c>
      <c r="AG1371">
        <v>18</v>
      </c>
      <c r="AH1371">
        <v>2</v>
      </c>
      <c r="AI1371">
        <v>4</v>
      </c>
      <c r="AJ1371">
        <v>14</v>
      </c>
      <c r="AK1371">
        <v>7</v>
      </c>
      <c r="AL1371">
        <v>8</v>
      </c>
    </row>
    <row r="1372" spans="1:38" x14ac:dyDescent="0.3">
      <c r="A1372" t="s">
        <v>1442</v>
      </c>
      <c r="B1372">
        <v>53</v>
      </c>
      <c r="C1372" t="s">
        <v>1269</v>
      </c>
      <c r="D1372" t="s">
        <v>48</v>
      </c>
      <c r="E1372">
        <f t="shared" si="21"/>
        <v>0</v>
      </c>
      <c r="F1372" t="s">
        <v>40</v>
      </c>
      <c r="G1372">
        <v>970</v>
      </c>
      <c r="H1372" t="s">
        <v>41</v>
      </c>
      <c r="I1372">
        <v>7</v>
      </c>
      <c r="J1372">
        <v>3</v>
      </c>
      <c r="K1372" t="s">
        <v>42</v>
      </c>
      <c r="L1372">
        <v>1</v>
      </c>
      <c r="M1372">
        <v>730</v>
      </c>
      <c r="N1372">
        <v>3</v>
      </c>
      <c r="O1372" t="s">
        <v>43</v>
      </c>
      <c r="P1372">
        <v>59</v>
      </c>
      <c r="Q1372">
        <v>4</v>
      </c>
      <c r="R1372">
        <v>4</v>
      </c>
      <c r="S1372" t="s">
        <v>251</v>
      </c>
      <c r="T1372">
        <v>3</v>
      </c>
      <c r="U1372" t="s">
        <v>104</v>
      </c>
      <c r="V1372">
        <v>14814</v>
      </c>
      <c r="W1372" t="s">
        <v>252</v>
      </c>
      <c r="X1372">
        <v>13514</v>
      </c>
      <c r="Y1372">
        <v>3</v>
      </c>
      <c r="Z1372" t="s">
        <v>47</v>
      </c>
      <c r="AA1372" t="s">
        <v>48</v>
      </c>
      <c r="AB1372">
        <v>19</v>
      </c>
      <c r="AC1372">
        <v>3</v>
      </c>
      <c r="AD1372">
        <v>3</v>
      </c>
      <c r="AE1372">
        <v>80</v>
      </c>
      <c r="AF1372">
        <v>0</v>
      </c>
      <c r="AG1372">
        <v>32</v>
      </c>
      <c r="AH1372">
        <v>3</v>
      </c>
      <c r="AI1372">
        <v>3</v>
      </c>
      <c r="AJ1372">
        <v>5</v>
      </c>
      <c r="AK1372">
        <v>1</v>
      </c>
      <c r="AL1372">
        <v>1</v>
      </c>
    </row>
    <row r="1373" spans="1:38" x14ac:dyDescent="0.3">
      <c r="A1373" t="s">
        <v>1443</v>
      </c>
      <c r="B1373">
        <v>53</v>
      </c>
      <c r="C1373" t="s">
        <v>1269</v>
      </c>
      <c r="D1373" t="s">
        <v>48</v>
      </c>
      <c r="E1373">
        <f t="shared" si="21"/>
        <v>0</v>
      </c>
      <c r="F1373" t="s">
        <v>40</v>
      </c>
      <c r="G1373">
        <v>346</v>
      </c>
      <c r="H1373" t="s">
        <v>41</v>
      </c>
      <c r="I1373">
        <v>6</v>
      </c>
      <c r="J1373">
        <v>3</v>
      </c>
      <c r="K1373" t="s">
        <v>42</v>
      </c>
      <c r="L1373">
        <v>1</v>
      </c>
      <c r="M1373">
        <v>769</v>
      </c>
      <c r="N1373">
        <v>4</v>
      </c>
      <c r="O1373" t="s">
        <v>43</v>
      </c>
      <c r="P1373">
        <v>86</v>
      </c>
      <c r="Q1373">
        <v>3</v>
      </c>
      <c r="R1373">
        <v>2</v>
      </c>
      <c r="S1373" t="s">
        <v>44</v>
      </c>
      <c r="T1373">
        <v>4</v>
      </c>
      <c r="U1373" t="s">
        <v>45</v>
      </c>
      <c r="V1373">
        <v>2450</v>
      </c>
      <c r="W1373" t="s">
        <v>46</v>
      </c>
      <c r="X1373">
        <v>10919</v>
      </c>
      <c r="Y1373">
        <v>2</v>
      </c>
      <c r="Z1373" t="s">
        <v>47</v>
      </c>
      <c r="AA1373" t="s">
        <v>48</v>
      </c>
      <c r="AB1373">
        <v>17</v>
      </c>
      <c r="AC1373">
        <v>3</v>
      </c>
      <c r="AD1373">
        <v>4</v>
      </c>
      <c r="AE1373">
        <v>80</v>
      </c>
      <c r="AF1373">
        <v>0</v>
      </c>
      <c r="AG1373">
        <v>19</v>
      </c>
      <c r="AH1373">
        <v>4</v>
      </c>
      <c r="AI1373">
        <v>3</v>
      </c>
      <c r="AJ1373">
        <v>2</v>
      </c>
      <c r="AK1373">
        <v>2</v>
      </c>
      <c r="AL1373">
        <v>2</v>
      </c>
    </row>
    <row r="1374" spans="1:38" x14ac:dyDescent="0.3">
      <c r="A1374" t="s">
        <v>1444</v>
      </c>
      <c r="B1374">
        <v>53</v>
      </c>
      <c r="C1374" t="s">
        <v>1269</v>
      </c>
      <c r="D1374" t="s">
        <v>48</v>
      </c>
      <c r="E1374">
        <f t="shared" si="21"/>
        <v>0</v>
      </c>
      <c r="F1374" t="s">
        <v>40</v>
      </c>
      <c r="G1374">
        <v>661</v>
      </c>
      <c r="H1374" t="s">
        <v>50</v>
      </c>
      <c r="I1374">
        <v>7</v>
      </c>
      <c r="J1374">
        <v>2</v>
      </c>
      <c r="K1374" t="s">
        <v>56</v>
      </c>
      <c r="L1374">
        <v>1</v>
      </c>
      <c r="M1374">
        <v>862</v>
      </c>
      <c r="N1374">
        <v>1</v>
      </c>
      <c r="O1374" t="s">
        <v>52</v>
      </c>
      <c r="P1374">
        <v>78</v>
      </c>
      <c r="Q1374">
        <v>2</v>
      </c>
      <c r="R1374">
        <v>3</v>
      </c>
      <c r="S1374" t="s">
        <v>136</v>
      </c>
      <c r="T1374">
        <v>4</v>
      </c>
      <c r="U1374" t="s">
        <v>104</v>
      </c>
      <c r="V1374">
        <v>10934</v>
      </c>
      <c r="W1374" t="s">
        <v>252</v>
      </c>
      <c r="X1374">
        <v>20715</v>
      </c>
      <c r="Y1374">
        <v>7</v>
      </c>
      <c r="Z1374" t="s">
        <v>47</v>
      </c>
      <c r="AA1374" t="s">
        <v>39</v>
      </c>
      <c r="AB1374">
        <v>18</v>
      </c>
      <c r="AC1374">
        <v>3</v>
      </c>
      <c r="AD1374">
        <v>4</v>
      </c>
      <c r="AE1374">
        <v>80</v>
      </c>
      <c r="AF1374">
        <v>1</v>
      </c>
      <c r="AG1374">
        <v>35</v>
      </c>
      <c r="AH1374">
        <v>3</v>
      </c>
      <c r="AI1374">
        <v>3</v>
      </c>
      <c r="AJ1374">
        <v>5</v>
      </c>
      <c r="AK1374">
        <v>2</v>
      </c>
      <c r="AL1374">
        <v>0</v>
      </c>
    </row>
    <row r="1375" spans="1:38" x14ac:dyDescent="0.3">
      <c r="A1375" t="s">
        <v>1445</v>
      </c>
      <c r="B1375">
        <v>53</v>
      </c>
      <c r="C1375" t="s">
        <v>1269</v>
      </c>
      <c r="D1375" t="s">
        <v>48</v>
      </c>
      <c r="E1375">
        <f t="shared" si="21"/>
        <v>0</v>
      </c>
      <c r="F1375" t="s">
        <v>40</v>
      </c>
      <c r="G1375">
        <v>868</v>
      </c>
      <c r="H1375" t="s">
        <v>50</v>
      </c>
      <c r="I1375">
        <v>8</v>
      </c>
      <c r="J1375">
        <v>3</v>
      </c>
      <c r="K1375" t="s">
        <v>56</v>
      </c>
      <c r="L1375">
        <v>1</v>
      </c>
      <c r="M1375">
        <v>897</v>
      </c>
      <c r="N1375">
        <v>1</v>
      </c>
      <c r="O1375" t="s">
        <v>43</v>
      </c>
      <c r="P1375">
        <v>73</v>
      </c>
      <c r="Q1375">
        <v>3</v>
      </c>
      <c r="R1375">
        <v>4</v>
      </c>
      <c r="S1375" t="s">
        <v>136</v>
      </c>
      <c r="T1375">
        <v>4</v>
      </c>
      <c r="U1375" t="s">
        <v>104</v>
      </c>
      <c r="V1375">
        <v>11836</v>
      </c>
      <c r="W1375" t="s">
        <v>252</v>
      </c>
      <c r="X1375">
        <v>22789</v>
      </c>
      <c r="Y1375">
        <v>5</v>
      </c>
      <c r="Z1375" t="s">
        <v>47</v>
      </c>
      <c r="AA1375" t="s">
        <v>48</v>
      </c>
      <c r="AB1375">
        <v>14</v>
      </c>
      <c r="AC1375">
        <v>3</v>
      </c>
      <c r="AD1375">
        <v>3</v>
      </c>
      <c r="AE1375">
        <v>80</v>
      </c>
      <c r="AF1375">
        <v>1</v>
      </c>
      <c r="AG1375">
        <v>28</v>
      </c>
      <c r="AH1375">
        <v>3</v>
      </c>
      <c r="AI1375">
        <v>3</v>
      </c>
      <c r="AJ1375">
        <v>2</v>
      </c>
      <c r="AK1375">
        <v>0</v>
      </c>
      <c r="AL1375">
        <v>2</v>
      </c>
    </row>
    <row r="1376" spans="1:38" x14ac:dyDescent="0.3">
      <c r="A1376" t="s">
        <v>1446</v>
      </c>
      <c r="B1376">
        <v>53</v>
      </c>
      <c r="C1376" t="s">
        <v>1269</v>
      </c>
      <c r="D1376" t="s">
        <v>48</v>
      </c>
      <c r="E1376">
        <f t="shared" si="21"/>
        <v>0</v>
      </c>
      <c r="F1376" t="s">
        <v>40</v>
      </c>
      <c r="G1376">
        <v>102</v>
      </c>
      <c r="H1376" t="s">
        <v>41</v>
      </c>
      <c r="I1376">
        <v>23</v>
      </c>
      <c r="J1376">
        <v>4</v>
      </c>
      <c r="K1376" t="s">
        <v>42</v>
      </c>
      <c r="L1376">
        <v>1</v>
      </c>
      <c r="M1376">
        <v>901</v>
      </c>
      <c r="N1376">
        <v>4</v>
      </c>
      <c r="O1376" t="s">
        <v>52</v>
      </c>
      <c r="P1376">
        <v>72</v>
      </c>
      <c r="Q1376">
        <v>3</v>
      </c>
      <c r="R1376">
        <v>4</v>
      </c>
      <c r="S1376" t="s">
        <v>251</v>
      </c>
      <c r="T1376">
        <v>4</v>
      </c>
      <c r="U1376" t="s">
        <v>45</v>
      </c>
      <c r="V1376">
        <v>14275</v>
      </c>
      <c r="W1376" t="s">
        <v>252</v>
      </c>
      <c r="X1376">
        <v>20206</v>
      </c>
      <c r="Y1376">
        <v>6</v>
      </c>
      <c r="Z1376" t="s">
        <v>47</v>
      </c>
      <c r="AA1376" t="s">
        <v>48</v>
      </c>
      <c r="AB1376">
        <v>18</v>
      </c>
      <c r="AC1376">
        <v>3</v>
      </c>
      <c r="AD1376">
        <v>3</v>
      </c>
      <c r="AE1376">
        <v>80</v>
      </c>
      <c r="AF1376">
        <v>0</v>
      </c>
      <c r="AG1376">
        <v>33</v>
      </c>
      <c r="AH1376">
        <v>0</v>
      </c>
      <c r="AI1376">
        <v>3</v>
      </c>
      <c r="AJ1376">
        <v>12</v>
      </c>
      <c r="AK1376">
        <v>9</v>
      </c>
      <c r="AL1376">
        <v>3</v>
      </c>
    </row>
    <row r="1377" spans="1:38" x14ac:dyDescent="0.3">
      <c r="A1377" t="s">
        <v>1447</v>
      </c>
      <c r="B1377">
        <v>53</v>
      </c>
      <c r="C1377" t="s">
        <v>1269</v>
      </c>
      <c r="D1377" t="s">
        <v>48</v>
      </c>
      <c r="E1377">
        <f t="shared" si="21"/>
        <v>0</v>
      </c>
      <c r="F1377" t="s">
        <v>40</v>
      </c>
      <c r="G1377">
        <v>1376</v>
      </c>
      <c r="H1377" t="s">
        <v>50</v>
      </c>
      <c r="I1377">
        <v>2</v>
      </c>
      <c r="J1377">
        <v>2</v>
      </c>
      <c r="K1377" t="s">
        <v>51</v>
      </c>
      <c r="L1377">
        <v>1</v>
      </c>
      <c r="M1377">
        <v>981</v>
      </c>
      <c r="N1377">
        <v>3</v>
      </c>
      <c r="O1377" t="s">
        <v>43</v>
      </c>
      <c r="P1377">
        <v>45</v>
      </c>
      <c r="Q1377">
        <v>3</v>
      </c>
      <c r="R1377">
        <v>4</v>
      </c>
      <c r="S1377" t="s">
        <v>440</v>
      </c>
      <c r="T1377">
        <v>3</v>
      </c>
      <c r="U1377" t="s">
        <v>101</v>
      </c>
      <c r="V1377">
        <v>14852</v>
      </c>
      <c r="W1377" t="s">
        <v>252</v>
      </c>
      <c r="X1377">
        <v>13938</v>
      </c>
      <c r="Y1377">
        <v>6</v>
      </c>
      <c r="Z1377" t="s">
        <v>47</v>
      </c>
      <c r="AA1377" t="s">
        <v>48</v>
      </c>
      <c r="AB1377">
        <v>13</v>
      </c>
      <c r="AC1377">
        <v>3</v>
      </c>
      <c r="AD1377">
        <v>3</v>
      </c>
      <c r="AE1377">
        <v>80</v>
      </c>
      <c r="AF1377">
        <v>1</v>
      </c>
      <c r="AG1377">
        <v>22</v>
      </c>
      <c r="AH1377">
        <v>3</v>
      </c>
      <c r="AI1377">
        <v>4</v>
      </c>
      <c r="AJ1377">
        <v>17</v>
      </c>
      <c r="AK1377">
        <v>13</v>
      </c>
      <c r="AL1377">
        <v>15</v>
      </c>
    </row>
    <row r="1378" spans="1:38" x14ac:dyDescent="0.3">
      <c r="A1378" t="s">
        <v>1448</v>
      </c>
      <c r="B1378">
        <v>53</v>
      </c>
      <c r="C1378" t="s">
        <v>1269</v>
      </c>
      <c r="D1378" t="s">
        <v>48</v>
      </c>
      <c r="E1378">
        <f t="shared" si="21"/>
        <v>0</v>
      </c>
      <c r="F1378" t="s">
        <v>55</v>
      </c>
      <c r="G1378">
        <v>124</v>
      </c>
      <c r="H1378" t="s">
        <v>50</v>
      </c>
      <c r="I1378">
        <v>2</v>
      </c>
      <c r="J1378">
        <v>3</v>
      </c>
      <c r="K1378" t="s">
        <v>56</v>
      </c>
      <c r="L1378">
        <v>1</v>
      </c>
      <c r="M1378">
        <v>1050</v>
      </c>
      <c r="N1378">
        <v>3</v>
      </c>
      <c r="O1378" t="s">
        <v>52</v>
      </c>
      <c r="P1378">
        <v>38</v>
      </c>
      <c r="Q1378">
        <v>2</v>
      </c>
      <c r="R1378">
        <v>3</v>
      </c>
      <c r="S1378" t="s">
        <v>136</v>
      </c>
      <c r="T1378">
        <v>2</v>
      </c>
      <c r="U1378" t="s">
        <v>104</v>
      </c>
      <c r="V1378">
        <v>7525</v>
      </c>
      <c r="W1378" t="s">
        <v>162</v>
      </c>
      <c r="X1378">
        <v>23537</v>
      </c>
      <c r="Y1378">
        <v>2</v>
      </c>
      <c r="Z1378" t="s">
        <v>47</v>
      </c>
      <c r="AA1378" t="s">
        <v>48</v>
      </c>
      <c r="AB1378">
        <v>12</v>
      </c>
      <c r="AC1378">
        <v>3</v>
      </c>
      <c r="AD1378">
        <v>1</v>
      </c>
      <c r="AE1378">
        <v>80</v>
      </c>
      <c r="AF1378">
        <v>1</v>
      </c>
      <c r="AG1378">
        <v>30</v>
      </c>
      <c r="AH1378">
        <v>2</v>
      </c>
      <c r="AI1378">
        <v>3</v>
      </c>
      <c r="AJ1378">
        <v>15</v>
      </c>
      <c r="AK1378">
        <v>7</v>
      </c>
      <c r="AL1378">
        <v>6</v>
      </c>
    </row>
    <row r="1379" spans="1:38" x14ac:dyDescent="0.3">
      <c r="A1379" t="s">
        <v>1449</v>
      </c>
      <c r="B1379">
        <v>53</v>
      </c>
      <c r="C1379" t="s">
        <v>1269</v>
      </c>
      <c r="D1379" t="s">
        <v>48</v>
      </c>
      <c r="E1379">
        <f t="shared" si="21"/>
        <v>0</v>
      </c>
      <c r="F1379" t="s">
        <v>40</v>
      </c>
      <c r="G1379">
        <v>1223</v>
      </c>
      <c r="H1379" t="s">
        <v>41</v>
      </c>
      <c r="I1379">
        <v>7</v>
      </c>
      <c r="J1379">
        <v>2</v>
      </c>
      <c r="K1379" t="s">
        <v>51</v>
      </c>
      <c r="L1379">
        <v>1</v>
      </c>
      <c r="M1379">
        <v>1201</v>
      </c>
      <c r="N1379">
        <v>4</v>
      </c>
      <c r="O1379" t="s">
        <v>52</v>
      </c>
      <c r="P1379">
        <v>50</v>
      </c>
      <c r="Q1379">
        <v>3</v>
      </c>
      <c r="R1379">
        <v>5</v>
      </c>
      <c r="S1379" t="s">
        <v>440</v>
      </c>
      <c r="T1379">
        <v>3</v>
      </c>
      <c r="U1379" t="s">
        <v>101</v>
      </c>
      <c r="V1379">
        <v>18606</v>
      </c>
      <c r="W1379" t="s">
        <v>366</v>
      </c>
      <c r="X1379">
        <v>18640</v>
      </c>
      <c r="Y1379">
        <v>3</v>
      </c>
      <c r="Z1379" t="s">
        <v>47</v>
      </c>
      <c r="AA1379" t="s">
        <v>48</v>
      </c>
      <c r="AB1379">
        <v>18</v>
      </c>
      <c r="AC1379">
        <v>3</v>
      </c>
      <c r="AD1379">
        <v>2</v>
      </c>
      <c r="AE1379">
        <v>80</v>
      </c>
      <c r="AF1379">
        <v>1</v>
      </c>
      <c r="AG1379">
        <v>26</v>
      </c>
      <c r="AH1379">
        <v>6</v>
      </c>
      <c r="AI1379">
        <v>3</v>
      </c>
      <c r="AJ1379">
        <v>7</v>
      </c>
      <c r="AK1379">
        <v>7</v>
      </c>
      <c r="AL1379">
        <v>4</v>
      </c>
    </row>
    <row r="1380" spans="1:38" x14ac:dyDescent="0.3">
      <c r="A1380" t="s">
        <v>1450</v>
      </c>
      <c r="B1380">
        <v>53</v>
      </c>
      <c r="C1380" t="s">
        <v>1269</v>
      </c>
      <c r="D1380" t="s">
        <v>48</v>
      </c>
      <c r="E1380">
        <f t="shared" si="21"/>
        <v>0</v>
      </c>
      <c r="F1380" t="s">
        <v>40</v>
      </c>
      <c r="G1380">
        <v>447</v>
      </c>
      <c r="H1380" t="s">
        <v>41</v>
      </c>
      <c r="I1380">
        <v>2</v>
      </c>
      <c r="J1380">
        <v>3</v>
      </c>
      <c r="K1380" t="s">
        <v>51</v>
      </c>
      <c r="L1380">
        <v>1</v>
      </c>
      <c r="M1380">
        <v>1472</v>
      </c>
      <c r="N1380">
        <v>4</v>
      </c>
      <c r="O1380" t="s">
        <v>43</v>
      </c>
      <c r="P1380">
        <v>39</v>
      </c>
      <c r="Q1380">
        <v>4</v>
      </c>
      <c r="R1380">
        <v>4</v>
      </c>
      <c r="S1380" t="s">
        <v>251</v>
      </c>
      <c r="T1380">
        <v>2</v>
      </c>
      <c r="U1380" t="s">
        <v>45</v>
      </c>
      <c r="V1380">
        <v>16598</v>
      </c>
      <c r="W1380" t="s">
        <v>366</v>
      </c>
      <c r="X1380">
        <v>19764</v>
      </c>
      <c r="Y1380">
        <v>4</v>
      </c>
      <c r="Z1380" t="s">
        <v>47</v>
      </c>
      <c r="AA1380" t="s">
        <v>48</v>
      </c>
      <c r="AB1380">
        <v>12</v>
      </c>
      <c r="AC1380">
        <v>3</v>
      </c>
      <c r="AD1380">
        <v>2</v>
      </c>
      <c r="AE1380">
        <v>80</v>
      </c>
      <c r="AF1380">
        <v>0</v>
      </c>
      <c r="AG1380">
        <v>35</v>
      </c>
      <c r="AH1380">
        <v>2</v>
      </c>
      <c r="AI1380">
        <v>2</v>
      </c>
      <c r="AJ1380">
        <v>9</v>
      </c>
      <c r="AK1380">
        <v>8</v>
      </c>
      <c r="AL1380">
        <v>8</v>
      </c>
    </row>
    <row r="1381" spans="1:38" x14ac:dyDescent="0.3">
      <c r="A1381" t="s">
        <v>1451</v>
      </c>
      <c r="B1381">
        <v>53</v>
      </c>
      <c r="C1381" t="s">
        <v>1269</v>
      </c>
      <c r="D1381" t="s">
        <v>39</v>
      </c>
      <c r="E1381">
        <f t="shared" si="21"/>
        <v>1</v>
      </c>
      <c r="F1381" t="s">
        <v>40</v>
      </c>
      <c r="G1381">
        <v>607</v>
      </c>
      <c r="H1381" t="s">
        <v>41</v>
      </c>
      <c r="I1381">
        <v>2</v>
      </c>
      <c r="J1381">
        <v>5</v>
      </c>
      <c r="K1381" t="s">
        <v>67</v>
      </c>
      <c r="L1381">
        <v>1</v>
      </c>
      <c r="M1381">
        <v>1572</v>
      </c>
      <c r="N1381">
        <v>3</v>
      </c>
      <c r="O1381" t="s">
        <v>52</v>
      </c>
      <c r="P1381">
        <v>78</v>
      </c>
      <c r="Q1381">
        <v>2</v>
      </c>
      <c r="R1381">
        <v>3</v>
      </c>
      <c r="S1381" t="s">
        <v>111</v>
      </c>
      <c r="T1381">
        <v>4</v>
      </c>
      <c r="U1381" t="s">
        <v>104</v>
      </c>
      <c r="V1381">
        <v>10169</v>
      </c>
      <c r="W1381" t="s">
        <v>252</v>
      </c>
      <c r="X1381">
        <v>14618</v>
      </c>
      <c r="Y1381">
        <v>0</v>
      </c>
      <c r="Z1381" t="s">
        <v>47</v>
      </c>
      <c r="AA1381" t="s">
        <v>48</v>
      </c>
      <c r="AB1381">
        <v>16</v>
      </c>
      <c r="AC1381">
        <v>3</v>
      </c>
      <c r="AD1381">
        <v>2</v>
      </c>
      <c r="AE1381">
        <v>80</v>
      </c>
      <c r="AF1381">
        <v>1</v>
      </c>
      <c r="AG1381">
        <v>34</v>
      </c>
      <c r="AH1381">
        <v>4</v>
      </c>
      <c r="AI1381">
        <v>3</v>
      </c>
      <c r="AJ1381">
        <v>33</v>
      </c>
      <c r="AK1381">
        <v>7</v>
      </c>
      <c r="AL1381">
        <v>1</v>
      </c>
    </row>
    <row r="1382" spans="1:38" x14ac:dyDescent="0.3">
      <c r="A1382" t="s">
        <v>1452</v>
      </c>
      <c r="B1382">
        <v>53</v>
      </c>
      <c r="C1382" t="s">
        <v>1269</v>
      </c>
      <c r="D1382" t="s">
        <v>48</v>
      </c>
      <c r="E1382">
        <f t="shared" si="21"/>
        <v>0</v>
      </c>
      <c r="F1382" t="s">
        <v>40</v>
      </c>
      <c r="G1382">
        <v>1395</v>
      </c>
      <c r="H1382" t="s">
        <v>41</v>
      </c>
      <c r="I1382">
        <v>24</v>
      </c>
      <c r="J1382">
        <v>4</v>
      </c>
      <c r="K1382" t="s">
        <v>51</v>
      </c>
      <c r="L1382">
        <v>1</v>
      </c>
      <c r="M1382">
        <v>1689</v>
      </c>
      <c r="N1382">
        <v>2</v>
      </c>
      <c r="O1382" t="s">
        <v>43</v>
      </c>
      <c r="P1382">
        <v>48</v>
      </c>
      <c r="Q1382">
        <v>4</v>
      </c>
      <c r="R1382">
        <v>3</v>
      </c>
      <c r="S1382" t="s">
        <v>160</v>
      </c>
      <c r="T1382">
        <v>4</v>
      </c>
      <c r="U1382" t="s">
        <v>104</v>
      </c>
      <c r="V1382">
        <v>7005</v>
      </c>
      <c r="W1382" t="s">
        <v>162</v>
      </c>
      <c r="X1382">
        <v>3458</v>
      </c>
      <c r="Y1382">
        <v>3</v>
      </c>
      <c r="Z1382" t="s">
        <v>47</v>
      </c>
      <c r="AA1382" t="s">
        <v>48</v>
      </c>
      <c r="AB1382">
        <v>15</v>
      </c>
      <c r="AC1382">
        <v>3</v>
      </c>
      <c r="AD1382">
        <v>3</v>
      </c>
      <c r="AE1382">
        <v>80</v>
      </c>
      <c r="AF1382">
        <v>0</v>
      </c>
      <c r="AG1382">
        <v>11</v>
      </c>
      <c r="AH1382">
        <v>2</v>
      </c>
      <c r="AI1382">
        <v>3</v>
      </c>
      <c r="AJ1382">
        <v>4</v>
      </c>
      <c r="AK1382">
        <v>3</v>
      </c>
      <c r="AL1382">
        <v>1</v>
      </c>
    </row>
    <row r="1383" spans="1:38" x14ac:dyDescent="0.3">
      <c r="A1383" t="s">
        <v>1453</v>
      </c>
      <c r="B1383">
        <v>53</v>
      </c>
      <c r="C1383" t="s">
        <v>1269</v>
      </c>
      <c r="D1383" t="s">
        <v>48</v>
      </c>
      <c r="E1383">
        <f t="shared" si="21"/>
        <v>0</v>
      </c>
      <c r="F1383" t="s">
        <v>58</v>
      </c>
      <c r="G1383">
        <v>661</v>
      </c>
      <c r="H1383" t="s">
        <v>41</v>
      </c>
      <c r="I1383">
        <v>1</v>
      </c>
      <c r="J1383">
        <v>4</v>
      </c>
      <c r="K1383" t="s">
        <v>51</v>
      </c>
      <c r="L1383">
        <v>1</v>
      </c>
      <c r="M1383">
        <v>1775</v>
      </c>
      <c r="N1383">
        <v>1</v>
      </c>
      <c r="O1383" t="s">
        <v>52</v>
      </c>
      <c r="P1383">
        <v>60</v>
      </c>
      <c r="Q1383">
        <v>2</v>
      </c>
      <c r="R1383">
        <v>4</v>
      </c>
      <c r="S1383" t="s">
        <v>111</v>
      </c>
      <c r="T1383">
        <v>3</v>
      </c>
      <c r="U1383" t="s">
        <v>104</v>
      </c>
      <c r="V1383">
        <v>12965</v>
      </c>
      <c r="W1383" t="s">
        <v>252</v>
      </c>
      <c r="X1383">
        <v>22308</v>
      </c>
      <c r="Y1383">
        <v>4</v>
      </c>
      <c r="Z1383" t="s">
        <v>47</v>
      </c>
      <c r="AA1383" t="s">
        <v>39</v>
      </c>
      <c r="AB1383">
        <v>20</v>
      </c>
      <c r="AC1383">
        <v>4</v>
      </c>
      <c r="AD1383">
        <v>4</v>
      </c>
      <c r="AE1383">
        <v>80</v>
      </c>
      <c r="AF1383">
        <v>3</v>
      </c>
      <c r="AG1383">
        <v>27</v>
      </c>
      <c r="AH1383">
        <v>2</v>
      </c>
      <c r="AI1383">
        <v>2</v>
      </c>
      <c r="AJ1383">
        <v>3</v>
      </c>
      <c r="AK1383">
        <v>2</v>
      </c>
      <c r="AL1383">
        <v>0</v>
      </c>
    </row>
    <row r="1384" spans="1:38" x14ac:dyDescent="0.3">
      <c r="A1384" t="s">
        <v>1454</v>
      </c>
      <c r="B1384">
        <v>53</v>
      </c>
      <c r="C1384" t="s">
        <v>1269</v>
      </c>
      <c r="D1384" t="s">
        <v>39</v>
      </c>
      <c r="E1384">
        <f t="shared" si="21"/>
        <v>1</v>
      </c>
      <c r="F1384" t="s">
        <v>40</v>
      </c>
      <c r="G1384">
        <v>1168</v>
      </c>
      <c r="H1384" t="s">
        <v>50</v>
      </c>
      <c r="I1384">
        <v>24</v>
      </c>
      <c r="J1384">
        <v>4</v>
      </c>
      <c r="K1384" t="s">
        <v>42</v>
      </c>
      <c r="L1384">
        <v>1</v>
      </c>
      <c r="M1384">
        <v>1968</v>
      </c>
      <c r="N1384">
        <v>1</v>
      </c>
      <c r="O1384" t="s">
        <v>43</v>
      </c>
      <c r="P1384">
        <v>66</v>
      </c>
      <c r="Q1384">
        <v>3</v>
      </c>
      <c r="R1384">
        <v>3</v>
      </c>
      <c r="S1384" t="s">
        <v>136</v>
      </c>
      <c r="T1384">
        <v>1</v>
      </c>
      <c r="U1384" t="s">
        <v>45</v>
      </c>
      <c r="V1384">
        <v>10448</v>
      </c>
      <c r="W1384" t="s">
        <v>252</v>
      </c>
      <c r="X1384">
        <v>5843</v>
      </c>
      <c r="Y1384">
        <v>6</v>
      </c>
      <c r="Z1384" t="s">
        <v>47</v>
      </c>
      <c r="AA1384" t="s">
        <v>39</v>
      </c>
      <c r="AB1384">
        <v>13</v>
      </c>
      <c r="AC1384">
        <v>3</v>
      </c>
      <c r="AD1384">
        <v>2</v>
      </c>
      <c r="AE1384">
        <v>80</v>
      </c>
      <c r="AF1384">
        <v>0</v>
      </c>
      <c r="AG1384">
        <v>15</v>
      </c>
      <c r="AH1384">
        <v>2</v>
      </c>
      <c r="AI1384">
        <v>2</v>
      </c>
      <c r="AJ1384">
        <v>2</v>
      </c>
      <c r="AK1384">
        <v>2</v>
      </c>
      <c r="AL1384">
        <v>2</v>
      </c>
    </row>
    <row r="1385" spans="1:38" x14ac:dyDescent="0.3">
      <c r="A1385" t="s">
        <v>1455</v>
      </c>
      <c r="B1385">
        <v>54</v>
      </c>
      <c r="C1385" t="s">
        <v>1269</v>
      </c>
      <c r="D1385" t="s">
        <v>48</v>
      </c>
      <c r="E1385">
        <f t="shared" si="21"/>
        <v>0</v>
      </c>
      <c r="F1385" t="s">
        <v>40</v>
      </c>
      <c r="G1385">
        <v>1217</v>
      </c>
      <c r="H1385" t="s">
        <v>41</v>
      </c>
      <c r="I1385">
        <v>2</v>
      </c>
      <c r="J1385">
        <v>4</v>
      </c>
      <c r="K1385" t="s">
        <v>67</v>
      </c>
      <c r="L1385">
        <v>1</v>
      </c>
      <c r="M1385">
        <v>126</v>
      </c>
      <c r="N1385">
        <v>1</v>
      </c>
      <c r="O1385" t="s">
        <v>52</v>
      </c>
      <c r="P1385">
        <v>60</v>
      </c>
      <c r="Q1385">
        <v>3</v>
      </c>
      <c r="R1385">
        <v>3</v>
      </c>
      <c r="S1385" t="s">
        <v>251</v>
      </c>
      <c r="T1385">
        <v>3</v>
      </c>
      <c r="U1385" t="s">
        <v>104</v>
      </c>
      <c r="V1385">
        <v>13549</v>
      </c>
      <c r="W1385" t="s">
        <v>252</v>
      </c>
      <c r="X1385">
        <v>24001</v>
      </c>
      <c r="Y1385">
        <v>9</v>
      </c>
      <c r="Z1385" t="s">
        <v>47</v>
      </c>
      <c r="AA1385" t="s">
        <v>48</v>
      </c>
      <c r="AB1385">
        <v>12</v>
      </c>
      <c r="AC1385">
        <v>3</v>
      </c>
      <c r="AD1385">
        <v>1</v>
      </c>
      <c r="AE1385">
        <v>80</v>
      </c>
      <c r="AF1385">
        <v>1</v>
      </c>
      <c r="AG1385">
        <v>16</v>
      </c>
      <c r="AH1385">
        <v>5</v>
      </c>
      <c r="AI1385">
        <v>1</v>
      </c>
      <c r="AJ1385">
        <v>4</v>
      </c>
      <c r="AK1385">
        <v>3</v>
      </c>
      <c r="AL1385">
        <v>0</v>
      </c>
    </row>
    <row r="1386" spans="1:38" x14ac:dyDescent="0.3">
      <c r="A1386" t="s">
        <v>1456</v>
      </c>
      <c r="B1386">
        <v>54</v>
      </c>
      <c r="C1386" t="s">
        <v>1269</v>
      </c>
      <c r="D1386" t="s">
        <v>48</v>
      </c>
      <c r="E1386">
        <f t="shared" si="21"/>
        <v>0</v>
      </c>
      <c r="F1386" t="s">
        <v>58</v>
      </c>
      <c r="G1386">
        <v>142</v>
      </c>
      <c r="H1386" t="s">
        <v>70</v>
      </c>
      <c r="I1386">
        <v>26</v>
      </c>
      <c r="J1386">
        <v>3</v>
      </c>
      <c r="K1386" t="s">
        <v>70</v>
      </c>
      <c r="L1386">
        <v>1</v>
      </c>
      <c r="M1386">
        <v>148</v>
      </c>
      <c r="N1386">
        <v>4</v>
      </c>
      <c r="O1386" t="s">
        <v>52</v>
      </c>
      <c r="P1386">
        <v>30</v>
      </c>
      <c r="Q1386">
        <v>4</v>
      </c>
      <c r="R1386">
        <v>4</v>
      </c>
      <c r="S1386" t="s">
        <v>440</v>
      </c>
      <c r="T1386">
        <v>4</v>
      </c>
      <c r="U1386" t="s">
        <v>45</v>
      </c>
      <c r="V1386">
        <v>17328</v>
      </c>
      <c r="W1386" t="s">
        <v>366</v>
      </c>
      <c r="X1386">
        <v>13871</v>
      </c>
      <c r="Y1386">
        <v>2</v>
      </c>
      <c r="Z1386" t="s">
        <v>47</v>
      </c>
      <c r="AA1386" t="s">
        <v>39</v>
      </c>
      <c r="AB1386">
        <v>12</v>
      </c>
      <c r="AC1386">
        <v>3</v>
      </c>
      <c r="AD1386">
        <v>3</v>
      </c>
      <c r="AE1386">
        <v>80</v>
      </c>
      <c r="AF1386">
        <v>0</v>
      </c>
      <c r="AG1386">
        <v>23</v>
      </c>
      <c r="AH1386">
        <v>3</v>
      </c>
      <c r="AI1386">
        <v>3</v>
      </c>
      <c r="AJ1386">
        <v>5</v>
      </c>
      <c r="AK1386">
        <v>3</v>
      </c>
      <c r="AL1386">
        <v>4</v>
      </c>
    </row>
    <row r="1387" spans="1:38" x14ac:dyDescent="0.3">
      <c r="A1387" t="s">
        <v>1457</v>
      </c>
      <c r="B1387">
        <v>54</v>
      </c>
      <c r="C1387" t="s">
        <v>1269</v>
      </c>
      <c r="D1387" t="s">
        <v>48</v>
      </c>
      <c r="E1387">
        <f t="shared" si="21"/>
        <v>0</v>
      </c>
      <c r="F1387" t="s">
        <v>40</v>
      </c>
      <c r="G1387">
        <v>1147</v>
      </c>
      <c r="H1387" t="s">
        <v>50</v>
      </c>
      <c r="I1387">
        <v>3</v>
      </c>
      <c r="J1387">
        <v>3</v>
      </c>
      <c r="K1387" t="s">
        <v>56</v>
      </c>
      <c r="L1387">
        <v>1</v>
      </c>
      <c r="M1387">
        <v>303</v>
      </c>
      <c r="N1387">
        <v>4</v>
      </c>
      <c r="O1387" t="s">
        <v>52</v>
      </c>
      <c r="P1387">
        <v>52</v>
      </c>
      <c r="Q1387">
        <v>3</v>
      </c>
      <c r="R1387">
        <v>2</v>
      </c>
      <c r="S1387" t="s">
        <v>136</v>
      </c>
      <c r="T1387">
        <v>1</v>
      </c>
      <c r="U1387" t="s">
        <v>104</v>
      </c>
      <c r="V1387">
        <v>5940</v>
      </c>
      <c r="W1387" t="s">
        <v>162</v>
      </c>
      <c r="X1387">
        <v>17011</v>
      </c>
      <c r="Y1387">
        <v>2</v>
      </c>
      <c r="Z1387" t="s">
        <v>47</v>
      </c>
      <c r="AA1387" t="s">
        <v>48</v>
      </c>
      <c r="AB1387">
        <v>14</v>
      </c>
      <c r="AC1387">
        <v>3</v>
      </c>
      <c r="AD1387">
        <v>4</v>
      </c>
      <c r="AE1387">
        <v>80</v>
      </c>
      <c r="AF1387">
        <v>1</v>
      </c>
      <c r="AG1387">
        <v>16</v>
      </c>
      <c r="AH1387">
        <v>4</v>
      </c>
      <c r="AI1387">
        <v>3</v>
      </c>
      <c r="AJ1387">
        <v>6</v>
      </c>
      <c r="AK1387">
        <v>2</v>
      </c>
      <c r="AL1387">
        <v>0</v>
      </c>
    </row>
    <row r="1388" spans="1:38" x14ac:dyDescent="0.3">
      <c r="A1388" t="s">
        <v>1458</v>
      </c>
      <c r="B1388">
        <v>54</v>
      </c>
      <c r="C1388" t="s">
        <v>1269</v>
      </c>
      <c r="D1388" t="s">
        <v>48</v>
      </c>
      <c r="E1388">
        <f t="shared" si="21"/>
        <v>0</v>
      </c>
      <c r="F1388" t="s">
        <v>55</v>
      </c>
      <c r="G1388">
        <v>928</v>
      </c>
      <c r="H1388" t="s">
        <v>41</v>
      </c>
      <c r="I1388">
        <v>20</v>
      </c>
      <c r="J1388">
        <v>4</v>
      </c>
      <c r="K1388" t="s">
        <v>42</v>
      </c>
      <c r="L1388">
        <v>1</v>
      </c>
      <c r="M1388">
        <v>450</v>
      </c>
      <c r="N1388">
        <v>4</v>
      </c>
      <c r="O1388" t="s">
        <v>52</v>
      </c>
      <c r="P1388">
        <v>31</v>
      </c>
      <c r="Q1388">
        <v>3</v>
      </c>
      <c r="R1388">
        <v>2</v>
      </c>
      <c r="S1388" t="s">
        <v>59</v>
      </c>
      <c r="T1388">
        <v>3</v>
      </c>
      <c r="U1388" t="s">
        <v>45</v>
      </c>
      <c r="V1388">
        <v>4869</v>
      </c>
      <c r="W1388" t="s">
        <v>46</v>
      </c>
      <c r="X1388">
        <v>16885</v>
      </c>
      <c r="Y1388">
        <v>3</v>
      </c>
      <c r="Z1388" t="s">
        <v>47</v>
      </c>
      <c r="AA1388" t="s">
        <v>48</v>
      </c>
      <c r="AB1388">
        <v>12</v>
      </c>
      <c r="AC1388">
        <v>3</v>
      </c>
      <c r="AD1388">
        <v>4</v>
      </c>
      <c r="AE1388">
        <v>80</v>
      </c>
      <c r="AF1388">
        <v>0</v>
      </c>
      <c r="AG1388">
        <v>20</v>
      </c>
      <c r="AH1388">
        <v>4</v>
      </c>
      <c r="AI1388">
        <v>2</v>
      </c>
      <c r="AJ1388">
        <v>4</v>
      </c>
      <c r="AK1388">
        <v>3</v>
      </c>
      <c r="AL1388">
        <v>0</v>
      </c>
    </row>
    <row r="1389" spans="1:38" x14ac:dyDescent="0.3">
      <c r="A1389" t="s">
        <v>1459</v>
      </c>
      <c r="B1389">
        <v>54</v>
      </c>
      <c r="C1389" t="s">
        <v>1269</v>
      </c>
      <c r="D1389" t="s">
        <v>48</v>
      </c>
      <c r="E1389">
        <f t="shared" si="21"/>
        <v>0</v>
      </c>
      <c r="F1389" t="s">
        <v>40</v>
      </c>
      <c r="G1389">
        <v>821</v>
      </c>
      <c r="H1389" t="s">
        <v>41</v>
      </c>
      <c r="I1389">
        <v>5</v>
      </c>
      <c r="J1389">
        <v>2</v>
      </c>
      <c r="K1389" t="s">
        <v>51</v>
      </c>
      <c r="L1389">
        <v>1</v>
      </c>
      <c r="M1389">
        <v>522</v>
      </c>
      <c r="N1389">
        <v>1</v>
      </c>
      <c r="O1389" t="s">
        <v>43</v>
      </c>
      <c r="P1389">
        <v>86</v>
      </c>
      <c r="Q1389">
        <v>3</v>
      </c>
      <c r="R1389">
        <v>5</v>
      </c>
      <c r="S1389" t="s">
        <v>251</v>
      </c>
      <c r="T1389">
        <v>1</v>
      </c>
      <c r="U1389" t="s">
        <v>104</v>
      </c>
      <c r="V1389">
        <v>19406</v>
      </c>
      <c r="W1389" t="s">
        <v>366</v>
      </c>
      <c r="X1389">
        <v>8509</v>
      </c>
      <c r="Y1389">
        <v>4</v>
      </c>
      <c r="Z1389" t="s">
        <v>47</v>
      </c>
      <c r="AA1389" t="s">
        <v>48</v>
      </c>
      <c r="AB1389">
        <v>11</v>
      </c>
      <c r="AC1389">
        <v>3</v>
      </c>
      <c r="AD1389">
        <v>3</v>
      </c>
      <c r="AE1389">
        <v>80</v>
      </c>
      <c r="AF1389">
        <v>1</v>
      </c>
      <c r="AG1389">
        <v>24</v>
      </c>
      <c r="AH1389">
        <v>4</v>
      </c>
      <c r="AI1389">
        <v>2</v>
      </c>
      <c r="AJ1389">
        <v>4</v>
      </c>
      <c r="AK1389">
        <v>2</v>
      </c>
      <c r="AL1389">
        <v>1</v>
      </c>
    </row>
    <row r="1390" spans="1:38" x14ac:dyDescent="0.3">
      <c r="A1390" t="s">
        <v>1460</v>
      </c>
      <c r="B1390">
        <v>54</v>
      </c>
      <c r="C1390" t="s">
        <v>1269</v>
      </c>
      <c r="D1390" t="s">
        <v>48</v>
      </c>
      <c r="E1390">
        <f t="shared" si="21"/>
        <v>0</v>
      </c>
      <c r="F1390" t="s">
        <v>40</v>
      </c>
      <c r="G1390">
        <v>548</v>
      </c>
      <c r="H1390" t="s">
        <v>41</v>
      </c>
      <c r="I1390">
        <v>8</v>
      </c>
      <c r="J1390">
        <v>4</v>
      </c>
      <c r="K1390" t="s">
        <v>42</v>
      </c>
      <c r="L1390">
        <v>1</v>
      </c>
      <c r="M1390">
        <v>578</v>
      </c>
      <c r="N1390">
        <v>3</v>
      </c>
      <c r="O1390" t="s">
        <v>52</v>
      </c>
      <c r="P1390">
        <v>42</v>
      </c>
      <c r="Q1390">
        <v>3</v>
      </c>
      <c r="R1390">
        <v>2</v>
      </c>
      <c r="S1390" t="s">
        <v>44</v>
      </c>
      <c r="T1390">
        <v>3</v>
      </c>
      <c r="U1390" t="s">
        <v>45</v>
      </c>
      <c r="V1390">
        <v>3780</v>
      </c>
      <c r="W1390" t="s">
        <v>46</v>
      </c>
      <c r="X1390">
        <v>23428</v>
      </c>
      <c r="Y1390">
        <v>7</v>
      </c>
      <c r="Z1390" t="s">
        <v>47</v>
      </c>
      <c r="AA1390" t="s">
        <v>48</v>
      </c>
      <c r="AB1390">
        <v>11</v>
      </c>
      <c r="AC1390">
        <v>3</v>
      </c>
      <c r="AD1390">
        <v>3</v>
      </c>
      <c r="AE1390">
        <v>80</v>
      </c>
      <c r="AF1390">
        <v>0</v>
      </c>
      <c r="AG1390">
        <v>19</v>
      </c>
      <c r="AH1390">
        <v>3</v>
      </c>
      <c r="AI1390">
        <v>3</v>
      </c>
      <c r="AJ1390">
        <v>1</v>
      </c>
      <c r="AK1390">
        <v>0</v>
      </c>
      <c r="AL1390">
        <v>0</v>
      </c>
    </row>
    <row r="1391" spans="1:38" x14ac:dyDescent="0.3">
      <c r="A1391" t="s">
        <v>1461</v>
      </c>
      <c r="B1391">
        <v>54</v>
      </c>
      <c r="C1391" t="s">
        <v>1269</v>
      </c>
      <c r="D1391" t="s">
        <v>48</v>
      </c>
      <c r="E1391">
        <f t="shared" si="21"/>
        <v>0</v>
      </c>
      <c r="F1391" t="s">
        <v>40</v>
      </c>
      <c r="G1391">
        <v>397</v>
      </c>
      <c r="H1391" t="s">
        <v>70</v>
      </c>
      <c r="I1391">
        <v>19</v>
      </c>
      <c r="J1391">
        <v>4</v>
      </c>
      <c r="K1391" t="s">
        <v>51</v>
      </c>
      <c r="L1391">
        <v>1</v>
      </c>
      <c r="M1391">
        <v>698</v>
      </c>
      <c r="N1391">
        <v>3</v>
      </c>
      <c r="O1391" t="s">
        <v>43</v>
      </c>
      <c r="P1391">
        <v>88</v>
      </c>
      <c r="Q1391">
        <v>3</v>
      </c>
      <c r="R1391">
        <v>3</v>
      </c>
      <c r="S1391" t="s">
        <v>70</v>
      </c>
      <c r="T1391">
        <v>2</v>
      </c>
      <c r="U1391" t="s">
        <v>104</v>
      </c>
      <c r="V1391">
        <v>10725</v>
      </c>
      <c r="W1391" t="s">
        <v>252</v>
      </c>
      <c r="X1391">
        <v>6729</v>
      </c>
      <c r="Y1391">
        <v>2</v>
      </c>
      <c r="Z1391" t="s">
        <v>47</v>
      </c>
      <c r="AA1391" t="s">
        <v>48</v>
      </c>
      <c r="AB1391">
        <v>15</v>
      </c>
      <c r="AC1391">
        <v>3</v>
      </c>
      <c r="AD1391">
        <v>3</v>
      </c>
      <c r="AE1391">
        <v>80</v>
      </c>
      <c r="AF1391">
        <v>1</v>
      </c>
      <c r="AG1391">
        <v>16</v>
      </c>
      <c r="AH1391">
        <v>1</v>
      </c>
      <c r="AI1391">
        <v>4</v>
      </c>
      <c r="AJ1391">
        <v>9</v>
      </c>
      <c r="AK1391">
        <v>7</v>
      </c>
      <c r="AL1391">
        <v>7</v>
      </c>
    </row>
    <row r="1392" spans="1:38" x14ac:dyDescent="0.3">
      <c r="A1392" t="s">
        <v>1462</v>
      </c>
      <c r="B1392">
        <v>54</v>
      </c>
      <c r="C1392" t="s">
        <v>1269</v>
      </c>
      <c r="D1392" t="s">
        <v>48</v>
      </c>
      <c r="E1392">
        <f t="shared" si="21"/>
        <v>0</v>
      </c>
      <c r="F1392" t="s">
        <v>40</v>
      </c>
      <c r="G1392">
        <v>376</v>
      </c>
      <c r="H1392" t="s">
        <v>41</v>
      </c>
      <c r="I1392">
        <v>19</v>
      </c>
      <c r="J1392">
        <v>4</v>
      </c>
      <c r="K1392" t="s">
        <v>51</v>
      </c>
      <c r="L1392">
        <v>1</v>
      </c>
      <c r="M1392">
        <v>799</v>
      </c>
      <c r="N1392">
        <v>4</v>
      </c>
      <c r="O1392" t="s">
        <v>52</v>
      </c>
      <c r="P1392">
        <v>95</v>
      </c>
      <c r="Q1392">
        <v>3</v>
      </c>
      <c r="R1392">
        <v>2</v>
      </c>
      <c r="S1392" t="s">
        <v>111</v>
      </c>
      <c r="T1392">
        <v>1</v>
      </c>
      <c r="U1392" t="s">
        <v>101</v>
      </c>
      <c r="V1392">
        <v>5485</v>
      </c>
      <c r="W1392" t="s">
        <v>162</v>
      </c>
      <c r="X1392">
        <v>22670</v>
      </c>
      <c r="Y1392">
        <v>9</v>
      </c>
      <c r="Z1392" t="s">
        <v>47</v>
      </c>
      <c r="AA1392" t="s">
        <v>39</v>
      </c>
      <c r="AB1392">
        <v>11</v>
      </c>
      <c r="AC1392">
        <v>3</v>
      </c>
      <c r="AD1392">
        <v>2</v>
      </c>
      <c r="AE1392">
        <v>80</v>
      </c>
      <c r="AF1392">
        <v>2</v>
      </c>
      <c r="AG1392">
        <v>9</v>
      </c>
      <c r="AH1392">
        <v>4</v>
      </c>
      <c r="AI1392">
        <v>3</v>
      </c>
      <c r="AJ1392">
        <v>5</v>
      </c>
      <c r="AK1392">
        <v>3</v>
      </c>
      <c r="AL1392">
        <v>1</v>
      </c>
    </row>
    <row r="1393" spans="1:38" x14ac:dyDescent="0.3">
      <c r="A1393" t="s">
        <v>1463</v>
      </c>
      <c r="B1393">
        <v>54</v>
      </c>
      <c r="C1393" t="s">
        <v>1269</v>
      </c>
      <c r="D1393" t="s">
        <v>48</v>
      </c>
      <c r="E1393">
        <f t="shared" si="21"/>
        <v>0</v>
      </c>
      <c r="F1393" t="s">
        <v>40</v>
      </c>
      <c r="G1393">
        <v>1441</v>
      </c>
      <c r="H1393" t="s">
        <v>41</v>
      </c>
      <c r="I1393">
        <v>17</v>
      </c>
      <c r="J1393">
        <v>3</v>
      </c>
      <c r="K1393" t="s">
        <v>67</v>
      </c>
      <c r="L1393">
        <v>1</v>
      </c>
      <c r="M1393">
        <v>1013</v>
      </c>
      <c r="N1393">
        <v>3</v>
      </c>
      <c r="O1393" t="s">
        <v>52</v>
      </c>
      <c r="P1393">
        <v>56</v>
      </c>
      <c r="Q1393">
        <v>3</v>
      </c>
      <c r="R1393">
        <v>3</v>
      </c>
      <c r="S1393" t="s">
        <v>111</v>
      </c>
      <c r="T1393">
        <v>3</v>
      </c>
      <c r="U1393" t="s">
        <v>104</v>
      </c>
      <c r="V1393">
        <v>10739</v>
      </c>
      <c r="W1393" t="s">
        <v>252</v>
      </c>
      <c r="X1393">
        <v>13943</v>
      </c>
      <c r="Y1393">
        <v>8</v>
      </c>
      <c r="Z1393" t="s">
        <v>47</v>
      </c>
      <c r="AA1393" t="s">
        <v>48</v>
      </c>
      <c r="AB1393">
        <v>11</v>
      </c>
      <c r="AC1393">
        <v>3</v>
      </c>
      <c r="AD1393">
        <v>3</v>
      </c>
      <c r="AE1393">
        <v>80</v>
      </c>
      <c r="AF1393">
        <v>1</v>
      </c>
      <c r="AG1393">
        <v>22</v>
      </c>
      <c r="AH1393">
        <v>2</v>
      </c>
      <c r="AI1393">
        <v>3</v>
      </c>
      <c r="AJ1393">
        <v>10</v>
      </c>
      <c r="AK1393">
        <v>7</v>
      </c>
      <c r="AL1393">
        <v>0</v>
      </c>
    </row>
    <row r="1394" spans="1:38" x14ac:dyDescent="0.3">
      <c r="A1394" t="s">
        <v>1464</v>
      </c>
      <c r="B1394">
        <v>54</v>
      </c>
      <c r="C1394" t="s">
        <v>1269</v>
      </c>
      <c r="D1394" t="s">
        <v>48</v>
      </c>
      <c r="E1394">
        <f t="shared" si="21"/>
        <v>0</v>
      </c>
      <c r="F1394" t="s">
        <v>40</v>
      </c>
      <c r="G1394">
        <v>1082</v>
      </c>
      <c r="H1394" t="s">
        <v>50</v>
      </c>
      <c r="I1394">
        <v>2</v>
      </c>
      <c r="J1394">
        <v>4</v>
      </c>
      <c r="K1394" t="s">
        <v>42</v>
      </c>
      <c r="L1394">
        <v>1</v>
      </c>
      <c r="M1394">
        <v>1070</v>
      </c>
      <c r="N1394">
        <v>3</v>
      </c>
      <c r="O1394" t="s">
        <v>52</v>
      </c>
      <c r="P1394">
        <v>41</v>
      </c>
      <c r="Q1394">
        <v>2</v>
      </c>
      <c r="R1394">
        <v>3</v>
      </c>
      <c r="S1394" t="s">
        <v>136</v>
      </c>
      <c r="T1394">
        <v>3</v>
      </c>
      <c r="U1394" t="s">
        <v>104</v>
      </c>
      <c r="V1394">
        <v>10686</v>
      </c>
      <c r="W1394" t="s">
        <v>252</v>
      </c>
      <c r="X1394">
        <v>8392</v>
      </c>
      <c r="Y1394">
        <v>6</v>
      </c>
      <c r="Z1394" t="s">
        <v>47</v>
      </c>
      <c r="AA1394" t="s">
        <v>48</v>
      </c>
      <c r="AB1394">
        <v>11</v>
      </c>
      <c r="AC1394">
        <v>3</v>
      </c>
      <c r="AD1394">
        <v>2</v>
      </c>
      <c r="AE1394">
        <v>80</v>
      </c>
      <c r="AF1394">
        <v>1</v>
      </c>
      <c r="AG1394">
        <v>13</v>
      </c>
      <c r="AH1394">
        <v>4</v>
      </c>
      <c r="AI1394">
        <v>3</v>
      </c>
      <c r="AJ1394">
        <v>9</v>
      </c>
      <c r="AK1394">
        <v>4</v>
      </c>
      <c r="AL1394">
        <v>7</v>
      </c>
    </row>
    <row r="1395" spans="1:38" x14ac:dyDescent="0.3">
      <c r="A1395" t="s">
        <v>1465</v>
      </c>
      <c r="B1395">
        <v>54</v>
      </c>
      <c r="C1395" t="s">
        <v>1269</v>
      </c>
      <c r="D1395" t="s">
        <v>48</v>
      </c>
      <c r="E1395">
        <f t="shared" si="21"/>
        <v>0</v>
      </c>
      <c r="F1395" t="s">
        <v>55</v>
      </c>
      <c r="G1395">
        <v>966</v>
      </c>
      <c r="H1395" t="s">
        <v>41</v>
      </c>
      <c r="I1395">
        <v>1</v>
      </c>
      <c r="J1395">
        <v>4</v>
      </c>
      <c r="K1395" t="s">
        <v>42</v>
      </c>
      <c r="L1395">
        <v>1</v>
      </c>
      <c r="M1395">
        <v>1245</v>
      </c>
      <c r="N1395">
        <v>4</v>
      </c>
      <c r="O1395" t="s">
        <v>52</v>
      </c>
      <c r="P1395">
        <v>53</v>
      </c>
      <c r="Q1395">
        <v>3</v>
      </c>
      <c r="R1395">
        <v>3</v>
      </c>
      <c r="S1395" t="s">
        <v>111</v>
      </c>
      <c r="T1395">
        <v>3</v>
      </c>
      <c r="U1395" t="s">
        <v>101</v>
      </c>
      <c r="V1395">
        <v>10502</v>
      </c>
      <c r="W1395" t="s">
        <v>252</v>
      </c>
      <c r="X1395">
        <v>9659</v>
      </c>
      <c r="Y1395">
        <v>7</v>
      </c>
      <c r="Z1395" t="s">
        <v>47</v>
      </c>
      <c r="AA1395" t="s">
        <v>48</v>
      </c>
      <c r="AB1395">
        <v>17</v>
      </c>
      <c r="AC1395">
        <v>3</v>
      </c>
      <c r="AD1395">
        <v>1</v>
      </c>
      <c r="AE1395">
        <v>80</v>
      </c>
      <c r="AF1395">
        <v>1</v>
      </c>
      <c r="AG1395">
        <v>33</v>
      </c>
      <c r="AH1395">
        <v>2</v>
      </c>
      <c r="AI1395">
        <v>1</v>
      </c>
      <c r="AJ1395">
        <v>5</v>
      </c>
      <c r="AK1395">
        <v>4</v>
      </c>
      <c r="AL1395">
        <v>1</v>
      </c>
    </row>
    <row r="1396" spans="1:38" x14ac:dyDescent="0.3">
      <c r="A1396" t="s">
        <v>1466</v>
      </c>
      <c r="B1396">
        <v>54</v>
      </c>
      <c r="C1396" t="s">
        <v>1269</v>
      </c>
      <c r="D1396" t="s">
        <v>48</v>
      </c>
      <c r="E1396">
        <f t="shared" si="21"/>
        <v>0</v>
      </c>
      <c r="F1396" t="s">
        <v>40</v>
      </c>
      <c r="G1396">
        <v>685</v>
      </c>
      <c r="H1396" t="s">
        <v>41</v>
      </c>
      <c r="I1396">
        <v>3</v>
      </c>
      <c r="J1396">
        <v>3</v>
      </c>
      <c r="K1396" t="s">
        <v>42</v>
      </c>
      <c r="L1396">
        <v>1</v>
      </c>
      <c r="M1396">
        <v>1250</v>
      </c>
      <c r="N1396">
        <v>4</v>
      </c>
      <c r="O1396" t="s">
        <v>43</v>
      </c>
      <c r="P1396">
        <v>85</v>
      </c>
      <c r="Q1396">
        <v>3</v>
      </c>
      <c r="R1396">
        <v>4</v>
      </c>
      <c r="S1396" t="s">
        <v>251</v>
      </c>
      <c r="T1396">
        <v>4</v>
      </c>
      <c r="U1396" t="s">
        <v>104</v>
      </c>
      <c r="V1396">
        <v>17779</v>
      </c>
      <c r="W1396" t="s">
        <v>366</v>
      </c>
      <c r="X1396">
        <v>23474</v>
      </c>
      <c r="Y1396">
        <v>3</v>
      </c>
      <c r="Z1396" t="s">
        <v>47</v>
      </c>
      <c r="AA1396" t="s">
        <v>48</v>
      </c>
      <c r="AB1396">
        <v>14</v>
      </c>
      <c r="AC1396">
        <v>3</v>
      </c>
      <c r="AD1396">
        <v>1</v>
      </c>
      <c r="AE1396">
        <v>80</v>
      </c>
      <c r="AF1396">
        <v>0</v>
      </c>
      <c r="AG1396">
        <v>36</v>
      </c>
      <c r="AH1396">
        <v>2</v>
      </c>
      <c r="AI1396">
        <v>3</v>
      </c>
      <c r="AJ1396">
        <v>10</v>
      </c>
      <c r="AK1396">
        <v>9</v>
      </c>
      <c r="AL1396">
        <v>0</v>
      </c>
    </row>
    <row r="1397" spans="1:38" x14ac:dyDescent="0.3">
      <c r="A1397" t="s">
        <v>1467</v>
      </c>
      <c r="B1397">
        <v>54</v>
      </c>
      <c r="C1397" t="s">
        <v>1269</v>
      </c>
      <c r="D1397" t="s">
        <v>48</v>
      </c>
      <c r="E1397">
        <f t="shared" si="21"/>
        <v>0</v>
      </c>
      <c r="F1397" t="s">
        <v>40</v>
      </c>
      <c r="G1397">
        <v>971</v>
      </c>
      <c r="H1397" t="s">
        <v>41</v>
      </c>
      <c r="I1397">
        <v>1</v>
      </c>
      <c r="J1397">
        <v>3</v>
      </c>
      <c r="K1397" t="s">
        <v>51</v>
      </c>
      <c r="L1397">
        <v>1</v>
      </c>
      <c r="M1397">
        <v>1422</v>
      </c>
      <c r="N1397">
        <v>4</v>
      </c>
      <c r="O1397" t="s">
        <v>52</v>
      </c>
      <c r="P1397">
        <v>54</v>
      </c>
      <c r="Q1397">
        <v>3</v>
      </c>
      <c r="R1397">
        <v>4</v>
      </c>
      <c r="S1397" t="s">
        <v>251</v>
      </c>
      <c r="T1397">
        <v>4</v>
      </c>
      <c r="U1397" t="s">
        <v>45</v>
      </c>
      <c r="V1397">
        <v>17328</v>
      </c>
      <c r="W1397" t="s">
        <v>366</v>
      </c>
      <c r="X1397">
        <v>5652</v>
      </c>
      <c r="Y1397">
        <v>6</v>
      </c>
      <c r="Z1397" t="s">
        <v>47</v>
      </c>
      <c r="AA1397" t="s">
        <v>48</v>
      </c>
      <c r="AB1397">
        <v>19</v>
      </c>
      <c r="AC1397">
        <v>3</v>
      </c>
      <c r="AD1397">
        <v>4</v>
      </c>
      <c r="AE1397">
        <v>80</v>
      </c>
      <c r="AF1397">
        <v>0</v>
      </c>
      <c r="AG1397">
        <v>29</v>
      </c>
      <c r="AH1397">
        <v>3</v>
      </c>
      <c r="AI1397">
        <v>2</v>
      </c>
      <c r="AJ1397">
        <v>20</v>
      </c>
      <c r="AK1397">
        <v>7</v>
      </c>
      <c r="AL1397">
        <v>12</v>
      </c>
    </row>
    <row r="1398" spans="1:38" x14ac:dyDescent="0.3">
      <c r="A1398" t="s">
        <v>1468</v>
      </c>
      <c r="B1398">
        <v>54</v>
      </c>
      <c r="C1398" t="s">
        <v>1269</v>
      </c>
      <c r="D1398" t="s">
        <v>48</v>
      </c>
      <c r="E1398">
        <f t="shared" si="21"/>
        <v>0</v>
      </c>
      <c r="F1398" t="s">
        <v>55</v>
      </c>
      <c r="G1398">
        <v>1050</v>
      </c>
      <c r="H1398" t="s">
        <v>41</v>
      </c>
      <c r="I1398">
        <v>11</v>
      </c>
      <c r="J1398">
        <v>4</v>
      </c>
      <c r="K1398" t="s">
        <v>51</v>
      </c>
      <c r="L1398">
        <v>1</v>
      </c>
      <c r="M1398">
        <v>1520</v>
      </c>
      <c r="N1398">
        <v>2</v>
      </c>
      <c r="O1398" t="s">
        <v>52</v>
      </c>
      <c r="P1398">
        <v>87</v>
      </c>
      <c r="Q1398">
        <v>3</v>
      </c>
      <c r="R1398">
        <v>4</v>
      </c>
      <c r="S1398" t="s">
        <v>440</v>
      </c>
      <c r="T1398">
        <v>4</v>
      </c>
      <c r="U1398" t="s">
        <v>101</v>
      </c>
      <c r="V1398">
        <v>16032</v>
      </c>
      <c r="W1398" t="s">
        <v>366</v>
      </c>
      <c r="X1398">
        <v>24456</v>
      </c>
      <c r="Y1398">
        <v>3</v>
      </c>
      <c r="Z1398" t="s">
        <v>47</v>
      </c>
      <c r="AA1398" t="s">
        <v>48</v>
      </c>
      <c r="AB1398">
        <v>20</v>
      </c>
      <c r="AC1398">
        <v>4</v>
      </c>
      <c r="AD1398">
        <v>1</v>
      </c>
      <c r="AE1398">
        <v>80</v>
      </c>
      <c r="AF1398">
        <v>1</v>
      </c>
      <c r="AG1398">
        <v>26</v>
      </c>
      <c r="AH1398">
        <v>2</v>
      </c>
      <c r="AI1398">
        <v>3</v>
      </c>
      <c r="AJ1398">
        <v>14</v>
      </c>
      <c r="AK1398">
        <v>9</v>
      </c>
      <c r="AL1398">
        <v>1</v>
      </c>
    </row>
    <row r="1399" spans="1:38" x14ac:dyDescent="0.3">
      <c r="A1399" t="s">
        <v>1469</v>
      </c>
      <c r="B1399">
        <v>54</v>
      </c>
      <c r="C1399" t="s">
        <v>1269</v>
      </c>
      <c r="D1399" t="s">
        <v>48</v>
      </c>
      <c r="E1399">
        <f t="shared" si="21"/>
        <v>0</v>
      </c>
      <c r="F1399" t="s">
        <v>40</v>
      </c>
      <c r="G1399">
        <v>584</v>
      </c>
      <c r="H1399" t="s">
        <v>41</v>
      </c>
      <c r="I1399">
        <v>22</v>
      </c>
      <c r="J1399">
        <v>5</v>
      </c>
      <c r="K1399" t="s">
        <v>51</v>
      </c>
      <c r="L1399">
        <v>1</v>
      </c>
      <c r="M1399">
        <v>1665</v>
      </c>
      <c r="N1399">
        <v>2</v>
      </c>
      <c r="O1399" t="s">
        <v>52</v>
      </c>
      <c r="P1399">
        <v>91</v>
      </c>
      <c r="Q1399">
        <v>3</v>
      </c>
      <c r="R1399">
        <v>4</v>
      </c>
      <c r="S1399" t="s">
        <v>440</v>
      </c>
      <c r="T1399">
        <v>3</v>
      </c>
      <c r="U1399" t="s">
        <v>104</v>
      </c>
      <c r="V1399">
        <v>17426</v>
      </c>
      <c r="W1399" t="s">
        <v>366</v>
      </c>
      <c r="X1399">
        <v>18685</v>
      </c>
      <c r="Y1399">
        <v>3</v>
      </c>
      <c r="Z1399" t="s">
        <v>47</v>
      </c>
      <c r="AA1399" t="s">
        <v>48</v>
      </c>
      <c r="AB1399">
        <v>25</v>
      </c>
      <c r="AC1399">
        <v>4</v>
      </c>
      <c r="AD1399">
        <v>3</v>
      </c>
      <c r="AE1399">
        <v>80</v>
      </c>
      <c r="AF1399">
        <v>1</v>
      </c>
      <c r="AG1399">
        <v>36</v>
      </c>
      <c r="AH1399">
        <v>6</v>
      </c>
      <c r="AI1399">
        <v>3</v>
      </c>
      <c r="AJ1399">
        <v>10</v>
      </c>
      <c r="AK1399">
        <v>8</v>
      </c>
      <c r="AL1399">
        <v>4</v>
      </c>
    </row>
    <row r="1400" spans="1:38" x14ac:dyDescent="0.3">
      <c r="A1400" t="s">
        <v>1470</v>
      </c>
      <c r="B1400">
        <v>54</v>
      </c>
      <c r="C1400" t="s">
        <v>1269</v>
      </c>
      <c r="D1400" t="s">
        <v>48</v>
      </c>
      <c r="E1400">
        <f t="shared" si="21"/>
        <v>0</v>
      </c>
      <c r="F1400" t="s">
        <v>40</v>
      </c>
      <c r="G1400">
        <v>431</v>
      </c>
      <c r="H1400" t="s">
        <v>41</v>
      </c>
      <c r="I1400">
        <v>7</v>
      </c>
      <c r="J1400">
        <v>4</v>
      </c>
      <c r="K1400" t="s">
        <v>51</v>
      </c>
      <c r="L1400">
        <v>1</v>
      </c>
      <c r="M1400">
        <v>1830</v>
      </c>
      <c r="N1400">
        <v>4</v>
      </c>
      <c r="O1400" t="s">
        <v>52</v>
      </c>
      <c r="P1400">
        <v>68</v>
      </c>
      <c r="Q1400">
        <v>3</v>
      </c>
      <c r="R1400">
        <v>2</v>
      </c>
      <c r="S1400" t="s">
        <v>59</v>
      </c>
      <c r="T1400">
        <v>4</v>
      </c>
      <c r="U1400" t="s">
        <v>104</v>
      </c>
      <c r="V1400">
        <v>6854</v>
      </c>
      <c r="W1400" t="s">
        <v>162</v>
      </c>
      <c r="X1400">
        <v>15696</v>
      </c>
      <c r="Y1400">
        <v>4</v>
      </c>
      <c r="Z1400" t="s">
        <v>47</v>
      </c>
      <c r="AA1400" t="s">
        <v>48</v>
      </c>
      <c r="AB1400">
        <v>15</v>
      </c>
      <c r="AC1400">
        <v>3</v>
      </c>
      <c r="AD1400">
        <v>2</v>
      </c>
      <c r="AE1400">
        <v>80</v>
      </c>
      <c r="AF1400">
        <v>1</v>
      </c>
      <c r="AG1400">
        <v>14</v>
      </c>
      <c r="AH1400">
        <v>2</v>
      </c>
      <c r="AI1400">
        <v>2</v>
      </c>
      <c r="AJ1400">
        <v>7</v>
      </c>
      <c r="AK1400">
        <v>1</v>
      </c>
      <c r="AL1400">
        <v>1</v>
      </c>
    </row>
    <row r="1401" spans="1:38" x14ac:dyDescent="0.3">
      <c r="A1401" t="s">
        <v>1471</v>
      </c>
      <c r="B1401">
        <v>54</v>
      </c>
      <c r="C1401" t="s">
        <v>1269</v>
      </c>
      <c r="D1401" t="s">
        <v>48</v>
      </c>
      <c r="E1401">
        <f t="shared" si="21"/>
        <v>0</v>
      </c>
      <c r="F1401" t="s">
        <v>40</v>
      </c>
      <c r="G1401">
        <v>155</v>
      </c>
      <c r="H1401" t="s">
        <v>41</v>
      </c>
      <c r="I1401">
        <v>9</v>
      </c>
      <c r="J1401">
        <v>2</v>
      </c>
      <c r="K1401" t="s">
        <v>42</v>
      </c>
      <c r="L1401">
        <v>1</v>
      </c>
      <c r="M1401">
        <v>1969</v>
      </c>
      <c r="N1401">
        <v>1</v>
      </c>
      <c r="O1401" t="s">
        <v>52</v>
      </c>
      <c r="P1401">
        <v>67</v>
      </c>
      <c r="Q1401">
        <v>3</v>
      </c>
      <c r="R1401">
        <v>2</v>
      </c>
      <c r="S1401" t="s">
        <v>59</v>
      </c>
      <c r="T1401">
        <v>3</v>
      </c>
      <c r="U1401" t="s">
        <v>104</v>
      </c>
      <c r="V1401">
        <v>2897</v>
      </c>
      <c r="W1401" t="s">
        <v>46</v>
      </c>
      <c r="X1401">
        <v>22474</v>
      </c>
      <c r="Y1401">
        <v>3</v>
      </c>
      <c r="Z1401" t="s">
        <v>47</v>
      </c>
      <c r="AA1401" t="s">
        <v>48</v>
      </c>
      <c r="AB1401">
        <v>11</v>
      </c>
      <c r="AC1401">
        <v>3</v>
      </c>
      <c r="AD1401">
        <v>3</v>
      </c>
      <c r="AE1401">
        <v>80</v>
      </c>
      <c r="AF1401">
        <v>2</v>
      </c>
      <c r="AG1401">
        <v>9</v>
      </c>
      <c r="AH1401">
        <v>6</v>
      </c>
      <c r="AI1401">
        <v>2</v>
      </c>
      <c r="AJ1401">
        <v>4</v>
      </c>
      <c r="AK1401">
        <v>3</v>
      </c>
      <c r="AL1401">
        <v>2</v>
      </c>
    </row>
    <row r="1402" spans="1:38" x14ac:dyDescent="0.3">
      <c r="A1402" t="s">
        <v>1472</v>
      </c>
      <c r="B1402">
        <v>54</v>
      </c>
      <c r="C1402" t="s">
        <v>1269</v>
      </c>
      <c r="D1402" t="s">
        <v>48</v>
      </c>
      <c r="E1402">
        <f t="shared" si="21"/>
        <v>0</v>
      </c>
      <c r="F1402" t="s">
        <v>40</v>
      </c>
      <c r="G1402">
        <v>157</v>
      </c>
      <c r="H1402" t="s">
        <v>41</v>
      </c>
      <c r="I1402">
        <v>10</v>
      </c>
      <c r="J1402">
        <v>3</v>
      </c>
      <c r="K1402" t="s">
        <v>51</v>
      </c>
      <c r="L1402">
        <v>1</v>
      </c>
      <c r="M1402">
        <v>1980</v>
      </c>
      <c r="N1402">
        <v>3</v>
      </c>
      <c r="O1402" t="s">
        <v>52</v>
      </c>
      <c r="P1402">
        <v>77</v>
      </c>
      <c r="Q1402">
        <v>3</v>
      </c>
      <c r="R1402">
        <v>2</v>
      </c>
      <c r="S1402" t="s">
        <v>111</v>
      </c>
      <c r="T1402">
        <v>1</v>
      </c>
      <c r="U1402" t="s">
        <v>45</v>
      </c>
      <c r="V1402">
        <v>4440</v>
      </c>
      <c r="W1402" t="s">
        <v>46</v>
      </c>
      <c r="X1402">
        <v>25198</v>
      </c>
      <c r="Y1402">
        <v>6</v>
      </c>
      <c r="Z1402" t="s">
        <v>47</v>
      </c>
      <c r="AA1402" t="s">
        <v>39</v>
      </c>
      <c r="AB1402">
        <v>19</v>
      </c>
      <c r="AC1402">
        <v>3</v>
      </c>
      <c r="AD1402">
        <v>4</v>
      </c>
      <c r="AE1402">
        <v>80</v>
      </c>
      <c r="AF1402">
        <v>0</v>
      </c>
      <c r="AG1402">
        <v>9</v>
      </c>
      <c r="AH1402">
        <v>3</v>
      </c>
      <c r="AI1402">
        <v>3</v>
      </c>
      <c r="AJ1402">
        <v>5</v>
      </c>
      <c r="AK1402">
        <v>2</v>
      </c>
      <c r="AL1402">
        <v>1</v>
      </c>
    </row>
    <row r="1403" spans="1:38" x14ac:dyDescent="0.3">
      <c r="A1403" t="s">
        <v>1473</v>
      </c>
      <c r="B1403">
        <v>55</v>
      </c>
      <c r="C1403" t="s">
        <v>1269</v>
      </c>
      <c r="D1403" t="s">
        <v>48</v>
      </c>
      <c r="E1403">
        <f t="shared" si="21"/>
        <v>0</v>
      </c>
      <c r="F1403" t="s">
        <v>40</v>
      </c>
      <c r="G1403">
        <v>836</v>
      </c>
      <c r="H1403" t="s">
        <v>41</v>
      </c>
      <c r="I1403">
        <v>8</v>
      </c>
      <c r="J1403">
        <v>3</v>
      </c>
      <c r="K1403" t="s">
        <v>51</v>
      </c>
      <c r="L1403">
        <v>1</v>
      </c>
      <c r="M1403">
        <v>84</v>
      </c>
      <c r="N1403">
        <v>4</v>
      </c>
      <c r="O1403" t="s">
        <v>52</v>
      </c>
      <c r="P1403">
        <v>33</v>
      </c>
      <c r="Q1403">
        <v>3</v>
      </c>
      <c r="R1403">
        <v>4</v>
      </c>
      <c r="S1403" t="s">
        <v>440</v>
      </c>
      <c r="T1403">
        <v>3</v>
      </c>
      <c r="U1403" t="s">
        <v>101</v>
      </c>
      <c r="V1403">
        <v>14756</v>
      </c>
      <c r="W1403" t="s">
        <v>252</v>
      </c>
      <c r="X1403">
        <v>19730</v>
      </c>
      <c r="Y1403">
        <v>2</v>
      </c>
      <c r="Z1403" t="s">
        <v>47</v>
      </c>
      <c r="AA1403" t="s">
        <v>39</v>
      </c>
      <c r="AB1403">
        <v>14</v>
      </c>
      <c r="AC1403">
        <v>3</v>
      </c>
      <c r="AD1403">
        <v>3</v>
      </c>
      <c r="AE1403">
        <v>80</v>
      </c>
      <c r="AF1403">
        <v>3</v>
      </c>
      <c r="AG1403">
        <v>21</v>
      </c>
      <c r="AH1403">
        <v>2</v>
      </c>
      <c r="AI1403">
        <v>3</v>
      </c>
      <c r="AJ1403">
        <v>5</v>
      </c>
      <c r="AK1403">
        <v>0</v>
      </c>
      <c r="AL1403">
        <v>0</v>
      </c>
    </row>
    <row r="1404" spans="1:38" x14ac:dyDescent="0.3">
      <c r="A1404" t="s">
        <v>1474</v>
      </c>
      <c r="B1404">
        <v>55</v>
      </c>
      <c r="C1404" t="s">
        <v>1269</v>
      </c>
      <c r="D1404" t="s">
        <v>48</v>
      </c>
      <c r="E1404">
        <f t="shared" si="21"/>
        <v>0</v>
      </c>
      <c r="F1404" t="s">
        <v>40</v>
      </c>
      <c r="G1404">
        <v>111</v>
      </c>
      <c r="H1404" t="s">
        <v>50</v>
      </c>
      <c r="I1404">
        <v>1</v>
      </c>
      <c r="J1404">
        <v>2</v>
      </c>
      <c r="K1404" t="s">
        <v>42</v>
      </c>
      <c r="L1404">
        <v>1</v>
      </c>
      <c r="M1404">
        <v>106</v>
      </c>
      <c r="N1404">
        <v>1</v>
      </c>
      <c r="O1404" t="s">
        <v>43</v>
      </c>
      <c r="P1404">
        <v>70</v>
      </c>
      <c r="Q1404">
        <v>3</v>
      </c>
      <c r="R1404">
        <v>3</v>
      </c>
      <c r="S1404" t="s">
        <v>136</v>
      </c>
      <c r="T1404">
        <v>4</v>
      </c>
      <c r="U1404" t="s">
        <v>104</v>
      </c>
      <c r="V1404">
        <v>10239</v>
      </c>
      <c r="W1404" t="s">
        <v>252</v>
      </c>
      <c r="X1404">
        <v>18092</v>
      </c>
      <c r="Y1404">
        <v>3</v>
      </c>
      <c r="Z1404" t="s">
        <v>47</v>
      </c>
      <c r="AA1404" t="s">
        <v>48</v>
      </c>
      <c r="AB1404">
        <v>14</v>
      </c>
      <c r="AC1404">
        <v>3</v>
      </c>
      <c r="AD1404">
        <v>4</v>
      </c>
      <c r="AE1404">
        <v>80</v>
      </c>
      <c r="AF1404">
        <v>1</v>
      </c>
      <c r="AG1404">
        <v>24</v>
      </c>
      <c r="AH1404">
        <v>4</v>
      </c>
      <c r="AI1404">
        <v>3</v>
      </c>
      <c r="AJ1404">
        <v>1</v>
      </c>
      <c r="AK1404">
        <v>0</v>
      </c>
      <c r="AL1404">
        <v>1</v>
      </c>
    </row>
    <row r="1405" spans="1:38" x14ac:dyDescent="0.3">
      <c r="A1405" t="s">
        <v>1475</v>
      </c>
      <c r="B1405">
        <v>55</v>
      </c>
      <c r="C1405" t="s">
        <v>1269</v>
      </c>
      <c r="D1405" t="s">
        <v>48</v>
      </c>
      <c r="E1405">
        <f t="shared" si="21"/>
        <v>0</v>
      </c>
      <c r="F1405" t="s">
        <v>40</v>
      </c>
      <c r="G1405">
        <v>692</v>
      </c>
      <c r="H1405" t="s">
        <v>41</v>
      </c>
      <c r="I1405">
        <v>14</v>
      </c>
      <c r="J1405">
        <v>4</v>
      </c>
      <c r="K1405" t="s">
        <v>51</v>
      </c>
      <c r="L1405">
        <v>1</v>
      </c>
      <c r="M1405">
        <v>254</v>
      </c>
      <c r="N1405">
        <v>3</v>
      </c>
      <c r="O1405" t="s">
        <v>43</v>
      </c>
      <c r="P1405">
        <v>61</v>
      </c>
      <c r="Q1405">
        <v>4</v>
      </c>
      <c r="R1405">
        <v>5</v>
      </c>
      <c r="S1405" t="s">
        <v>251</v>
      </c>
      <c r="T1405">
        <v>2</v>
      </c>
      <c r="U1405" t="s">
        <v>45</v>
      </c>
      <c r="V1405">
        <v>18722</v>
      </c>
      <c r="W1405" t="s">
        <v>366</v>
      </c>
      <c r="X1405">
        <v>13339</v>
      </c>
      <c r="Y1405">
        <v>8</v>
      </c>
      <c r="Z1405" t="s">
        <v>47</v>
      </c>
      <c r="AA1405" t="s">
        <v>48</v>
      </c>
      <c r="AB1405">
        <v>11</v>
      </c>
      <c r="AC1405">
        <v>3</v>
      </c>
      <c r="AD1405">
        <v>4</v>
      </c>
      <c r="AE1405">
        <v>80</v>
      </c>
      <c r="AF1405">
        <v>0</v>
      </c>
      <c r="AG1405">
        <v>36</v>
      </c>
      <c r="AH1405">
        <v>3</v>
      </c>
      <c r="AI1405">
        <v>3</v>
      </c>
      <c r="AJ1405">
        <v>24</v>
      </c>
      <c r="AK1405">
        <v>15</v>
      </c>
      <c r="AL1405">
        <v>2</v>
      </c>
    </row>
    <row r="1406" spans="1:38" x14ac:dyDescent="0.3">
      <c r="A1406" t="s">
        <v>1476</v>
      </c>
      <c r="B1406">
        <v>55</v>
      </c>
      <c r="C1406" t="s">
        <v>1269</v>
      </c>
      <c r="D1406" t="s">
        <v>48</v>
      </c>
      <c r="E1406">
        <f t="shared" si="21"/>
        <v>0</v>
      </c>
      <c r="F1406" t="s">
        <v>40</v>
      </c>
      <c r="G1406">
        <v>452</v>
      </c>
      <c r="H1406" t="s">
        <v>41</v>
      </c>
      <c r="I1406">
        <v>1</v>
      </c>
      <c r="J1406">
        <v>3</v>
      </c>
      <c r="K1406" t="s">
        <v>51</v>
      </c>
      <c r="L1406">
        <v>1</v>
      </c>
      <c r="M1406">
        <v>374</v>
      </c>
      <c r="N1406">
        <v>4</v>
      </c>
      <c r="O1406" t="s">
        <v>43</v>
      </c>
      <c r="P1406">
        <v>81</v>
      </c>
      <c r="Q1406">
        <v>3</v>
      </c>
      <c r="R1406">
        <v>5</v>
      </c>
      <c r="S1406" t="s">
        <v>440</v>
      </c>
      <c r="T1406">
        <v>1</v>
      </c>
      <c r="U1406" t="s">
        <v>45</v>
      </c>
      <c r="V1406">
        <v>19045</v>
      </c>
      <c r="W1406" t="s">
        <v>366</v>
      </c>
      <c r="X1406">
        <v>18938</v>
      </c>
      <c r="Y1406">
        <v>0</v>
      </c>
      <c r="Z1406" t="s">
        <v>47</v>
      </c>
      <c r="AA1406" t="s">
        <v>39</v>
      </c>
      <c r="AB1406">
        <v>14</v>
      </c>
      <c r="AC1406">
        <v>3</v>
      </c>
      <c r="AD1406">
        <v>3</v>
      </c>
      <c r="AE1406">
        <v>80</v>
      </c>
      <c r="AF1406">
        <v>0</v>
      </c>
      <c r="AG1406">
        <v>37</v>
      </c>
      <c r="AH1406">
        <v>2</v>
      </c>
      <c r="AI1406">
        <v>3</v>
      </c>
      <c r="AJ1406">
        <v>36</v>
      </c>
      <c r="AK1406">
        <v>10</v>
      </c>
      <c r="AL1406">
        <v>4</v>
      </c>
    </row>
    <row r="1407" spans="1:38" x14ac:dyDescent="0.3">
      <c r="A1407" t="s">
        <v>1477</v>
      </c>
      <c r="B1407">
        <v>55</v>
      </c>
      <c r="C1407" t="s">
        <v>1269</v>
      </c>
      <c r="D1407" t="s">
        <v>48</v>
      </c>
      <c r="E1407">
        <f t="shared" si="21"/>
        <v>0</v>
      </c>
      <c r="F1407" t="s">
        <v>40</v>
      </c>
      <c r="G1407">
        <v>147</v>
      </c>
      <c r="H1407" t="s">
        <v>41</v>
      </c>
      <c r="I1407">
        <v>20</v>
      </c>
      <c r="J1407">
        <v>2</v>
      </c>
      <c r="K1407" t="s">
        <v>67</v>
      </c>
      <c r="L1407">
        <v>1</v>
      </c>
      <c r="M1407">
        <v>389</v>
      </c>
      <c r="N1407">
        <v>2</v>
      </c>
      <c r="O1407" t="s">
        <v>43</v>
      </c>
      <c r="P1407">
        <v>37</v>
      </c>
      <c r="Q1407">
        <v>3</v>
      </c>
      <c r="R1407">
        <v>2</v>
      </c>
      <c r="S1407" t="s">
        <v>44</v>
      </c>
      <c r="T1407">
        <v>4</v>
      </c>
      <c r="U1407" t="s">
        <v>104</v>
      </c>
      <c r="V1407">
        <v>5415</v>
      </c>
      <c r="W1407" t="s">
        <v>162</v>
      </c>
      <c r="X1407">
        <v>15972</v>
      </c>
      <c r="Y1407">
        <v>3</v>
      </c>
      <c r="Z1407" t="s">
        <v>47</v>
      </c>
      <c r="AA1407" t="s">
        <v>39</v>
      </c>
      <c r="AB1407">
        <v>19</v>
      </c>
      <c r="AC1407">
        <v>3</v>
      </c>
      <c r="AD1407">
        <v>4</v>
      </c>
      <c r="AE1407">
        <v>80</v>
      </c>
      <c r="AF1407">
        <v>1</v>
      </c>
      <c r="AG1407">
        <v>12</v>
      </c>
      <c r="AH1407">
        <v>4</v>
      </c>
      <c r="AI1407">
        <v>3</v>
      </c>
      <c r="AJ1407">
        <v>10</v>
      </c>
      <c r="AK1407">
        <v>7</v>
      </c>
      <c r="AL1407">
        <v>0</v>
      </c>
    </row>
    <row r="1408" spans="1:38" x14ac:dyDescent="0.3">
      <c r="A1408" t="s">
        <v>1478</v>
      </c>
      <c r="B1408">
        <v>55</v>
      </c>
      <c r="C1408" t="s">
        <v>1269</v>
      </c>
      <c r="D1408" t="s">
        <v>48</v>
      </c>
      <c r="E1408">
        <f t="shared" si="21"/>
        <v>0</v>
      </c>
      <c r="F1408" t="s">
        <v>40</v>
      </c>
      <c r="G1408">
        <v>1311</v>
      </c>
      <c r="H1408" t="s">
        <v>41</v>
      </c>
      <c r="I1408">
        <v>2</v>
      </c>
      <c r="J1408">
        <v>3</v>
      </c>
      <c r="K1408" t="s">
        <v>42</v>
      </c>
      <c r="L1408">
        <v>1</v>
      </c>
      <c r="M1408">
        <v>505</v>
      </c>
      <c r="N1408">
        <v>3</v>
      </c>
      <c r="O1408" t="s">
        <v>52</v>
      </c>
      <c r="P1408">
        <v>97</v>
      </c>
      <c r="Q1408">
        <v>3</v>
      </c>
      <c r="R1408">
        <v>4</v>
      </c>
      <c r="S1408" t="s">
        <v>440</v>
      </c>
      <c r="T1408">
        <v>4</v>
      </c>
      <c r="U1408" t="s">
        <v>45</v>
      </c>
      <c r="V1408">
        <v>16659</v>
      </c>
      <c r="W1408" t="s">
        <v>366</v>
      </c>
      <c r="X1408">
        <v>23258</v>
      </c>
      <c r="Y1408">
        <v>2</v>
      </c>
      <c r="Z1408" t="s">
        <v>47</v>
      </c>
      <c r="AA1408" t="s">
        <v>39</v>
      </c>
      <c r="AB1408">
        <v>13</v>
      </c>
      <c r="AC1408">
        <v>3</v>
      </c>
      <c r="AD1408">
        <v>3</v>
      </c>
      <c r="AE1408">
        <v>80</v>
      </c>
      <c r="AF1408">
        <v>0</v>
      </c>
      <c r="AG1408">
        <v>30</v>
      </c>
      <c r="AH1408">
        <v>2</v>
      </c>
      <c r="AI1408">
        <v>3</v>
      </c>
      <c r="AJ1408">
        <v>5</v>
      </c>
      <c r="AK1408">
        <v>4</v>
      </c>
      <c r="AL1408">
        <v>1</v>
      </c>
    </row>
    <row r="1409" spans="1:38" x14ac:dyDescent="0.3">
      <c r="A1409" t="s">
        <v>1479</v>
      </c>
      <c r="B1409">
        <v>55</v>
      </c>
      <c r="C1409" t="s">
        <v>1269</v>
      </c>
      <c r="D1409" t="s">
        <v>48</v>
      </c>
      <c r="E1409">
        <f t="shared" si="21"/>
        <v>0</v>
      </c>
      <c r="F1409" t="s">
        <v>40</v>
      </c>
      <c r="G1409">
        <v>1117</v>
      </c>
      <c r="H1409" t="s">
        <v>50</v>
      </c>
      <c r="I1409">
        <v>18</v>
      </c>
      <c r="J1409">
        <v>5</v>
      </c>
      <c r="K1409" t="s">
        <v>42</v>
      </c>
      <c r="L1409">
        <v>1</v>
      </c>
      <c r="M1409">
        <v>597</v>
      </c>
      <c r="N1409">
        <v>1</v>
      </c>
      <c r="O1409" t="s">
        <v>52</v>
      </c>
      <c r="P1409">
        <v>83</v>
      </c>
      <c r="Q1409">
        <v>3</v>
      </c>
      <c r="R1409">
        <v>4</v>
      </c>
      <c r="S1409" t="s">
        <v>440</v>
      </c>
      <c r="T1409">
        <v>2</v>
      </c>
      <c r="U1409" t="s">
        <v>45</v>
      </c>
      <c r="V1409">
        <v>16835</v>
      </c>
      <c r="W1409" t="s">
        <v>366</v>
      </c>
      <c r="X1409">
        <v>9873</v>
      </c>
      <c r="Y1409">
        <v>3</v>
      </c>
      <c r="Z1409" t="s">
        <v>47</v>
      </c>
      <c r="AA1409" t="s">
        <v>48</v>
      </c>
      <c r="AB1409">
        <v>23</v>
      </c>
      <c r="AC1409">
        <v>4</v>
      </c>
      <c r="AD1409">
        <v>4</v>
      </c>
      <c r="AE1409">
        <v>80</v>
      </c>
      <c r="AF1409">
        <v>0</v>
      </c>
      <c r="AG1409">
        <v>37</v>
      </c>
      <c r="AH1409">
        <v>2</v>
      </c>
      <c r="AI1409">
        <v>3</v>
      </c>
      <c r="AJ1409">
        <v>10</v>
      </c>
      <c r="AK1409">
        <v>9</v>
      </c>
      <c r="AL1409">
        <v>7</v>
      </c>
    </row>
    <row r="1410" spans="1:38" x14ac:dyDescent="0.3">
      <c r="A1410" t="s">
        <v>1480</v>
      </c>
      <c r="B1410">
        <v>55</v>
      </c>
      <c r="C1410" t="s">
        <v>1269</v>
      </c>
      <c r="D1410" t="s">
        <v>39</v>
      </c>
      <c r="E1410">
        <f t="shared" si="21"/>
        <v>1</v>
      </c>
      <c r="F1410" t="s">
        <v>40</v>
      </c>
      <c r="G1410">
        <v>725</v>
      </c>
      <c r="H1410" t="s">
        <v>41</v>
      </c>
      <c r="I1410">
        <v>2</v>
      </c>
      <c r="J1410">
        <v>3</v>
      </c>
      <c r="K1410" t="s">
        <v>51</v>
      </c>
      <c r="L1410">
        <v>1</v>
      </c>
      <c r="M1410">
        <v>787</v>
      </c>
      <c r="N1410">
        <v>4</v>
      </c>
      <c r="O1410" t="s">
        <v>43</v>
      </c>
      <c r="P1410">
        <v>78</v>
      </c>
      <c r="Q1410">
        <v>3</v>
      </c>
      <c r="R1410">
        <v>5</v>
      </c>
      <c r="S1410" t="s">
        <v>440</v>
      </c>
      <c r="T1410">
        <v>1</v>
      </c>
      <c r="U1410" t="s">
        <v>104</v>
      </c>
      <c r="V1410">
        <v>19859</v>
      </c>
      <c r="W1410" t="s">
        <v>366</v>
      </c>
      <c r="X1410">
        <v>21199</v>
      </c>
      <c r="Y1410">
        <v>5</v>
      </c>
      <c r="Z1410" t="s">
        <v>47</v>
      </c>
      <c r="AA1410" t="s">
        <v>39</v>
      </c>
      <c r="AB1410">
        <v>13</v>
      </c>
      <c r="AC1410">
        <v>3</v>
      </c>
      <c r="AD1410">
        <v>4</v>
      </c>
      <c r="AE1410">
        <v>80</v>
      </c>
      <c r="AF1410">
        <v>1</v>
      </c>
      <c r="AG1410">
        <v>24</v>
      </c>
      <c r="AH1410">
        <v>2</v>
      </c>
      <c r="AI1410">
        <v>3</v>
      </c>
      <c r="AJ1410">
        <v>5</v>
      </c>
      <c r="AK1410">
        <v>2</v>
      </c>
      <c r="AL1410">
        <v>1</v>
      </c>
    </row>
    <row r="1411" spans="1:38" x14ac:dyDescent="0.3">
      <c r="A1411" t="s">
        <v>1481</v>
      </c>
      <c r="B1411">
        <v>55</v>
      </c>
      <c r="C1411" t="s">
        <v>1269</v>
      </c>
      <c r="D1411" t="s">
        <v>39</v>
      </c>
      <c r="E1411">
        <f t="shared" ref="E1411:E1471" si="22">IF(D1411="Yes",1,0)</f>
        <v>1</v>
      </c>
      <c r="F1411" t="s">
        <v>40</v>
      </c>
      <c r="G1411">
        <v>436</v>
      </c>
      <c r="H1411" t="s">
        <v>50</v>
      </c>
      <c r="I1411">
        <v>2</v>
      </c>
      <c r="J1411">
        <v>1</v>
      </c>
      <c r="K1411" t="s">
        <v>51</v>
      </c>
      <c r="L1411">
        <v>1</v>
      </c>
      <c r="M1411">
        <v>842</v>
      </c>
      <c r="N1411">
        <v>3</v>
      </c>
      <c r="O1411" t="s">
        <v>43</v>
      </c>
      <c r="P1411">
        <v>37</v>
      </c>
      <c r="Q1411">
        <v>3</v>
      </c>
      <c r="R1411">
        <v>2</v>
      </c>
      <c r="S1411" t="s">
        <v>136</v>
      </c>
      <c r="T1411">
        <v>4</v>
      </c>
      <c r="U1411" t="s">
        <v>45</v>
      </c>
      <c r="V1411">
        <v>5160</v>
      </c>
      <c r="W1411" t="s">
        <v>162</v>
      </c>
      <c r="X1411">
        <v>21519</v>
      </c>
      <c r="Y1411">
        <v>4</v>
      </c>
      <c r="Z1411" t="s">
        <v>47</v>
      </c>
      <c r="AA1411" t="s">
        <v>48</v>
      </c>
      <c r="AB1411">
        <v>16</v>
      </c>
      <c r="AC1411">
        <v>3</v>
      </c>
      <c r="AD1411">
        <v>3</v>
      </c>
      <c r="AE1411">
        <v>80</v>
      </c>
      <c r="AF1411">
        <v>0</v>
      </c>
      <c r="AG1411">
        <v>12</v>
      </c>
      <c r="AH1411">
        <v>3</v>
      </c>
      <c r="AI1411">
        <v>2</v>
      </c>
      <c r="AJ1411">
        <v>9</v>
      </c>
      <c r="AK1411">
        <v>7</v>
      </c>
      <c r="AL1411">
        <v>7</v>
      </c>
    </row>
    <row r="1412" spans="1:38" x14ac:dyDescent="0.3">
      <c r="A1412" t="s">
        <v>1482</v>
      </c>
      <c r="B1412">
        <v>55</v>
      </c>
      <c r="C1412" t="s">
        <v>1269</v>
      </c>
      <c r="D1412" t="s">
        <v>48</v>
      </c>
      <c r="E1412">
        <f t="shared" si="22"/>
        <v>0</v>
      </c>
      <c r="F1412" t="s">
        <v>55</v>
      </c>
      <c r="G1412">
        <v>135</v>
      </c>
      <c r="H1412" t="s">
        <v>41</v>
      </c>
      <c r="I1412">
        <v>18</v>
      </c>
      <c r="J1412">
        <v>4</v>
      </c>
      <c r="K1412" t="s">
        <v>51</v>
      </c>
      <c r="L1412">
        <v>1</v>
      </c>
      <c r="M1412">
        <v>1034</v>
      </c>
      <c r="N1412">
        <v>3</v>
      </c>
      <c r="O1412" t="s">
        <v>43</v>
      </c>
      <c r="P1412">
        <v>62</v>
      </c>
      <c r="Q1412">
        <v>3</v>
      </c>
      <c r="R1412">
        <v>2</v>
      </c>
      <c r="S1412" t="s">
        <v>160</v>
      </c>
      <c r="T1412">
        <v>2</v>
      </c>
      <c r="U1412" t="s">
        <v>104</v>
      </c>
      <c r="V1412">
        <v>6385</v>
      </c>
      <c r="W1412" t="s">
        <v>162</v>
      </c>
      <c r="X1412">
        <v>12992</v>
      </c>
      <c r="Y1412">
        <v>3</v>
      </c>
      <c r="Z1412" t="s">
        <v>47</v>
      </c>
      <c r="AA1412" t="s">
        <v>39</v>
      </c>
      <c r="AB1412">
        <v>14</v>
      </c>
      <c r="AC1412">
        <v>3</v>
      </c>
      <c r="AD1412">
        <v>4</v>
      </c>
      <c r="AE1412">
        <v>80</v>
      </c>
      <c r="AF1412">
        <v>2</v>
      </c>
      <c r="AG1412">
        <v>17</v>
      </c>
      <c r="AH1412">
        <v>3</v>
      </c>
      <c r="AI1412">
        <v>3</v>
      </c>
      <c r="AJ1412">
        <v>8</v>
      </c>
      <c r="AK1412">
        <v>7</v>
      </c>
      <c r="AL1412">
        <v>6</v>
      </c>
    </row>
    <row r="1413" spans="1:38" x14ac:dyDescent="0.3">
      <c r="A1413" t="s">
        <v>1483</v>
      </c>
      <c r="B1413">
        <v>55</v>
      </c>
      <c r="C1413" t="s">
        <v>1269</v>
      </c>
      <c r="D1413" t="s">
        <v>48</v>
      </c>
      <c r="E1413">
        <f t="shared" si="22"/>
        <v>0</v>
      </c>
      <c r="F1413" t="s">
        <v>58</v>
      </c>
      <c r="G1413">
        <v>444</v>
      </c>
      <c r="H1413" t="s">
        <v>41</v>
      </c>
      <c r="I1413">
        <v>2</v>
      </c>
      <c r="J1413">
        <v>1</v>
      </c>
      <c r="K1413" t="s">
        <v>51</v>
      </c>
      <c r="L1413">
        <v>1</v>
      </c>
      <c r="M1413">
        <v>1074</v>
      </c>
      <c r="N1413">
        <v>3</v>
      </c>
      <c r="O1413" t="s">
        <v>43</v>
      </c>
      <c r="P1413">
        <v>40</v>
      </c>
      <c r="Q1413">
        <v>2</v>
      </c>
      <c r="R1413">
        <v>4</v>
      </c>
      <c r="S1413" t="s">
        <v>440</v>
      </c>
      <c r="T1413">
        <v>1</v>
      </c>
      <c r="U1413" t="s">
        <v>45</v>
      </c>
      <c r="V1413">
        <v>16756</v>
      </c>
      <c r="W1413" t="s">
        <v>366</v>
      </c>
      <c r="X1413">
        <v>17323</v>
      </c>
      <c r="Y1413">
        <v>7</v>
      </c>
      <c r="Z1413" t="s">
        <v>47</v>
      </c>
      <c r="AA1413" t="s">
        <v>48</v>
      </c>
      <c r="AB1413">
        <v>15</v>
      </c>
      <c r="AC1413">
        <v>3</v>
      </c>
      <c r="AD1413">
        <v>2</v>
      </c>
      <c r="AE1413">
        <v>80</v>
      </c>
      <c r="AF1413">
        <v>0</v>
      </c>
      <c r="AG1413">
        <v>31</v>
      </c>
      <c r="AH1413">
        <v>3</v>
      </c>
      <c r="AI1413">
        <v>4</v>
      </c>
      <c r="AJ1413">
        <v>9</v>
      </c>
      <c r="AK1413">
        <v>7</v>
      </c>
      <c r="AL1413">
        <v>6</v>
      </c>
    </row>
    <row r="1414" spans="1:38" x14ac:dyDescent="0.3">
      <c r="A1414" t="s">
        <v>1484</v>
      </c>
      <c r="B1414">
        <v>55</v>
      </c>
      <c r="C1414" t="s">
        <v>1269</v>
      </c>
      <c r="D1414" t="s">
        <v>48</v>
      </c>
      <c r="E1414">
        <f t="shared" si="22"/>
        <v>0</v>
      </c>
      <c r="F1414" t="s">
        <v>55</v>
      </c>
      <c r="G1414">
        <v>1091</v>
      </c>
      <c r="H1414" t="s">
        <v>41</v>
      </c>
      <c r="I1414">
        <v>2</v>
      </c>
      <c r="J1414">
        <v>1</v>
      </c>
      <c r="K1414" t="s">
        <v>42</v>
      </c>
      <c r="L1414">
        <v>1</v>
      </c>
      <c r="M1414">
        <v>1096</v>
      </c>
      <c r="N1414">
        <v>4</v>
      </c>
      <c r="O1414" t="s">
        <v>43</v>
      </c>
      <c r="P1414">
        <v>65</v>
      </c>
      <c r="Q1414">
        <v>3</v>
      </c>
      <c r="R1414">
        <v>3</v>
      </c>
      <c r="S1414" t="s">
        <v>111</v>
      </c>
      <c r="T1414">
        <v>2</v>
      </c>
      <c r="U1414" t="s">
        <v>104</v>
      </c>
      <c r="V1414">
        <v>10976</v>
      </c>
      <c r="W1414" t="s">
        <v>252</v>
      </c>
      <c r="X1414">
        <v>15813</v>
      </c>
      <c r="Y1414">
        <v>3</v>
      </c>
      <c r="Z1414" t="s">
        <v>47</v>
      </c>
      <c r="AA1414" t="s">
        <v>48</v>
      </c>
      <c r="AB1414">
        <v>18</v>
      </c>
      <c r="AC1414">
        <v>3</v>
      </c>
      <c r="AD1414">
        <v>2</v>
      </c>
      <c r="AE1414">
        <v>80</v>
      </c>
      <c r="AF1414">
        <v>1</v>
      </c>
      <c r="AG1414">
        <v>23</v>
      </c>
      <c r="AH1414">
        <v>4</v>
      </c>
      <c r="AI1414">
        <v>3</v>
      </c>
      <c r="AJ1414">
        <v>3</v>
      </c>
      <c r="AK1414">
        <v>2</v>
      </c>
      <c r="AL1414">
        <v>1</v>
      </c>
    </row>
    <row r="1415" spans="1:38" x14ac:dyDescent="0.3">
      <c r="A1415" t="s">
        <v>1485</v>
      </c>
      <c r="B1415">
        <v>55</v>
      </c>
      <c r="C1415" t="s">
        <v>1269</v>
      </c>
      <c r="D1415" t="s">
        <v>48</v>
      </c>
      <c r="E1415">
        <f t="shared" si="22"/>
        <v>0</v>
      </c>
      <c r="F1415" t="s">
        <v>58</v>
      </c>
      <c r="G1415">
        <v>177</v>
      </c>
      <c r="H1415" t="s">
        <v>41</v>
      </c>
      <c r="I1415">
        <v>8</v>
      </c>
      <c r="J1415">
        <v>1</v>
      </c>
      <c r="K1415" t="s">
        <v>51</v>
      </c>
      <c r="L1415">
        <v>1</v>
      </c>
      <c r="M1415">
        <v>1278</v>
      </c>
      <c r="N1415">
        <v>4</v>
      </c>
      <c r="O1415" t="s">
        <v>43</v>
      </c>
      <c r="P1415">
        <v>37</v>
      </c>
      <c r="Q1415">
        <v>2</v>
      </c>
      <c r="R1415">
        <v>4</v>
      </c>
      <c r="S1415" t="s">
        <v>160</v>
      </c>
      <c r="T1415">
        <v>2</v>
      </c>
      <c r="U1415" t="s">
        <v>101</v>
      </c>
      <c r="V1415">
        <v>13577</v>
      </c>
      <c r="W1415" t="s">
        <v>252</v>
      </c>
      <c r="X1415">
        <v>25592</v>
      </c>
      <c r="Y1415">
        <v>1</v>
      </c>
      <c r="Z1415" t="s">
        <v>47</v>
      </c>
      <c r="AA1415" t="s">
        <v>39</v>
      </c>
      <c r="AB1415">
        <v>15</v>
      </c>
      <c r="AC1415">
        <v>3</v>
      </c>
      <c r="AD1415">
        <v>4</v>
      </c>
      <c r="AE1415">
        <v>80</v>
      </c>
      <c r="AF1415">
        <v>1</v>
      </c>
      <c r="AG1415">
        <v>34</v>
      </c>
      <c r="AH1415">
        <v>3</v>
      </c>
      <c r="AI1415">
        <v>3</v>
      </c>
      <c r="AJ1415">
        <v>33</v>
      </c>
      <c r="AK1415">
        <v>9</v>
      </c>
      <c r="AL1415">
        <v>15</v>
      </c>
    </row>
    <row r="1416" spans="1:38" x14ac:dyDescent="0.3">
      <c r="A1416" t="s">
        <v>1486</v>
      </c>
      <c r="B1416">
        <v>55</v>
      </c>
      <c r="C1416" t="s">
        <v>1269</v>
      </c>
      <c r="D1416" t="s">
        <v>48</v>
      </c>
      <c r="E1416">
        <f t="shared" si="22"/>
        <v>0</v>
      </c>
      <c r="F1416" t="s">
        <v>40</v>
      </c>
      <c r="G1416">
        <v>282</v>
      </c>
      <c r="H1416" t="s">
        <v>41</v>
      </c>
      <c r="I1416">
        <v>2</v>
      </c>
      <c r="J1416">
        <v>2</v>
      </c>
      <c r="K1416" t="s">
        <v>51</v>
      </c>
      <c r="L1416">
        <v>1</v>
      </c>
      <c r="M1416">
        <v>1336</v>
      </c>
      <c r="N1416">
        <v>4</v>
      </c>
      <c r="O1416" t="s">
        <v>52</v>
      </c>
      <c r="P1416">
        <v>58</v>
      </c>
      <c r="Q1416">
        <v>1</v>
      </c>
      <c r="R1416">
        <v>5</v>
      </c>
      <c r="S1416" t="s">
        <v>440</v>
      </c>
      <c r="T1416">
        <v>3</v>
      </c>
      <c r="U1416" t="s">
        <v>104</v>
      </c>
      <c r="V1416">
        <v>19187</v>
      </c>
      <c r="W1416" t="s">
        <v>366</v>
      </c>
      <c r="X1416">
        <v>6992</v>
      </c>
      <c r="Y1416">
        <v>4</v>
      </c>
      <c r="Z1416" t="s">
        <v>47</v>
      </c>
      <c r="AA1416" t="s">
        <v>48</v>
      </c>
      <c r="AB1416">
        <v>14</v>
      </c>
      <c r="AC1416">
        <v>3</v>
      </c>
      <c r="AD1416">
        <v>4</v>
      </c>
      <c r="AE1416">
        <v>80</v>
      </c>
      <c r="AF1416">
        <v>1</v>
      </c>
      <c r="AG1416">
        <v>23</v>
      </c>
      <c r="AH1416">
        <v>5</v>
      </c>
      <c r="AI1416">
        <v>3</v>
      </c>
      <c r="AJ1416">
        <v>19</v>
      </c>
      <c r="AK1416">
        <v>9</v>
      </c>
      <c r="AL1416">
        <v>9</v>
      </c>
    </row>
    <row r="1417" spans="1:38" x14ac:dyDescent="0.3">
      <c r="A1417" t="s">
        <v>1487</v>
      </c>
      <c r="B1417">
        <v>55</v>
      </c>
      <c r="C1417" t="s">
        <v>1269</v>
      </c>
      <c r="D1417" t="s">
        <v>39</v>
      </c>
      <c r="E1417">
        <f t="shared" si="22"/>
        <v>1</v>
      </c>
      <c r="F1417" t="s">
        <v>40</v>
      </c>
      <c r="G1417">
        <v>267</v>
      </c>
      <c r="H1417" t="s">
        <v>50</v>
      </c>
      <c r="I1417">
        <v>13</v>
      </c>
      <c r="J1417">
        <v>4</v>
      </c>
      <c r="K1417" t="s">
        <v>56</v>
      </c>
      <c r="L1417">
        <v>1</v>
      </c>
      <c r="M1417">
        <v>1372</v>
      </c>
      <c r="N1417">
        <v>1</v>
      </c>
      <c r="O1417" t="s">
        <v>43</v>
      </c>
      <c r="P1417">
        <v>85</v>
      </c>
      <c r="Q1417">
        <v>4</v>
      </c>
      <c r="R1417">
        <v>4</v>
      </c>
      <c r="S1417" t="s">
        <v>136</v>
      </c>
      <c r="T1417">
        <v>3</v>
      </c>
      <c r="U1417" t="s">
        <v>45</v>
      </c>
      <c r="V1417">
        <v>13695</v>
      </c>
      <c r="W1417" t="s">
        <v>252</v>
      </c>
      <c r="X1417">
        <v>9277</v>
      </c>
      <c r="Y1417">
        <v>6</v>
      </c>
      <c r="Z1417" t="s">
        <v>47</v>
      </c>
      <c r="AA1417" t="s">
        <v>39</v>
      </c>
      <c r="AB1417">
        <v>17</v>
      </c>
      <c r="AC1417">
        <v>3</v>
      </c>
      <c r="AD1417">
        <v>3</v>
      </c>
      <c r="AE1417">
        <v>80</v>
      </c>
      <c r="AF1417">
        <v>0</v>
      </c>
      <c r="AG1417">
        <v>24</v>
      </c>
      <c r="AH1417">
        <v>2</v>
      </c>
      <c r="AI1417">
        <v>2</v>
      </c>
      <c r="AJ1417">
        <v>19</v>
      </c>
      <c r="AK1417">
        <v>7</v>
      </c>
      <c r="AL1417">
        <v>3</v>
      </c>
    </row>
    <row r="1418" spans="1:38" x14ac:dyDescent="0.3">
      <c r="A1418" t="s">
        <v>1488</v>
      </c>
      <c r="B1418">
        <v>55</v>
      </c>
      <c r="C1418" t="s">
        <v>1269</v>
      </c>
      <c r="D1418" t="s">
        <v>48</v>
      </c>
      <c r="E1418">
        <f t="shared" si="22"/>
        <v>0</v>
      </c>
      <c r="F1418" t="s">
        <v>40</v>
      </c>
      <c r="G1418">
        <v>1136</v>
      </c>
      <c r="H1418" t="s">
        <v>41</v>
      </c>
      <c r="I1418">
        <v>1</v>
      </c>
      <c r="J1418">
        <v>4</v>
      </c>
      <c r="K1418" t="s">
        <v>51</v>
      </c>
      <c r="L1418">
        <v>1</v>
      </c>
      <c r="M1418">
        <v>1424</v>
      </c>
      <c r="N1418">
        <v>2</v>
      </c>
      <c r="O1418" t="s">
        <v>43</v>
      </c>
      <c r="P1418">
        <v>81</v>
      </c>
      <c r="Q1418">
        <v>4</v>
      </c>
      <c r="R1418">
        <v>4</v>
      </c>
      <c r="S1418" t="s">
        <v>251</v>
      </c>
      <c r="T1418">
        <v>4</v>
      </c>
      <c r="U1418" t="s">
        <v>101</v>
      </c>
      <c r="V1418">
        <v>14732</v>
      </c>
      <c r="W1418" t="s">
        <v>252</v>
      </c>
      <c r="X1418">
        <v>12414</v>
      </c>
      <c r="Y1418">
        <v>2</v>
      </c>
      <c r="Z1418" t="s">
        <v>47</v>
      </c>
      <c r="AA1418" t="s">
        <v>48</v>
      </c>
      <c r="AB1418">
        <v>13</v>
      </c>
      <c r="AC1418">
        <v>3</v>
      </c>
      <c r="AD1418">
        <v>4</v>
      </c>
      <c r="AE1418">
        <v>80</v>
      </c>
      <c r="AF1418">
        <v>2</v>
      </c>
      <c r="AG1418">
        <v>31</v>
      </c>
      <c r="AH1418">
        <v>4</v>
      </c>
      <c r="AI1418">
        <v>4</v>
      </c>
      <c r="AJ1418">
        <v>7</v>
      </c>
      <c r="AK1418">
        <v>7</v>
      </c>
      <c r="AL1418">
        <v>0</v>
      </c>
    </row>
    <row r="1419" spans="1:38" x14ac:dyDescent="0.3">
      <c r="A1419" t="s">
        <v>1489</v>
      </c>
      <c r="B1419">
        <v>55</v>
      </c>
      <c r="C1419" t="s">
        <v>1269</v>
      </c>
      <c r="D1419" t="s">
        <v>48</v>
      </c>
      <c r="E1419">
        <f t="shared" si="22"/>
        <v>0</v>
      </c>
      <c r="F1419" t="s">
        <v>40</v>
      </c>
      <c r="G1419">
        <v>1229</v>
      </c>
      <c r="H1419" t="s">
        <v>41</v>
      </c>
      <c r="I1419">
        <v>4</v>
      </c>
      <c r="J1419">
        <v>4</v>
      </c>
      <c r="K1419" t="s">
        <v>42</v>
      </c>
      <c r="L1419">
        <v>1</v>
      </c>
      <c r="M1419">
        <v>1501</v>
      </c>
      <c r="N1419">
        <v>4</v>
      </c>
      <c r="O1419" t="s">
        <v>43</v>
      </c>
      <c r="P1419">
        <v>30</v>
      </c>
      <c r="Q1419">
        <v>3</v>
      </c>
      <c r="R1419">
        <v>2</v>
      </c>
      <c r="S1419" t="s">
        <v>160</v>
      </c>
      <c r="T1419">
        <v>3</v>
      </c>
      <c r="U1419" t="s">
        <v>104</v>
      </c>
      <c r="V1419">
        <v>4035</v>
      </c>
      <c r="W1419" t="s">
        <v>46</v>
      </c>
      <c r="X1419">
        <v>16143</v>
      </c>
      <c r="Y1419">
        <v>0</v>
      </c>
      <c r="Z1419" t="s">
        <v>47</v>
      </c>
      <c r="AA1419" t="s">
        <v>39</v>
      </c>
      <c r="AB1419">
        <v>16</v>
      </c>
      <c r="AC1419">
        <v>3</v>
      </c>
      <c r="AD1419">
        <v>2</v>
      </c>
      <c r="AE1419">
        <v>80</v>
      </c>
      <c r="AF1419">
        <v>0</v>
      </c>
      <c r="AG1419">
        <v>4</v>
      </c>
      <c r="AH1419">
        <v>2</v>
      </c>
      <c r="AI1419">
        <v>3</v>
      </c>
      <c r="AJ1419">
        <v>3</v>
      </c>
      <c r="AK1419">
        <v>2</v>
      </c>
      <c r="AL1419">
        <v>1</v>
      </c>
    </row>
    <row r="1420" spans="1:38" x14ac:dyDescent="0.3">
      <c r="A1420" t="s">
        <v>1490</v>
      </c>
      <c r="B1420">
        <v>55</v>
      </c>
      <c r="C1420" t="s">
        <v>1269</v>
      </c>
      <c r="D1420" t="s">
        <v>48</v>
      </c>
      <c r="E1420">
        <f t="shared" si="22"/>
        <v>0</v>
      </c>
      <c r="F1420" t="s">
        <v>40</v>
      </c>
      <c r="G1420">
        <v>685</v>
      </c>
      <c r="H1420" t="s">
        <v>50</v>
      </c>
      <c r="I1420">
        <v>26</v>
      </c>
      <c r="J1420">
        <v>5</v>
      </c>
      <c r="K1420" t="s">
        <v>56</v>
      </c>
      <c r="L1420">
        <v>1</v>
      </c>
      <c r="M1420">
        <v>1578</v>
      </c>
      <c r="N1420">
        <v>3</v>
      </c>
      <c r="O1420" t="s">
        <v>43</v>
      </c>
      <c r="P1420">
        <v>60</v>
      </c>
      <c r="Q1420">
        <v>2</v>
      </c>
      <c r="R1420">
        <v>5</v>
      </c>
      <c r="S1420" t="s">
        <v>440</v>
      </c>
      <c r="T1420">
        <v>4</v>
      </c>
      <c r="U1420" t="s">
        <v>104</v>
      </c>
      <c r="V1420">
        <v>19586</v>
      </c>
      <c r="W1420" t="s">
        <v>366</v>
      </c>
      <c r="X1420">
        <v>23037</v>
      </c>
      <c r="Y1420">
        <v>1</v>
      </c>
      <c r="Z1420" t="s">
        <v>47</v>
      </c>
      <c r="AA1420" t="s">
        <v>48</v>
      </c>
      <c r="AB1420">
        <v>21</v>
      </c>
      <c r="AC1420">
        <v>4</v>
      </c>
      <c r="AD1420">
        <v>3</v>
      </c>
      <c r="AE1420">
        <v>80</v>
      </c>
      <c r="AF1420">
        <v>1</v>
      </c>
      <c r="AG1420">
        <v>36</v>
      </c>
      <c r="AH1420">
        <v>3</v>
      </c>
      <c r="AI1420">
        <v>3</v>
      </c>
      <c r="AJ1420">
        <v>36</v>
      </c>
      <c r="AK1420">
        <v>6</v>
      </c>
      <c r="AL1420">
        <v>2</v>
      </c>
    </row>
    <row r="1421" spans="1:38" x14ac:dyDescent="0.3">
      <c r="A1421" t="s">
        <v>1491</v>
      </c>
      <c r="B1421">
        <v>55</v>
      </c>
      <c r="C1421" t="s">
        <v>1269</v>
      </c>
      <c r="D1421" t="s">
        <v>48</v>
      </c>
      <c r="E1421">
        <f t="shared" si="22"/>
        <v>0</v>
      </c>
      <c r="F1421" t="s">
        <v>40</v>
      </c>
      <c r="G1421">
        <v>1441</v>
      </c>
      <c r="H1421" t="s">
        <v>41</v>
      </c>
      <c r="I1421">
        <v>22</v>
      </c>
      <c r="J1421">
        <v>3</v>
      </c>
      <c r="K1421" t="s">
        <v>67</v>
      </c>
      <c r="L1421">
        <v>1</v>
      </c>
      <c r="M1421">
        <v>1694</v>
      </c>
      <c r="N1421">
        <v>1</v>
      </c>
      <c r="O1421" t="s">
        <v>43</v>
      </c>
      <c r="P1421">
        <v>94</v>
      </c>
      <c r="Q1421">
        <v>2</v>
      </c>
      <c r="R1421">
        <v>1</v>
      </c>
      <c r="S1421" t="s">
        <v>59</v>
      </c>
      <c r="T1421">
        <v>2</v>
      </c>
      <c r="U1421" t="s">
        <v>101</v>
      </c>
      <c r="V1421">
        <v>3537</v>
      </c>
      <c r="W1421" t="s">
        <v>46</v>
      </c>
      <c r="X1421">
        <v>23737</v>
      </c>
      <c r="Y1421">
        <v>5</v>
      </c>
      <c r="Z1421" t="s">
        <v>47</v>
      </c>
      <c r="AA1421" t="s">
        <v>48</v>
      </c>
      <c r="AB1421">
        <v>12</v>
      </c>
      <c r="AC1421">
        <v>3</v>
      </c>
      <c r="AD1421">
        <v>4</v>
      </c>
      <c r="AE1421">
        <v>80</v>
      </c>
      <c r="AF1421">
        <v>1</v>
      </c>
      <c r="AG1421">
        <v>8</v>
      </c>
      <c r="AH1421">
        <v>1</v>
      </c>
      <c r="AI1421">
        <v>3</v>
      </c>
      <c r="AJ1421">
        <v>4</v>
      </c>
      <c r="AK1421">
        <v>2</v>
      </c>
      <c r="AL1421">
        <v>1</v>
      </c>
    </row>
    <row r="1422" spans="1:38" x14ac:dyDescent="0.3">
      <c r="A1422" t="s">
        <v>1492</v>
      </c>
      <c r="B1422">
        <v>55</v>
      </c>
      <c r="C1422" t="s">
        <v>1269</v>
      </c>
      <c r="D1422" t="s">
        <v>48</v>
      </c>
      <c r="E1422">
        <f t="shared" si="22"/>
        <v>0</v>
      </c>
      <c r="F1422" t="s">
        <v>40</v>
      </c>
      <c r="G1422">
        <v>478</v>
      </c>
      <c r="H1422" t="s">
        <v>41</v>
      </c>
      <c r="I1422">
        <v>2</v>
      </c>
      <c r="J1422">
        <v>3</v>
      </c>
      <c r="K1422" t="s">
        <v>51</v>
      </c>
      <c r="L1422">
        <v>1</v>
      </c>
      <c r="M1422">
        <v>1770</v>
      </c>
      <c r="N1422">
        <v>3</v>
      </c>
      <c r="O1422" t="s">
        <v>43</v>
      </c>
      <c r="P1422">
        <v>60</v>
      </c>
      <c r="Q1422">
        <v>2</v>
      </c>
      <c r="R1422">
        <v>5</v>
      </c>
      <c r="S1422" t="s">
        <v>251</v>
      </c>
      <c r="T1422">
        <v>1</v>
      </c>
      <c r="U1422" t="s">
        <v>104</v>
      </c>
      <c r="V1422">
        <v>19038</v>
      </c>
      <c r="W1422" t="s">
        <v>366</v>
      </c>
      <c r="X1422">
        <v>19805</v>
      </c>
      <c r="Y1422">
        <v>8</v>
      </c>
      <c r="Z1422" t="s">
        <v>47</v>
      </c>
      <c r="AA1422" t="s">
        <v>48</v>
      </c>
      <c r="AB1422">
        <v>12</v>
      </c>
      <c r="AC1422">
        <v>3</v>
      </c>
      <c r="AD1422">
        <v>2</v>
      </c>
      <c r="AE1422">
        <v>80</v>
      </c>
      <c r="AF1422">
        <v>3</v>
      </c>
      <c r="AG1422">
        <v>34</v>
      </c>
      <c r="AH1422">
        <v>2</v>
      </c>
      <c r="AI1422">
        <v>3</v>
      </c>
      <c r="AJ1422">
        <v>1</v>
      </c>
      <c r="AK1422">
        <v>0</v>
      </c>
      <c r="AL1422">
        <v>0</v>
      </c>
    </row>
    <row r="1423" spans="1:38" x14ac:dyDescent="0.3">
      <c r="A1423" t="s">
        <v>1493</v>
      </c>
      <c r="B1423">
        <v>55</v>
      </c>
      <c r="C1423" t="s">
        <v>1269</v>
      </c>
      <c r="D1423" t="s">
        <v>48</v>
      </c>
      <c r="E1423">
        <f t="shared" si="22"/>
        <v>0</v>
      </c>
      <c r="F1423" t="s">
        <v>40</v>
      </c>
      <c r="G1423">
        <v>836</v>
      </c>
      <c r="H1423" t="s">
        <v>41</v>
      </c>
      <c r="I1423">
        <v>2</v>
      </c>
      <c r="J1423">
        <v>4</v>
      </c>
      <c r="K1423" t="s">
        <v>67</v>
      </c>
      <c r="L1423">
        <v>1</v>
      </c>
      <c r="M1423">
        <v>1873</v>
      </c>
      <c r="N1423">
        <v>2</v>
      </c>
      <c r="O1423" t="s">
        <v>43</v>
      </c>
      <c r="P1423">
        <v>98</v>
      </c>
      <c r="Q1423">
        <v>2</v>
      </c>
      <c r="R1423">
        <v>1</v>
      </c>
      <c r="S1423" t="s">
        <v>59</v>
      </c>
      <c r="T1423">
        <v>4</v>
      </c>
      <c r="U1423" t="s">
        <v>104</v>
      </c>
      <c r="V1423">
        <v>2662</v>
      </c>
      <c r="W1423" t="s">
        <v>46</v>
      </c>
      <c r="X1423">
        <v>7975</v>
      </c>
      <c r="Y1423">
        <v>8</v>
      </c>
      <c r="Z1423" t="s">
        <v>47</v>
      </c>
      <c r="AA1423" t="s">
        <v>48</v>
      </c>
      <c r="AB1423">
        <v>20</v>
      </c>
      <c r="AC1423">
        <v>4</v>
      </c>
      <c r="AD1423">
        <v>2</v>
      </c>
      <c r="AE1423">
        <v>80</v>
      </c>
      <c r="AF1423">
        <v>1</v>
      </c>
      <c r="AG1423">
        <v>19</v>
      </c>
      <c r="AH1423">
        <v>2</v>
      </c>
      <c r="AI1423">
        <v>4</v>
      </c>
      <c r="AJ1423">
        <v>5</v>
      </c>
      <c r="AK1423">
        <v>2</v>
      </c>
      <c r="AL1423">
        <v>0</v>
      </c>
    </row>
    <row r="1424" spans="1:38" x14ac:dyDescent="0.3">
      <c r="A1424" t="s">
        <v>1494</v>
      </c>
      <c r="B1424">
        <v>55</v>
      </c>
      <c r="C1424" t="s">
        <v>1269</v>
      </c>
      <c r="D1424" t="s">
        <v>48</v>
      </c>
      <c r="E1424">
        <f t="shared" si="22"/>
        <v>0</v>
      </c>
      <c r="F1424" t="s">
        <v>40</v>
      </c>
      <c r="G1424">
        <v>189</v>
      </c>
      <c r="H1424" t="s">
        <v>70</v>
      </c>
      <c r="I1424">
        <v>26</v>
      </c>
      <c r="J1424">
        <v>4</v>
      </c>
      <c r="K1424" t="s">
        <v>70</v>
      </c>
      <c r="L1424">
        <v>1</v>
      </c>
      <c r="M1424">
        <v>1973</v>
      </c>
      <c r="N1424">
        <v>3</v>
      </c>
      <c r="O1424" t="s">
        <v>43</v>
      </c>
      <c r="P1424">
        <v>71</v>
      </c>
      <c r="Q1424">
        <v>4</v>
      </c>
      <c r="R1424">
        <v>5</v>
      </c>
      <c r="S1424" t="s">
        <v>440</v>
      </c>
      <c r="T1424">
        <v>2</v>
      </c>
      <c r="U1424" t="s">
        <v>104</v>
      </c>
      <c r="V1424">
        <v>19636</v>
      </c>
      <c r="W1424" t="s">
        <v>366</v>
      </c>
      <c r="X1424">
        <v>25811</v>
      </c>
      <c r="Y1424">
        <v>4</v>
      </c>
      <c r="Z1424" t="s">
        <v>47</v>
      </c>
      <c r="AA1424" t="s">
        <v>39</v>
      </c>
      <c r="AB1424">
        <v>18</v>
      </c>
      <c r="AC1424">
        <v>3</v>
      </c>
      <c r="AD1424">
        <v>1</v>
      </c>
      <c r="AE1424">
        <v>80</v>
      </c>
      <c r="AF1424">
        <v>1</v>
      </c>
      <c r="AG1424">
        <v>35</v>
      </c>
      <c r="AH1424">
        <v>0</v>
      </c>
      <c r="AI1424">
        <v>3</v>
      </c>
      <c r="AJ1424">
        <v>10</v>
      </c>
      <c r="AK1424">
        <v>9</v>
      </c>
      <c r="AL1424">
        <v>1</v>
      </c>
    </row>
    <row r="1425" spans="1:38" x14ac:dyDescent="0.3">
      <c r="A1425" t="s">
        <v>1495</v>
      </c>
      <c r="B1425">
        <v>56</v>
      </c>
      <c r="C1425" t="s">
        <v>1496</v>
      </c>
      <c r="D1425" t="s">
        <v>48</v>
      </c>
      <c r="E1425">
        <f t="shared" si="22"/>
        <v>0</v>
      </c>
      <c r="F1425" t="s">
        <v>40</v>
      </c>
      <c r="G1425">
        <v>1400</v>
      </c>
      <c r="H1425" t="s">
        <v>41</v>
      </c>
      <c r="I1425">
        <v>7</v>
      </c>
      <c r="J1425">
        <v>3</v>
      </c>
      <c r="K1425" t="s">
        <v>42</v>
      </c>
      <c r="L1425">
        <v>1</v>
      </c>
      <c r="M1425">
        <v>112</v>
      </c>
      <c r="N1425">
        <v>4</v>
      </c>
      <c r="O1425" t="s">
        <v>43</v>
      </c>
      <c r="P1425">
        <v>49</v>
      </c>
      <c r="Q1425">
        <v>1</v>
      </c>
      <c r="R1425">
        <v>3</v>
      </c>
      <c r="S1425" t="s">
        <v>111</v>
      </c>
      <c r="T1425">
        <v>4</v>
      </c>
      <c r="U1425" t="s">
        <v>45</v>
      </c>
      <c r="V1425">
        <v>7260</v>
      </c>
      <c r="W1425" t="s">
        <v>162</v>
      </c>
      <c r="X1425">
        <v>21698</v>
      </c>
      <c r="Y1425">
        <v>4</v>
      </c>
      <c r="Z1425" t="s">
        <v>47</v>
      </c>
      <c r="AA1425" t="s">
        <v>48</v>
      </c>
      <c r="AB1425">
        <v>11</v>
      </c>
      <c r="AC1425">
        <v>3</v>
      </c>
      <c r="AD1425">
        <v>1</v>
      </c>
      <c r="AE1425">
        <v>80</v>
      </c>
      <c r="AF1425">
        <v>0</v>
      </c>
      <c r="AG1425">
        <v>37</v>
      </c>
      <c r="AH1425">
        <v>3</v>
      </c>
      <c r="AI1425">
        <v>2</v>
      </c>
      <c r="AJ1425">
        <v>6</v>
      </c>
      <c r="AK1425">
        <v>4</v>
      </c>
      <c r="AL1425">
        <v>0</v>
      </c>
    </row>
    <row r="1426" spans="1:38" x14ac:dyDescent="0.3">
      <c r="A1426" t="s">
        <v>1497</v>
      </c>
      <c r="B1426">
        <v>56</v>
      </c>
      <c r="C1426" t="s">
        <v>1496</v>
      </c>
      <c r="D1426" t="s">
        <v>39</v>
      </c>
      <c r="E1426">
        <f t="shared" si="22"/>
        <v>1</v>
      </c>
      <c r="F1426" t="s">
        <v>40</v>
      </c>
      <c r="G1426">
        <v>441</v>
      </c>
      <c r="H1426" t="s">
        <v>41</v>
      </c>
      <c r="I1426">
        <v>14</v>
      </c>
      <c r="J1426">
        <v>4</v>
      </c>
      <c r="K1426" t="s">
        <v>42</v>
      </c>
      <c r="L1426">
        <v>1</v>
      </c>
      <c r="M1426">
        <v>161</v>
      </c>
      <c r="N1426">
        <v>2</v>
      </c>
      <c r="O1426" t="s">
        <v>52</v>
      </c>
      <c r="P1426">
        <v>72</v>
      </c>
      <c r="Q1426">
        <v>3</v>
      </c>
      <c r="R1426">
        <v>1</v>
      </c>
      <c r="S1426" t="s">
        <v>59</v>
      </c>
      <c r="T1426">
        <v>2</v>
      </c>
      <c r="U1426" t="s">
        <v>104</v>
      </c>
      <c r="V1426">
        <v>4963</v>
      </c>
      <c r="W1426" t="s">
        <v>46</v>
      </c>
      <c r="X1426">
        <v>4510</v>
      </c>
      <c r="Y1426">
        <v>9</v>
      </c>
      <c r="Z1426" t="s">
        <v>47</v>
      </c>
      <c r="AA1426" t="s">
        <v>39</v>
      </c>
      <c r="AB1426">
        <v>18</v>
      </c>
      <c r="AC1426">
        <v>3</v>
      </c>
      <c r="AD1426">
        <v>1</v>
      </c>
      <c r="AE1426">
        <v>80</v>
      </c>
      <c r="AF1426">
        <v>3</v>
      </c>
      <c r="AG1426">
        <v>7</v>
      </c>
      <c r="AH1426">
        <v>2</v>
      </c>
      <c r="AI1426">
        <v>3</v>
      </c>
      <c r="AJ1426">
        <v>5</v>
      </c>
      <c r="AK1426">
        <v>4</v>
      </c>
      <c r="AL1426">
        <v>4</v>
      </c>
    </row>
    <row r="1427" spans="1:38" x14ac:dyDescent="0.3">
      <c r="A1427" t="s">
        <v>1498</v>
      </c>
      <c r="B1427">
        <v>56</v>
      </c>
      <c r="C1427" t="s">
        <v>1496</v>
      </c>
      <c r="D1427" t="s">
        <v>48</v>
      </c>
      <c r="E1427">
        <f t="shared" si="22"/>
        <v>0</v>
      </c>
      <c r="F1427" t="s">
        <v>40</v>
      </c>
      <c r="G1427">
        <v>713</v>
      </c>
      <c r="H1427" t="s">
        <v>41</v>
      </c>
      <c r="I1427">
        <v>8</v>
      </c>
      <c r="J1427">
        <v>3</v>
      </c>
      <c r="K1427" t="s">
        <v>42</v>
      </c>
      <c r="L1427">
        <v>1</v>
      </c>
      <c r="M1427">
        <v>241</v>
      </c>
      <c r="N1427">
        <v>3</v>
      </c>
      <c r="O1427" t="s">
        <v>52</v>
      </c>
      <c r="P1427">
        <v>67</v>
      </c>
      <c r="Q1427">
        <v>3</v>
      </c>
      <c r="R1427">
        <v>1</v>
      </c>
      <c r="S1427" t="s">
        <v>59</v>
      </c>
      <c r="T1427">
        <v>1</v>
      </c>
      <c r="U1427" t="s">
        <v>101</v>
      </c>
      <c r="V1427">
        <v>4257</v>
      </c>
      <c r="W1427" t="s">
        <v>46</v>
      </c>
      <c r="X1427">
        <v>13939</v>
      </c>
      <c r="Y1427">
        <v>4</v>
      </c>
      <c r="Z1427" t="s">
        <v>47</v>
      </c>
      <c r="AA1427" t="s">
        <v>39</v>
      </c>
      <c r="AB1427">
        <v>18</v>
      </c>
      <c r="AC1427">
        <v>3</v>
      </c>
      <c r="AD1427">
        <v>3</v>
      </c>
      <c r="AE1427">
        <v>80</v>
      </c>
      <c r="AF1427">
        <v>1</v>
      </c>
      <c r="AG1427">
        <v>19</v>
      </c>
      <c r="AH1427">
        <v>3</v>
      </c>
      <c r="AI1427">
        <v>3</v>
      </c>
      <c r="AJ1427">
        <v>2</v>
      </c>
      <c r="AK1427">
        <v>2</v>
      </c>
      <c r="AL1427">
        <v>2</v>
      </c>
    </row>
    <row r="1428" spans="1:38" x14ac:dyDescent="0.3">
      <c r="A1428" t="s">
        <v>1499</v>
      </c>
      <c r="B1428">
        <v>56</v>
      </c>
      <c r="C1428" t="s">
        <v>1496</v>
      </c>
      <c r="D1428" t="s">
        <v>48</v>
      </c>
      <c r="E1428">
        <f t="shared" si="22"/>
        <v>0</v>
      </c>
      <c r="F1428" t="s">
        <v>55</v>
      </c>
      <c r="G1428">
        <v>906</v>
      </c>
      <c r="H1428" t="s">
        <v>50</v>
      </c>
      <c r="I1428">
        <v>6</v>
      </c>
      <c r="J1428">
        <v>3</v>
      </c>
      <c r="K1428" t="s">
        <v>42</v>
      </c>
      <c r="L1428">
        <v>1</v>
      </c>
      <c r="M1428">
        <v>532</v>
      </c>
      <c r="N1428">
        <v>3</v>
      </c>
      <c r="O1428" t="s">
        <v>52</v>
      </c>
      <c r="P1428">
        <v>86</v>
      </c>
      <c r="Q1428">
        <v>4</v>
      </c>
      <c r="R1428">
        <v>4</v>
      </c>
      <c r="S1428" t="s">
        <v>136</v>
      </c>
      <c r="T1428">
        <v>1</v>
      </c>
      <c r="U1428" t="s">
        <v>104</v>
      </c>
      <c r="V1428">
        <v>13212</v>
      </c>
      <c r="W1428" t="s">
        <v>252</v>
      </c>
      <c r="X1428">
        <v>18256</v>
      </c>
      <c r="Y1428">
        <v>9</v>
      </c>
      <c r="Z1428" t="s">
        <v>47</v>
      </c>
      <c r="AA1428" t="s">
        <v>48</v>
      </c>
      <c r="AB1428">
        <v>11</v>
      </c>
      <c r="AC1428">
        <v>3</v>
      </c>
      <c r="AD1428">
        <v>4</v>
      </c>
      <c r="AE1428">
        <v>80</v>
      </c>
      <c r="AF1428">
        <v>3</v>
      </c>
      <c r="AG1428">
        <v>36</v>
      </c>
      <c r="AH1428">
        <v>0</v>
      </c>
      <c r="AI1428">
        <v>2</v>
      </c>
      <c r="AJ1428">
        <v>7</v>
      </c>
      <c r="AK1428">
        <v>7</v>
      </c>
      <c r="AL1428">
        <v>7</v>
      </c>
    </row>
    <row r="1429" spans="1:38" x14ac:dyDescent="0.3">
      <c r="A1429" t="s">
        <v>1500</v>
      </c>
      <c r="B1429">
        <v>56</v>
      </c>
      <c r="C1429" t="s">
        <v>1496</v>
      </c>
      <c r="D1429" t="s">
        <v>48</v>
      </c>
      <c r="E1429">
        <f t="shared" si="22"/>
        <v>0</v>
      </c>
      <c r="F1429" t="s">
        <v>40</v>
      </c>
      <c r="G1429">
        <v>832</v>
      </c>
      <c r="H1429" t="s">
        <v>41</v>
      </c>
      <c r="I1429">
        <v>9</v>
      </c>
      <c r="J1429">
        <v>3</v>
      </c>
      <c r="K1429" t="s">
        <v>51</v>
      </c>
      <c r="L1429">
        <v>1</v>
      </c>
      <c r="M1429">
        <v>762</v>
      </c>
      <c r="N1429">
        <v>3</v>
      </c>
      <c r="O1429" t="s">
        <v>43</v>
      </c>
      <c r="P1429">
        <v>81</v>
      </c>
      <c r="Q1429">
        <v>3</v>
      </c>
      <c r="R1429">
        <v>4</v>
      </c>
      <c r="S1429" t="s">
        <v>160</v>
      </c>
      <c r="T1429">
        <v>4</v>
      </c>
      <c r="U1429" t="s">
        <v>104</v>
      </c>
      <c r="V1429">
        <v>11103</v>
      </c>
      <c r="W1429" t="s">
        <v>252</v>
      </c>
      <c r="X1429">
        <v>20420</v>
      </c>
      <c r="Y1429">
        <v>7</v>
      </c>
      <c r="Z1429" t="s">
        <v>47</v>
      </c>
      <c r="AA1429" t="s">
        <v>48</v>
      </c>
      <c r="AB1429">
        <v>11</v>
      </c>
      <c r="AC1429">
        <v>3</v>
      </c>
      <c r="AD1429">
        <v>3</v>
      </c>
      <c r="AE1429">
        <v>80</v>
      </c>
      <c r="AF1429">
        <v>0</v>
      </c>
      <c r="AG1429">
        <v>30</v>
      </c>
      <c r="AH1429">
        <v>1</v>
      </c>
      <c r="AI1429">
        <v>2</v>
      </c>
      <c r="AJ1429">
        <v>10</v>
      </c>
      <c r="AK1429">
        <v>7</v>
      </c>
      <c r="AL1429">
        <v>1</v>
      </c>
    </row>
    <row r="1430" spans="1:38" x14ac:dyDescent="0.3">
      <c r="A1430" t="s">
        <v>1501</v>
      </c>
      <c r="B1430">
        <v>56</v>
      </c>
      <c r="C1430" t="s">
        <v>1496</v>
      </c>
      <c r="D1430" t="s">
        <v>48</v>
      </c>
      <c r="E1430">
        <f t="shared" si="22"/>
        <v>0</v>
      </c>
      <c r="F1430" t="s">
        <v>55</v>
      </c>
      <c r="G1430">
        <v>1240</v>
      </c>
      <c r="H1430" t="s">
        <v>41</v>
      </c>
      <c r="I1430">
        <v>9</v>
      </c>
      <c r="J1430">
        <v>3</v>
      </c>
      <c r="K1430" t="s">
        <v>51</v>
      </c>
      <c r="L1430">
        <v>1</v>
      </c>
      <c r="M1430">
        <v>1071</v>
      </c>
      <c r="N1430">
        <v>1</v>
      </c>
      <c r="O1430" t="s">
        <v>52</v>
      </c>
      <c r="P1430">
        <v>63</v>
      </c>
      <c r="Q1430">
        <v>3</v>
      </c>
      <c r="R1430">
        <v>1</v>
      </c>
      <c r="S1430" t="s">
        <v>59</v>
      </c>
      <c r="T1430">
        <v>3</v>
      </c>
      <c r="U1430" t="s">
        <v>104</v>
      </c>
      <c r="V1430">
        <v>2942</v>
      </c>
      <c r="W1430" t="s">
        <v>46</v>
      </c>
      <c r="X1430">
        <v>12154</v>
      </c>
      <c r="Y1430">
        <v>2</v>
      </c>
      <c r="Z1430" t="s">
        <v>47</v>
      </c>
      <c r="AA1430" t="s">
        <v>48</v>
      </c>
      <c r="AB1430">
        <v>19</v>
      </c>
      <c r="AC1430">
        <v>3</v>
      </c>
      <c r="AD1430">
        <v>2</v>
      </c>
      <c r="AE1430">
        <v>80</v>
      </c>
      <c r="AF1430">
        <v>1</v>
      </c>
      <c r="AG1430">
        <v>18</v>
      </c>
      <c r="AH1430">
        <v>4</v>
      </c>
      <c r="AI1430">
        <v>3</v>
      </c>
      <c r="AJ1430">
        <v>5</v>
      </c>
      <c r="AK1430">
        <v>4</v>
      </c>
      <c r="AL1430">
        <v>0</v>
      </c>
    </row>
    <row r="1431" spans="1:38" x14ac:dyDescent="0.3">
      <c r="A1431" t="s">
        <v>1502</v>
      </c>
      <c r="B1431">
        <v>56</v>
      </c>
      <c r="C1431" t="s">
        <v>1496</v>
      </c>
      <c r="D1431" t="s">
        <v>48</v>
      </c>
      <c r="E1431">
        <f t="shared" si="22"/>
        <v>0</v>
      </c>
      <c r="F1431" t="s">
        <v>40</v>
      </c>
      <c r="G1431">
        <v>718</v>
      </c>
      <c r="H1431" t="s">
        <v>41</v>
      </c>
      <c r="I1431">
        <v>4</v>
      </c>
      <c r="J1431">
        <v>4</v>
      </c>
      <c r="K1431" t="s">
        <v>67</v>
      </c>
      <c r="L1431">
        <v>1</v>
      </c>
      <c r="M1431">
        <v>1191</v>
      </c>
      <c r="N1431">
        <v>4</v>
      </c>
      <c r="O1431" t="s">
        <v>52</v>
      </c>
      <c r="P1431">
        <v>92</v>
      </c>
      <c r="Q1431">
        <v>3</v>
      </c>
      <c r="R1431">
        <v>5</v>
      </c>
      <c r="S1431" t="s">
        <v>440</v>
      </c>
      <c r="T1431">
        <v>1</v>
      </c>
      <c r="U1431" t="s">
        <v>101</v>
      </c>
      <c r="V1431">
        <v>19943</v>
      </c>
      <c r="W1431" t="s">
        <v>366</v>
      </c>
      <c r="X1431">
        <v>18575</v>
      </c>
      <c r="Y1431">
        <v>4</v>
      </c>
      <c r="Z1431" t="s">
        <v>47</v>
      </c>
      <c r="AA1431" t="s">
        <v>48</v>
      </c>
      <c r="AB1431">
        <v>13</v>
      </c>
      <c r="AC1431">
        <v>3</v>
      </c>
      <c r="AD1431">
        <v>4</v>
      </c>
      <c r="AE1431">
        <v>80</v>
      </c>
      <c r="AF1431">
        <v>1</v>
      </c>
      <c r="AG1431">
        <v>28</v>
      </c>
      <c r="AH1431">
        <v>2</v>
      </c>
      <c r="AI1431">
        <v>3</v>
      </c>
      <c r="AJ1431">
        <v>5</v>
      </c>
      <c r="AK1431">
        <v>2</v>
      </c>
      <c r="AL1431">
        <v>4</v>
      </c>
    </row>
    <row r="1432" spans="1:38" x14ac:dyDescent="0.3">
      <c r="A1432" t="s">
        <v>1503</v>
      </c>
      <c r="B1432">
        <v>56</v>
      </c>
      <c r="C1432" t="s">
        <v>1496</v>
      </c>
      <c r="D1432" t="s">
        <v>48</v>
      </c>
      <c r="E1432">
        <f t="shared" si="22"/>
        <v>0</v>
      </c>
      <c r="F1432" t="s">
        <v>40</v>
      </c>
      <c r="G1432">
        <v>206</v>
      </c>
      <c r="H1432" t="s">
        <v>70</v>
      </c>
      <c r="I1432">
        <v>8</v>
      </c>
      <c r="J1432">
        <v>4</v>
      </c>
      <c r="K1432" t="s">
        <v>42</v>
      </c>
      <c r="L1432">
        <v>1</v>
      </c>
      <c r="M1432">
        <v>1338</v>
      </c>
      <c r="N1432">
        <v>4</v>
      </c>
      <c r="O1432" t="s">
        <v>43</v>
      </c>
      <c r="P1432">
        <v>99</v>
      </c>
      <c r="Q1432">
        <v>3</v>
      </c>
      <c r="R1432">
        <v>5</v>
      </c>
      <c r="S1432" t="s">
        <v>440</v>
      </c>
      <c r="T1432">
        <v>2</v>
      </c>
      <c r="U1432" t="s">
        <v>45</v>
      </c>
      <c r="V1432">
        <v>19717</v>
      </c>
      <c r="W1432" t="s">
        <v>366</v>
      </c>
      <c r="X1432">
        <v>4022</v>
      </c>
      <c r="Y1432">
        <v>6</v>
      </c>
      <c r="Z1432" t="s">
        <v>47</v>
      </c>
      <c r="AA1432" t="s">
        <v>48</v>
      </c>
      <c r="AB1432">
        <v>14</v>
      </c>
      <c r="AC1432">
        <v>3</v>
      </c>
      <c r="AD1432">
        <v>1</v>
      </c>
      <c r="AE1432">
        <v>80</v>
      </c>
      <c r="AF1432">
        <v>0</v>
      </c>
      <c r="AG1432">
        <v>36</v>
      </c>
      <c r="AH1432">
        <v>4</v>
      </c>
      <c r="AI1432">
        <v>3</v>
      </c>
      <c r="AJ1432">
        <v>7</v>
      </c>
      <c r="AK1432">
        <v>3</v>
      </c>
      <c r="AL1432">
        <v>7</v>
      </c>
    </row>
    <row r="1433" spans="1:38" x14ac:dyDescent="0.3">
      <c r="A1433" t="s">
        <v>1504</v>
      </c>
      <c r="B1433">
        <v>56</v>
      </c>
      <c r="C1433" t="s">
        <v>1496</v>
      </c>
      <c r="D1433" t="s">
        <v>48</v>
      </c>
      <c r="E1433">
        <f t="shared" si="22"/>
        <v>0</v>
      </c>
      <c r="F1433" t="s">
        <v>40</v>
      </c>
      <c r="G1433">
        <v>1369</v>
      </c>
      <c r="H1433" t="s">
        <v>41</v>
      </c>
      <c r="I1433">
        <v>23</v>
      </c>
      <c r="J1433">
        <v>3</v>
      </c>
      <c r="K1433" t="s">
        <v>42</v>
      </c>
      <c r="L1433">
        <v>1</v>
      </c>
      <c r="M1433">
        <v>1373</v>
      </c>
      <c r="N1433">
        <v>4</v>
      </c>
      <c r="O1433" t="s">
        <v>43</v>
      </c>
      <c r="P1433">
        <v>68</v>
      </c>
      <c r="Q1433">
        <v>3</v>
      </c>
      <c r="R1433">
        <v>4</v>
      </c>
      <c r="S1433" t="s">
        <v>111</v>
      </c>
      <c r="T1433">
        <v>2</v>
      </c>
      <c r="U1433" t="s">
        <v>104</v>
      </c>
      <c r="V1433">
        <v>13402</v>
      </c>
      <c r="W1433" t="s">
        <v>252</v>
      </c>
      <c r="X1433">
        <v>18235</v>
      </c>
      <c r="Y1433">
        <v>4</v>
      </c>
      <c r="Z1433" t="s">
        <v>47</v>
      </c>
      <c r="AA1433" t="s">
        <v>39</v>
      </c>
      <c r="AB1433">
        <v>12</v>
      </c>
      <c r="AC1433">
        <v>3</v>
      </c>
      <c r="AD1433">
        <v>1</v>
      </c>
      <c r="AE1433">
        <v>80</v>
      </c>
      <c r="AF1433">
        <v>1</v>
      </c>
      <c r="AG1433">
        <v>33</v>
      </c>
      <c r="AH1433">
        <v>0</v>
      </c>
      <c r="AI1433">
        <v>3</v>
      </c>
      <c r="AJ1433">
        <v>19</v>
      </c>
      <c r="AK1433">
        <v>16</v>
      </c>
      <c r="AL1433">
        <v>15</v>
      </c>
    </row>
    <row r="1434" spans="1:38" x14ac:dyDescent="0.3">
      <c r="A1434" t="s">
        <v>1505</v>
      </c>
      <c r="B1434">
        <v>56</v>
      </c>
      <c r="C1434" t="s">
        <v>1496</v>
      </c>
      <c r="D1434" t="s">
        <v>48</v>
      </c>
      <c r="E1434">
        <f t="shared" si="22"/>
        <v>0</v>
      </c>
      <c r="F1434" t="s">
        <v>40</v>
      </c>
      <c r="G1434">
        <v>1255</v>
      </c>
      <c r="H1434" t="s">
        <v>41</v>
      </c>
      <c r="I1434">
        <v>1</v>
      </c>
      <c r="J1434">
        <v>2</v>
      </c>
      <c r="K1434" t="s">
        <v>42</v>
      </c>
      <c r="L1434">
        <v>1</v>
      </c>
      <c r="M1434">
        <v>1441</v>
      </c>
      <c r="N1434">
        <v>1</v>
      </c>
      <c r="O1434" t="s">
        <v>52</v>
      </c>
      <c r="P1434">
        <v>90</v>
      </c>
      <c r="Q1434">
        <v>3</v>
      </c>
      <c r="R1434">
        <v>1</v>
      </c>
      <c r="S1434" t="s">
        <v>59</v>
      </c>
      <c r="T1434">
        <v>1</v>
      </c>
      <c r="U1434" t="s">
        <v>104</v>
      </c>
      <c r="V1434">
        <v>2066</v>
      </c>
      <c r="W1434" t="s">
        <v>46</v>
      </c>
      <c r="X1434">
        <v>10494</v>
      </c>
      <c r="Y1434">
        <v>2</v>
      </c>
      <c r="Z1434" t="s">
        <v>47</v>
      </c>
      <c r="AA1434" t="s">
        <v>48</v>
      </c>
      <c r="AB1434">
        <v>22</v>
      </c>
      <c r="AC1434">
        <v>4</v>
      </c>
      <c r="AD1434">
        <v>4</v>
      </c>
      <c r="AE1434">
        <v>80</v>
      </c>
      <c r="AF1434">
        <v>1</v>
      </c>
      <c r="AG1434">
        <v>5</v>
      </c>
      <c r="AH1434">
        <v>3</v>
      </c>
      <c r="AI1434">
        <v>4</v>
      </c>
      <c r="AJ1434">
        <v>3</v>
      </c>
      <c r="AK1434">
        <v>2</v>
      </c>
      <c r="AL1434">
        <v>1</v>
      </c>
    </row>
    <row r="1435" spans="1:38" x14ac:dyDescent="0.3">
      <c r="A1435" t="s">
        <v>1506</v>
      </c>
      <c r="B1435">
        <v>56</v>
      </c>
      <c r="C1435" t="s">
        <v>1496</v>
      </c>
      <c r="D1435" t="s">
        <v>39</v>
      </c>
      <c r="E1435">
        <f t="shared" si="22"/>
        <v>1</v>
      </c>
      <c r="F1435" t="s">
        <v>40</v>
      </c>
      <c r="G1435">
        <v>1162</v>
      </c>
      <c r="H1435" t="s">
        <v>41</v>
      </c>
      <c r="I1435">
        <v>24</v>
      </c>
      <c r="J1435">
        <v>2</v>
      </c>
      <c r="K1435" t="s">
        <v>42</v>
      </c>
      <c r="L1435">
        <v>1</v>
      </c>
      <c r="M1435">
        <v>1907</v>
      </c>
      <c r="N1435">
        <v>1</v>
      </c>
      <c r="O1435" t="s">
        <v>43</v>
      </c>
      <c r="P1435">
        <v>97</v>
      </c>
      <c r="Q1435">
        <v>3</v>
      </c>
      <c r="R1435">
        <v>1</v>
      </c>
      <c r="S1435" t="s">
        <v>44</v>
      </c>
      <c r="T1435">
        <v>4</v>
      </c>
      <c r="U1435" t="s">
        <v>45</v>
      </c>
      <c r="V1435">
        <v>2587</v>
      </c>
      <c r="W1435" t="s">
        <v>46</v>
      </c>
      <c r="X1435">
        <v>10261</v>
      </c>
      <c r="Y1435">
        <v>1</v>
      </c>
      <c r="Z1435" t="s">
        <v>47</v>
      </c>
      <c r="AA1435" t="s">
        <v>48</v>
      </c>
      <c r="AB1435">
        <v>16</v>
      </c>
      <c r="AC1435">
        <v>3</v>
      </c>
      <c r="AD1435">
        <v>4</v>
      </c>
      <c r="AE1435">
        <v>80</v>
      </c>
      <c r="AF1435">
        <v>0</v>
      </c>
      <c r="AG1435">
        <v>5</v>
      </c>
      <c r="AH1435">
        <v>3</v>
      </c>
      <c r="AI1435">
        <v>3</v>
      </c>
      <c r="AJ1435">
        <v>4</v>
      </c>
      <c r="AK1435">
        <v>2</v>
      </c>
      <c r="AL1435">
        <v>1</v>
      </c>
    </row>
    <row r="1436" spans="1:38" x14ac:dyDescent="0.3">
      <c r="A1436" t="s">
        <v>1507</v>
      </c>
      <c r="B1436">
        <v>56</v>
      </c>
      <c r="C1436" t="s">
        <v>1496</v>
      </c>
      <c r="D1436" t="s">
        <v>48</v>
      </c>
      <c r="E1436">
        <f t="shared" si="22"/>
        <v>0</v>
      </c>
      <c r="F1436" t="s">
        <v>40</v>
      </c>
      <c r="G1436">
        <v>1443</v>
      </c>
      <c r="H1436" t="s">
        <v>50</v>
      </c>
      <c r="I1436">
        <v>11</v>
      </c>
      <c r="J1436">
        <v>5</v>
      </c>
      <c r="K1436" t="s">
        <v>56</v>
      </c>
      <c r="L1436">
        <v>1</v>
      </c>
      <c r="M1436">
        <v>1935</v>
      </c>
      <c r="N1436">
        <v>4</v>
      </c>
      <c r="O1436" t="s">
        <v>52</v>
      </c>
      <c r="P1436">
        <v>89</v>
      </c>
      <c r="Q1436">
        <v>2</v>
      </c>
      <c r="R1436">
        <v>2</v>
      </c>
      <c r="S1436" t="s">
        <v>136</v>
      </c>
      <c r="T1436">
        <v>1</v>
      </c>
      <c r="U1436" t="s">
        <v>104</v>
      </c>
      <c r="V1436">
        <v>5380</v>
      </c>
      <c r="W1436" t="s">
        <v>162</v>
      </c>
      <c r="X1436">
        <v>20328</v>
      </c>
      <c r="Y1436">
        <v>4</v>
      </c>
      <c r="Z1436" t="s">
        <v>47</v>
      </c>
      <c r="AA1436" t="s">
        <v>48</v>
      </c>
      <c r="AB1436">
        <v>16</v>
      </c>
      <c r="AC1436">
        <v>3</v>
      </c>
      <c r="AD1436">
        <v>3</v>
      </c>
      <c r="AE1436">
        <v>80</v>
      </c>
      <c r="AF1436">
        <v>1</v>
      </c>
      <c r="AG1436">
        <v>6</v>
      </c>
      <c r="AH1436">
        <v>3</v>
      </c>
      <c r="AI1436">
        <v>3</v>
      </c>
      <c r="AJ1436">
        <v>0</v>
      </c>
      <c r="AK1436">
        <v>0</v>
      </c>
      <c r="AL1436">
        <v>0</v>
      </c>
    </row>
    <row r="1437" spans="1:38" x14ac:dyDescent="0.3">
      <c r="A1437" t="s">
        <v>1508</v>
      </c>
      <c r="B1437">
        <v>56</v>
      </c>
      <c r="C1437" t="s">
        <v>1496</v>
      </c>
      <c r="D1437" t="s">
        <v>48</v>
      </c>
      <c r="E1437">
        <f t="shared" si="22"/>
        <v>0</v>
      </c>
      <c r="F1437" t="s">
        <v>58</v>
      </c>
      <c r="G1437">
        <v>667</v>
      </c>
      <c r="H1437" t="s">
        <v>41</v>
      </c>
      <c r="I1437">
        <v>1</v>
      </c>
      <c r="J1437">
        <v>4</v>
      </c>
      <c r="K1437" t="s">
        <v>42</v>
      </c>
      <c r="L1437">
        <v>1</v>
      </c>
      <c r="M1437">
        <v>2026</v>
      </c>
      <c r="N1437">
        <v>3</v>
      </c>
      <c r="O1437" t="s">
        <v>43</v>
      </c>
      <c r="P1437">
        <v>57</v>
      </c>
      <c r="Q1437">
        <v>3</v>
      </c>
      <c r="R1437">
        <v>2</v>
      </c>
      <c r="S1437" t="s">
        <v>160</v>
      </c>
      <c r="T1437">
        <v>3</v>
      </c>
      <c r="U1437" t="s">
        <v>101</v>
      </c>
      <c r="V1437">
        <v>6306</v>
      </c>
      <c r="W1437" t="s">
        <v>162</v>
      </c>
      <c r="X1437">
        <v>26236</v>
      </c>
      <c r="Y1437">
        <v>1</v>
      </c>
      <c r="Z1437" t="s">
        <v>47</v>
      </c>
      <c r="AA1437" t="s">
        <v>48</v>
      </c>
      <c r="AB1437">
        <v>21</v>
      </c>
      <c r="AC1437">
        <v>4</v>
      </c>
      <c r="AD1437">
        <v>1</v>
      </c>
      <c r="AE1437">
        <v>80</v>
      </c>
      <c r="AF1437">
        <v>1</v>
      </c>
      <c r="AG1437">
        <v>13</v>
      </c>
      <c r="AH1437">
        <v>2</v>
      </c>
      <c r="AI1437">
        <v>2</v>
      </c>
      <c r="AJ1437">
        <v>13</v>
      </c>
      <c r="AK1437">
        <v>12</v>
      </c>
      <c r="AL1437">
        <v>1</v>
      </c>
    </row>
    <row r="1438" spans="1:38" x14ac:dyDescent="0.3">
      <c r="A1438" t="s">
        <v>1509</v>
      </c>
      <c r="B1438">
        <v>56</v>
      </c>
      <c r="C1438" t="s">
        <v>1496</v>
      </c>
      <c r="D1438" t="s">
        <v>39</v>
      </c>
      <c r="E1438">
        <f t="shared" si="22"/>
        <v>1</v>
      </c>
      <c r="F1438" t="s">
        <v>40</v>
      </c>
      <c r="G1438">
        <v>310</v>
      </c>
      <c r="H1438" t="s">
        <v>41</v>
      </c>
      <c r="I1438">
        <v>7</v>
      </c>
      <c r="J1438">
        <v>2</v>
      </c>
      <c r="K1438" t="s">
        <v>67</v>
      </c>
      <c r="L1438">
        <v>1</v>
      </c>
      <c r="M1438">
        <v>2032</v>
      </c>
      <c r="N1438">
        <v>4</v>
      </c>
      <c r="O1438" t="s">
        <v>43</v>
      </c>
      <c r="P1438">
        <v>72</v>
      </c>
      <c r="Q1438">
        <v>3</v>
      </c>
      <c r="R1438">
        <v>1</v>
      </c>
      <c r="S1438" t="s">
        <v>44</v>
      </c>
      <c r="T1438">
        <v>3</v>
      </c>
      <c r="U1438" t="s">
        <v>104</v>
      </c>
      <c r="V1438">
        <v>2339</v>
      </c>
      <c r="W1438" t="s">
        <v>46</v>
      </c>
      <c r="X1438">
        <v>3666</v>
      </c>
      <c r="Y1438">
        <v>8</v>
      </c>
      <c r="Z1438" t="s">
        <v>47</v>
      </c>
      <c r="AA1438" t="s">
        <v>48</v>
      </c>
      <c r="AB1438">
        <v>11</v>
      </c>
      <c r="AC1438">
        <v>3</v>
      </c>
      <c r="AD1438">
        <v>4</v>
      </c>
      <c r="AE1438">
        <v>80</v>
      </c>
      <c r="AF1438">
        <v>1</v>
      </c>
      <c r="AG1438">
        <v>14</v>
      </c>
      <c r="AH1438">
        <v>4</v>
      </c>
      <c r="AI1438">
        <v>1</v>
      </c>
      <c r="AJ1438">
        <v>10</v>
      </c>
      <c r="AK1438">
        <v>9</v>
      </c>
      <c r="AL1438">
        <v>9</v>
      </c>
    </row>
    <row r="1439" spans="1:38" x14ac:dyDescent="0.3">
      <c r="A1439" t="s">
        <v>1510</v>
      </c>
      <c r="B1439">
        <v>57</v>
      </c>
      <c r="C1439" t="s">
        <v>1496</v>
      </c>
      <c r="D1439" t="s">
        <v>48</v>
      </c>
      <c r="E1439">
        <f t="shared" si="22"/>
        <v>0</v>
      </c>
      <c r="F1439" t="s">
        <v>40</v>
      </c>
      <c r="G1439">
        <v>334</v>
      </c>
      <c r="H1439" t="s">
        <v>41</v>
      </c>
      <c r="I1439">
        <v>24</v>
      </c>
      <c r="J1439">
        <v>2</v>
      </c>
      <c r="K1439" t="s">
        <v>42</v>
      </c>
      <c r="L1439">
        <v>1</v>
      </c>
      <c r="M1439">
        <v>223</v>
      </c>
      <c r="N1439">
        <v>3</v>
      </c>
      <c r="O1439" t="s">
        <v>43</v>
      </c>
      <c r="P1439">
        <v>83</v>
      </c>
      <c r="Q1439">
        <v>4</v>
      </c>
      <c r="R1439">
        <v>3</v>
      </c>
      <c r="S1439" t="s">
        <v>160</v>
      </c>
      <c r="T1439">
        <v>4</v>
      </c>
      <c r="U1439" t="s">
        <v>101</v>
      </c>
      <c r="V1439">
        <v>9439</v>
      </c>
      <c r="W1439" t="s">
        <v>162</v>
      </c>
      <c r="X1439">
        <v>23402</v>
      </c>
      <c r="Y1439">
        <v>3</v>
      </c>
      <c r="Z1439" t="s">
        <v>47</v>
      </c>
      <c r="AA1439" t="s">
        <v>39</v>
      </c>
      <c r="AB1439">
        <v>16</v>
      </c>
      <c r="AC1439">
        <v>3</v>
      </c>
      <c r="AD1439">
        <v>2</v>
      </c>
      <c r="AE1439">
        <v>80</v>
      </c>
      <c r="AF1439">
        <v>1</v>
      </c>
      <c r="AG1439">
        <v>12</v>
      </c>
      <c r="AH1439">
        <v>2</v>
      </c>
      <c r="AI1439">
        <v>1</v>
      </c>
      <c r="AJ1439">
        <v>5</v>
      </c>
      <c r="AK1439">
        <v>3</v>
      </c>
      <c r="AL1439">
        <v>1</v>
      </c>
    </row>
    <row r="1440" spans="1:38" x14ac:dyDescent="0.3">
      <c r="A1440" t="s">
        <v>1511</v>
      </c>
      <c r="B1440">
        <v>57</v>
      </c>
      <c r="C1440" t="s">
        <v>1496</v>
      </c>
      <c r="D1440" t="s">
        <v>48</v>
      </c>
      <c r="E1440">
        <f t="shared" si="22"/>
        <v>0</v>
      </c>
      <c r="F1440" t="s">
        <v>40</v>
      </c>
      <c r="G1440">
        <v>593</v>
      </c>
      <c r="H1440" t="s">
        <v>41</v>
      </c>
      <c r="I1440">
        <v>1</v>
      </c>
      <c r="J1440">
        <v>4</v>
      </c>
      <c r="K1440" t="s">
        <v>51</v>
      </c>
      <c r="L1440">
        <v>1</v>
      </c>
      <c r="M1440">
        <v>482</v>
      </c>
      <c r="N1440">
        <v>4</v>
      </c>
      <c r="O1440" t="s">
        <v>43</v>
      </c>
      <c r="P1440">
        <v>88</v>
      </c>
      <c r="Q1440">
        <v>3</v>
      </c>
      <c r="R1440">
        <v>2</v>
      </c>
      <c r="S1440" t="s">
        <v>160</v>
      </c>
      <c r="T1440">
        <v>3</v>
      </c>
      <c r="U1440" t="s">
        <v>104</v>
      </c>
      <c r="V1440">
        <v>6755</v>
      </c>
      <c r="W1440" t="s">
        <v>162</v>
      </c>
      <c r="X1440">
        <v>2967</v>
      </c>
      <c r="Y1440">
        <v>2</v>
      </c>
      <c r="Z1440" t="s">
        <v>47</v>
      </c>
      <c r="AA1440" t="s">
        <v>48</v>
      </c>
      <c r="AB1440">
        <v>11</v>
      </c>
      <c r="AC1440">
        <v>3</v>
      </c>
      <c r="AD1440">
        <v>3</v>
      </c>
      <c r="AE1440">
        <v>80</v>
      </c>
      <c r="AF1440">
        <v>0</v>
      </c>
      <c r="AG1440">
        <v>15</v>
      </c>
      <c r="AH1440">
        <v>2</v>
      </c>
      <c r="AI1440">
        <v>3</v>
      </c>
      <c r="AJ1440">
        <v>3</v>
      </c>
      <c r="AK1440">
        <v>2</v>
      </c>
      <c r="AL1440">
        <v>1</v>
      </c>
    </row>
    <row r="1441" spans="1:38" x14ac:dyDescent="0.3">
      <c r="A1441" t="s">
        <v>1512</v>
      </c>
      <c r="B1441">
        <v>57</v>
      </c>
      <c r="C1441" t="s">
        <v>1496</v>
      </c>
      <c r="D1441" t="s">
        <v>48</v>
      </c>
      <c r="E1441">
        <f t="shared" si="22"/>
        <v>0</v>
      </c>
      <c r="F1441" t="s">
        <v>40</v>
      </c>
      <c r="G1441">
        <v>210</v>
      </c>
      <c r="H1441" t="s">
        <v>50</v>
      </c>
      <c r="I1441">
        <v>29</v>
      </c>
      <c r="J1441">
        <v>3</v>
      </c>
      <c r="K1441" t="s">
        <v>56</v>
      </c>
      <c r="L1441">
        <v>1</v>
      </c>
      <c r="M1441">
        <v>568</v>
      </c>
      <c r="N1441">
        <v>1</v>
      </c>
      <c r="O1441" t="s">
        <v>43</v>
      </c>
      <c r="P1441">
        <v>56</v>
      </c>
      <c r="Q1441">
        <v>2</v>
      </c>
      <c r="R1441">
        <v>4</v>
      </c>
      <c r="S1441" t="s">
        <v>440</v>
      </c>
      <c r="T1441">
        <v>4</v>
      </c>
      <c r="U1441" t="s">
        <v>101</v>
      </c>
      <c r="V1441">
        <v>14118</v>
      </c>
      <c r="W1441" t="s">
        <v>252</v>
      </c>
      <c r="X1441">
        <v>22102</v>
      </c>
      <c r="Y1441">
        <v>3</v>
      </c>
      <c r="Z1441" t="s">
        <v>47</v>
      </c>
      <c r="AA1441" t="s">
        <v>48</v>
      </c>
      <c r="AB1441">
        <v>12</v>
      </c>
      <c r="AC1441">
        <v>3</v>
      </c>
      <c r="AD1441">
        <v>3</v>
      </c>
      <c r="AE1441">
        <v>80</v>
      </c>
      <c r="AF1441">
        <v>1</v>
      </c>
      <c r="AG1441">
        <v>32</v>
      </c>
      <c r="AH1441">
        <v>3</v>
      </c>
      <c r="AI1441">
        <v>2</v>
      </c>
      <c r="AJ1441">
        <v>1</v>
      </c>
      <c r="AK1441">
        <v>0</v>
      </c>
      <c r="AL1441">
        <v>0</v>
      </c>
    </row>
    <row r="1442" spans="1:38" x14ac:dyDescent="0.3">
      <c r="A1442" t="s">
        <v>1513</v>
      </c>
      <c r="B1442">
        <v>57</v>
      </c>
      <c r="C1442" t="s">
        <v>1496</v>
      </c>
      <c r="D1442" t="s">
        <v>48</v>
      </c>
      <c r="E1442">
        <f t="shared" si="22"/>
        <v>0</v>
      </c>
      <c r="F1442" t="s">
        <v>40</v>
      </c>
      <c r="G1442">
        <v>405</v>
      </c>
      <c r="H1442" t="s">
        <v>41</v>
      </c>
      <c r="I1442">
        <v>1</v>
      </c>
      <c r="J1442">
        <v>2</v>
      </c>
      <c r="K1442" t="s">
        <v>42</v>
      </c>
      <c r="L1442">
        <v>1</v>
      </c>
      <c r="M1442">
        <v>1483</v>
      </c>
      <c r="N1442">
        <v>2</v>
      </c>
      <c r="O1442" t="s">
        <v>43</v>
      </c>
      <c r="P1442">
        <v>93</v>
      </c>
      <c r="Q1442">
        <v>4</v>
      </c>
      <c r="R1442">
        <v>2</v>
      </c>
      <c r="S1442" t="s">
        <v>59</v>
      </c>
      <c r="T1442">
        <v>3</v>
      </c>
      <c r="U1442" t="s">
        <v>104</v>
      </c>
      <c r="V1442">
        <v>4900</v>
      </c>
      <c r="W1442" t="s">
        <v>46</v>
      </c>
      <c r="X1442">
        <v>2721</v>
      </c>
      <c r="Y1442">
        <v>0</v>
      </c>
      <c r="Z1442" t="s">
        <v>47</v>
      </c>
      <c r="AA1442" t="s">
        <v>48</v>
      </c>
      <c r="AB1442">
        <v>24</v>
      </c>
      <c r="AC1442">
        <v>4</v>
      </c>
      <c r="AD1442">
        <v>1</v>
      </c>
      <c r="AE1442">
        <v>80</v>
      </c>
      <c r="AF1442">
        <v>1</v>
      </c>
      <c r="AG1442">
        <v>13</v>
      </c>
      <c r="AH1442">
        <v>2</v>
      </c>
      <c r="AI1442">
        <v>2</v>
      </c>
      <c r="AJ1442">
        <v>12</v>
      </c>
      <c r="AK1442">
        <v>9</v>
      </c>
      <c r="AL1442">
        <v>2</v>
      </c>
    </row>
    <row r="1443" spans="1:38" x14ac:dyDescent="0.3">
      <c r="A1443" t="s">
        <v>1514</v>
      </c>
      <c r="B1443">
        <v>58</v>
      </c>
      <c r="C1443" t="s">
        <v>1496</v>
      </c>
      <c r="D1443" t="s">
        <v>48</v>
      </c>
      <c r="E1443">
        <f t="shared" si="22"/>
        <v>0</v>
      </c>
      <c r="F1443" t="s">
        <v>40</v>
      </c>
      <c r="G1443">
        <v>682</v>
      </c>
      <c r="H1443" t="s">
        <v>50</v>
      </c>
      <c r="I1443">
        <v>10</v>
      </c>
      <c r="J1443">
        <v>4</v>
      </c>
      <c r="K1443" t="s">
        <v>51</v>
      </c>
      <c r="L1443">
        <v>1</v>
      </c>
      <c r="M1443">
        <v>131</v>
      </c>
      <c r="N1443">
        <v>4</v>
      </c>
      <c r="O1443" t="s">
        <v>43</v>
      </c>
      <c r="P1443">
        <v>37</v>
      </c>
      <c r="Q1443">
        <v>3</v>
      </c>
      <c r="R1443">
        <v>4</v>
      </c>
      <c r="S1443" t="s">
        <v>136</v>
      </c>
      <c r="T1443">
        <v>3</v>
      </c>
      <c r="U1443" t="s">
        <v>45</v>
      </c>
      <c r="V1443">
        <v>13872</v>
      </c>
      <c r="W1443" t="s">
        <v>252</v>
      </c>
      <c r="X1443">
        <v>24409</v>
      </c>
      <c r="Y1443">
        <v>0</v>
      </c>
      <c r="Z1443" t="s">
        <v>47</v>
      </c>
      <c r="AA1443" t="s">
        <v>48</v>
      </c>
      <c r="AB1443">
        <v>13</v>
      </c>
      <c r="AC1443">
        <v>3</v>
      </c>
      <c r="AD1443">
        <v>3</v>
      </c>
      <c r="AE1443">
        <v>80</v>
      </c>
      <c r="AF1443">
        <v>0</v>
      </c>
      <c r="AG1443">
        <v>38</v>
      </c>
      <c r="AH1443">
        <v>1</v>
      </c>
      <c r="AI1443">
        <v>2</v>
      </c>
      <c r="AJ1443">
        <v>37</v>
      </c>
      <c r="AK1443">
        <v>10</v>
      </c>
      <c r="AL1443">
        <v>1</v>
      </c>
    </row>
    <row r="1444" spans="1:38" x14ac:dyDescent="0.3">
      <c r="A1444" t="s">
        <v>1515</v>
      </c>
      <c r="B1444">
        <v>58</v>
      </c>
      <c r="C1444" t="s">
        <v>1496</v>
      </c>
      <c r="D1444" t="s">
        <v>39</v>
      </c>
      <c r="E1444">
        <f t="shared" si="22"/>
        <v>1</v>
      </c>
      <c r="F1444" t="s">
        <v>40</v>
      </c>
      <c r="G1444">
        <v>147</v>
      </c>
      <c r="H1444" t="s">
        <v>41</v>
      </c>
      <c r="I1444">
        <v>23</v>
      </c>
      <c r="J1444">
        <v>4</v>
      </c>
      <c r="K1444" t="s">
        <v>51</v>
      </c>
      <c r="L1444">
        <v>1</v>
      </c>
      <c r="M1444">
        <v>165</v>
      </c>
      <c r="N1444">
        <v>4</v>
      </c>
      <c r="O1444" t="s">
        <v>52</v>
      </c>
      <c r="P1444">
        <v>94</v>
      </c>
      <c r="Q1444">
        <v>3</v>
      </c>
      <c r="R1444">
        <v>3</v>
      </c>
      <c r="S1444" t="s">
        <v>160</v>
      </c>
      <c r="T1444">
        <v>4</v>
      </c>
      <c r="U1444" t="s">
        <v>104</v>
      </c>
      <c r="V1444">
        <v>10312</v>
      </c>
      <c r="W1444" t="s">
        <v>252</v>
      </c>
      <c r="X1444">
        <v>3465</v>
      </c>
      <c r="Y1444">
        <v>1</v>
      </c>
      <c r="Z1444" t="s">
        <v>47</v>
      </c>
      <c r="AA1444" t="s">
        <v>48</v>
      </c>
      <c r="AB1444">
        <v>12</v>
      </c>
      <c r="AC1444">
        <v>3</v>
      </c>
      <c r="AD1444">
        <v>4</v>
      </c>
      <c r="AE1444">
        <v>80</v>
      </c>
      <c r="AF1444">
        <v>1</v>
      </c>
      <c r="AG1444">
        <v>40</v>
      </c>
      <c r="AH1444">
        <v>3</v>
      </c>
      <c r="AI1444">
        <v>2</v>
      </c>
      <c r="AJ1444">
        <v>40</v>
      </c>
      <c r="AK1444">
        <v>10</v>
      </c>
      <c r="AL1444">
        <v>15</v>
      </c>
    </row>
    <row r="1445" spans="1:38" x14ac:dyDescent="0.3">
      <c r="A1445" t="s">
        <v>1516</v>
      </c>
      <c r="B1445">
        <v>58</v>
      </c>
      <c r="C1445" t="s">
        <v>1496</v>
      </c>
      <c r="D1445" t="s">
        <v>48</v>
      </c>
      <c r="E1445">
        <f t="shared" si="22"/>
        <v>0</v>
      </c>
      <c r="F1445" t="s">
        <v>40</v>
      </c>
      <c r="G1445">
        <v>1145</v>
      </c>
      <c r="H1445" t="s">
        <v>41</v>
      </c>
      <c r="I1445">
        <v>9</v>
      </c>
      <c r="J1445">
        <v>3</v>
      </c>
      <c r="K1445" t="s">
        <v>51</v>
      </c>
      <c r="L1445">
        <v>1</v>
      </c>
      <c r="M1445">
        <v>214</v>
      </c>
      <c r="N1445">
        <v>2</v>
      </c>
      <c r="O1445" t="s">
        <v>52</v>
      </c>
      <c r="P1445">
        <v>75</v>
      </c>
      <c r="Q1445">
        <v>2</v>
      </c>
      <c r="R1445">
        <v>1</v>
      </c>
      <c r="S1445" t="s">
        <v>59</v>
      </c>
      <c r="T1445">
        <v>2</v>
      </c>
      <c r="U1445" t="s">
        <v>104</v>
      </c>
      <c r="V1445">
        <v>3346</v>
      </c>
      <c r="W1445" t="s">
        <v>46</v>
      </c>
      <c r="X1445">
        <v>11873</v>
      </c>
      <c r="Y1445">
        <v>4</v>
      </c>
      <c r="Z1445" t="s">
        <v>47</v>
      </c>
      <c r="AA1445" t="s">
        <v>39</v>
      </c>
      <c r="AB1445">
        <v>20</v>
      </c>
      <c r="AC1445">
        <v>4</v>
      </c>
      <c r="AD1445">
        <v>2</v>
      </c>
      <c r="AE1445">
        <v>80</v>
      </c>
      <c r="AF1445">
        <v>1</v>
      </c>
      <c r="AG1445">
        <v>9</v>
      </c>
      <c r="AH1445">
        <v>3</v>
      </c>
      <c r="AI1445">
        <v>2</v>
      </c>
      <c r="AJ1445">
        <v>1</v>
      </c>
      <c r="AK1445">
        <v>0</v>
      </c>
      <c r="AL1445">
        <v>0</v>
      </c>
    </row>
    <row r="1446" spans="1:38" x14ac:dyDescent="0.3">
      <c r="A1446" t="s">
        <v>1517</v>
      </c>
      <c r="B1446">
        <v>58</v>
      </c>
      <c r="C1446" t="s">
        <v>1496</v>
      </c>
      <c r="D1446" t="s">
        <v>48</v>
      </c>
      <c r="E1446">
        <f t="shared" si="22"/>
        <v>0</v>
      </c>
      <c r="F1446" t="s">
        <v>58</v>
      </c>
      <c r="G1446">
        <v>390</v>
      </c>
      <c r="H1446" t="s">
        <v>41</v>
      </c>
      <c r="I1446">
        <v>1</v>
      </c>
      <c r="J1446">
        <v>4</v>
      </c>
      <c r="K1446" t="s">
        <v>42</v>
      </c>
      <c r="L1446">
        <v>1</v>
      </c>
      <c r="M1446">
        <v>422</v>
      </c>
      <c r="N1446">
        <v>4</v>
      </c>
      <c r="O1446" t="s">
        <v>43</v>
      </c>
      <c r="P1446">
        <v>32</v>
      </c>
      <c r="Q1446">
        <v>1</v>
      </c>
      <c r="R1446">
        <v>2</v>
      </c>
      <c r="S1446" t="s">
        <v>160</v>
      </c>
      <c r="T1446">
        <v>3</v>
      </c>
      <c r="U1446" t="s">
        <v>101</v>
      </c>
      <c r="V1446">
        <v>5660</v>
      </c>
      <c r="W1446" t="s">
        <v>162</v>
      </c>
      <c r="X1446">
        <v>17056</v>
      </c>
      <c r="Y1446">
        <v>2</v>
      </c>
      <c r="Z1446" t="s">
        <v>47</v>
      </c>
      <c r="AA1446" t="s">
        <v>39</v>
      </c>
      <c r="AB1446">
        <v>13</v>
      </c>
      <c r="AC1446">
        <v>3</v>
      </c>
      <c r="AD1446">
        <v>4</v>
      </c>
      <c r="AE1446">
        <v>80</v>
      </c>
      <c r="AF1446">
        <v>1</v>
      </c>
      <c r="AG1446">
        <v>12</v>
      </c>
      <c r="AH1446">
        <v>2</v>
      </c>
      <c r="AI1446">
        <v>3</v>
      </c>
      <c r="AJ1446">
        <v>5</v>
      </c>
      <c r="AK1446">
        <v>3</v>
      </c>
      <c r="AL1446">
        <v>1</v>
      </c>
    </row>
    <row r="1447" spans="1:38" x14ac:dyDescent="0.3">
      <c r="A1447" t="s">
        <v>1518</v>
      </c>
      <c r="B1447">
        <v>58</v>
      </c>
      <c r="C1447" t="s">
        <v>1496</v>
      </c>
      <c r="D1447" t="s">
        <v>39</v>
      </c>
      <c r="E1447">
        <f t="shared" si="22"/>
        <v>1</v>
      </c>
      <c r="F1447" t="s">
        <v>40</v>
      </c>
      <c r="G1447">
        <v>286</v>
      </c>
      <c r="H1447" t="s">
        <v>41</v>
      </c>
      <c r="I1447">
        <v>2</v>
      </c>
      <c r="J1447">
        <v>4</v>
      </c>
      <c r="K1447" t="s">
        <v>42</v>
      </c>
      <c r="L1447">
        <v>1</v>
      </c>
      <c r="M1447">
        <v>825</v>
      </c>
      <c r="N1447">
        <v>4</v>
      </c>
      <c r="O1447" t="s">
        <v>43</v>
      </c>
      <c r="P1447">
        <v>31</v>
      </c>
      <c r="Q1447">
        <v>3</v>
      </c>
      <c r="R1447">
        <v>5</v>
      </c>
      <c r="S1447" t="s">
        <v>251</v>
      </c>
      <c r="T1447">
        <v>2</v>
      </c>
      <c r="U1447" t="s">
        <v>45</v>
      </c>
      <c r="V1447">
        <v>19246</v>
      </c>
      <c r="W1447" t="s">
        <v>366</v>
      </c>
      <c r="X1447">
        <v>25761</v>
      </c>
      <c r="Y1447">
        <v>7</v>
      </c>
      <c r="Z1447" t="s">
        <v>47</v>
      </c>
      <c r="AA1447" t="s">
        <v>39</v>
      </c>
      <c r="AB1447">
        <v>12</v>
      </c>
      <c r="AC1447">
        <v>3</v>
      </c>
      <c r="AD1447">
        <v>4</v>
      </c>
      <c r="AE1447">
        <v>80</v>
      </c>
      <c r="AF1447">
        <v>0</v>
      </c>
      <c r="AG1447">
        <v>40</v>
      </c>
      <c r="AH1447">
        <v>2</v>
      </c>
      <c r="AI1447">
        <v>3</v>
      </c>
      <c r="AJ1447">
        <v>31</v>
      </c>
      <c r="AK1447">
        <v>15</v>
      </c>
      <c r="AL1447">
        <v>13</v>
      </c>
    </row>
    <row r="1448" spans="1:38" x14ac:dyDescent="0.3">
      <c r="A1448" t="s">
        <v>1519</v>
      </c>
      <c r="B1448">
        <v>58</v>
      </c>
      <c r="C1448" t="s">
        <v>1496</v>
      </c>
      <c r="D1448" t="s">
        <v>39</v>
      </c>
      <c r="E1448">
        <f t="shared" si="22"/>
        <v>1</v>
      </c>
      <c r="F1448" t="s">
        <v>55</v>
      </c>
      <c r="G1448">
        <v>781</v>
      </c>
      <c r="H1448" t="s">
        <v>41</v>
      </c>
      <c r="I1448">
        <v>2</v>
      </c>
      <c r="J1448">
        <v>1</v>
      </c>
      <c r="K1448" t="s">
        <v>42</v>
      </c>
      <c r="L1448">
        <v>1</v>
      </c>
      <c r="M1448">
        <v>918</v>
      </c>
      <c r="N1448">
        <v>4</v>
      </c>
      <c r="O1448" t="s">
        <v>43</v>
      </c>
      <c r="P1448">
        <v>57</v>
      </c>
      <c r="Q1448">
        <v>2</v>
      </c>
      <c r="R1448">
        <v>1</v>
      </c>
      <c r="S1448" t="s">
        <v>44</v>
      </c>
      <c r="T1448">
        <v>4</v>
      </c>
      <c r="U1448" t="s">
        <v>101</v>
      </c>
      <c r="V1448">
        <v>2380</v>
      </c>
      <c r="W1448" t="s">
        <v>46</v>
      </c>
      <c r="X1448">
        <v>13384</v>
      </c>
      <c r="Y1448">
        <v>9</v>
      </c>
      <c r="Z1448" t="s">
        <v>47</v>
      </c>
      <c r="AA1448" t="s">
        <v>39</v>
      </c>
      <c r="AB1448">
        <v>14</v>
      </c>
      <c r="AC1448">
        <v>3</v>
      </c>
      <c r="AD1448">
        <v>4</v>
      </c>
      <c r="AE1448">
        <v>80</v>
      </c>
      <c r="AF1448">
        <v>1</v>
      </c>
      <c r="AG1448">
        <v>3</v>
      </c>
      <c r="AH1448">
        <v>3</v>
      </c>
      <c r="AI1448">
        <v>2</v>
      </c>
      <c r="AJ1448">
        <v>1</v>
      </c>
      <c r="AK1448">
        <v>0</v>
      </c>
      <c r="AL1448">
        <v>0</v>
      </c>
    </row>
    <row r="1449" spans="1:38" x14ac:dyDescent="0.3">
      <c r="A1449" t="s">
        <v>1520</v>
      </c>
      <c r="B1449">
        <v>58</v>
      </c>
      <c r="C1449" t="s">
        <v>1496</v>
      </c>
      <c r="D1449" t="s">
        <v>48</v>
      </c>
      <c r="E1449">
        <f t="shared" si="22"/>
        <v>0</v>
      </c>
      <c r="F1449" t="s">
        <v>40</v>
      </c>
      <c r="G1449">
        <v>1272</v>
      </c>
      <c r="H1449" t="s">
        <v>41</v>
      </c>
      <c r="I1449">
        <v>5</v>
      </c>
      <c r="J1449">
        <v>3</v>
      </c>
      <c r="K1449" t="s">
        <v>67</v>
      </c>
      <c r="L1449">
        <v>1</v>
      </c>
      <c r="M1449">
        <v>940</v>
      </c>
      <c r="N1449">
        <v>3</v>
      </c>
      <c r="O1449" t="s">
        <v>52</v>
      </c>
      <c r="P1449">
        <v>37</v>
      </c>
      <c r="Q1449">
        <v>2</v>
      </c>
      <c r="R1449">
        <v>3</v>
      </c>
      <c r="S1449" t="s">
        <v>160</v>
      </c>
      <c r="T1449">
        <v>2</v>
      </c>
      <c r="U1449" t="s">
        <v>101</v>
      </c>
      <c r="V1449">
        <v>10552</v>
      </c>
      <c r="W1449" t="s">
        <v>252</v>
      </c>
      <c r="X1449">
        <v>9255</v>
      </c>
      <c r="Y1449">
        <v>2</v>
      </c>
      <c r="Z1449" t="s">
        <v>47</v>
      </c>
      <c r="AA1449" t="s">
        <v>39</v>
      </c>
      <c r="AB1449">
        <v>13</v>
      </c>
      <c r="AC1449">
        <v>3</v>
      </c>
      <c r="AD1449">
        <v>4</v>
      </c>
      <c r="AE1449">
        <v>80</v>
      </c>
      <c r="AF1449">
        <v>1</v>
      </c>
      <c r="AG1449">
        <v>24</v>
      </c>
      <c r="AH1449">
        <v>3</v>
      </c>
      <c r="AI1449">
        <v>3</v>
      </c>
      <c r="AJ1449">
        <v>6</v>
      </c>
      <c r="AK1449">
        <v>0</v>
      </c>
      <c r="AL1449">
        <v>0</v>
      </c>
    </row>
    <row r="1450" spans="1:38" x14ac:dyDescent="0.3">
      <c r="A1450" t="s">
        <v>1521</v>
      </c>
      <c r="B1450">
        <v>58</v>
      </c>
      <c r="C1450" t="s">
        <v>1496</v>
      </c>
      <c r="D1450" t="s">
        <v>39</v>
      </c>
      <c r="E1450">
        <f t="shared" si="22"/>
        <v>1</v>
      </c>
      <c r="F1450" t="s">
        <v>40</v>
      </c>
      <c r="G1450">
        <v>289</v>
      </c>
      <c r="H1450" t="s">
        <v>41</v>
      </c>
      <c r="I1450">
        <v>2</v>
      </c>
      <c r="J1450">
        <v>3</v>
      </c>
      <c r="K1450" t="s">
        <v>67</v>
      </c>
      <c r="L1450">
        <v>1</v>
      </c>
      <c r="M1450">
        <v>977</v>
      </c>
      <c r="N1450">
        <v>4</v>
      </c>
      <c r="O1450" t="s">
        <v>43</v>
      </c>
      <c r="P1450">
        <v>51</v>
      </c>
      <c r="Q1450">
        <v>3</v>
      </c>
      <c r="R1450">
        <v>1</v>
      </c>
      <c r="S1450" t="s">
        <v>59</v>
      </c>
      <c r="T1450">
        <v>3</v>
      </c>
      <c r="U1450" t="s">
        <v>45</v>
      </c>
      <c r="V1450">
        <v>2479</v>
      </c>
      <c r="W1450" t="s">
        <v>46</v>
      </c>
      <c r="X1450">
        <v>26227</v>
      </c>
      <c r="Y1450">
        <v>4</v>
      </c>
      <c r="Z1450" t="s">
        <v>47</v>
      </c>
      <c r="AA1450" t="s">
        <v>48</v>
      </c>
      <c r="AB1450">
        <v>24</v>
      </c>
      <c r="AC1450">
        <v>4</v>
      </c>
      <c r="AD1450">
        <v>1</v>
      </c>
      <c r="AE1450">
        <v>80</v>
      </c>
      <c r="AF1450">
        <v>0</v>
      </c>
      <c r="AG1450">
        <v>7</v>
      </c>
      <c r="AH1450">
        <v>4</v>
      </c>
      <c r="AI1450">
        <v>3</v>
      </c>
      <c r="AJ1450">
        <v>1</v>
      </c>
      <c r="AK1450">
        <v>0</v>
      </c>
      <c r="AL1450">
        <v>0</v>
      </c>
    </row>
    <row r="1451" spans="1:38" x14ac:dyDescent="0.3">
      <c r="A1451" t="s">
        <v>1522</v>
      </c>
      <c r="B1451">
        <v>58</v>
      </c>
      <c r="C1451" t="s">
        <v>1496</v>
      </c>
      <c r="D1451" t="s">
        <v>48</v>
      </c>
      <c r="E1451">
        <f t="shared" si="22"/>
        <v>0</v>
      </c>
      <c r="F1451" t="s">
        <v>40</v>
      </c>
      <c r="G1451">
        <v>848</v>
      </c>
      <c r="H1451" t="s">
        <v>41</v>
      </c>
      <c r="I1451">
        <v>23</v>
      </c>
      <c r="J1451">
        <v>4</v>
      </c>
      <c r="K1451" t="s">
        <v>42</v>
      </c>
      <c r="L1451">
        <v>1</v>
      </c>
      <c r="M1451">
        <v>1308</v>
      </c>
      <c r="N1451">
        <v>1</v>
      </c>
      <c r="O1451" t="s">
        <v>43</v>
      </c>
      <c r="P1451">
        <v>88</v>
      </c>
      <c r="Q1451">
        <v>3</v>
      </c>
      <c r="R1451">
        <v>1</v>
      </c>
      <c r="S1451" t="s">
        <v>59</v>
      </c>
      <c r="T1451">
        <v>3</v>
      </c>
      <c r="U1451" t="s">
        <v>101</v>
      </c>
      <c r="V1451">
        <v>2372</v>
      </c>
      <c r="W1451" t="s">
        <v>46</v>
      </c>
      <c r="X1451">
        <v>26076</v>
      </c>
      <c r="Y1451">
        <v>1</v>
      </c>
      <c r="Z1451" t="s">
        <v>47</v>
      </c>
      <c r="AA1451" t="s">
        <v>48</v>
      </c>
      <c r="AB1451">
        <v>12</v>
      </c>
      <c r="AC1451">
        <v>3</v>
      </c>
      <c r="AD1451">
        <v>4</v>
      </c>
      <c r="AE1451">
        <v>80</v>
      </c>
      <c r="AF1451">
        <v>2</v>
      </c>
      <c r="AG1451">
        <v>2</v>
      </c>
      <c r="AH1451">
        <v>3</v>
      </c>
      <c r="AI1451">
        <v>3</v>
      </c>
      <c r="AJ1451">
        <v>2</v>
      </c>
      <c r="AK1451">
        <v>2</v>
      </c>
      <c r="AL1451">
        <v>2</v>
      </c>
    </row>
    <row r="1452" spans="1:38" x14ac:dyDescent="0.3">
      <c r="A1452" t="s">
        <v>1523</v>
      </c>
      <c r="B1452">
        <v>58</v>
      </c>
      <c r="C1452" t="s">
        <v>1496</v>
      </c>
      <c r="D1452" t="s">
        <v>39</v>
      </c>
      <c r="E1452">
        <f t="shared" si="22"/>
        <v>1</v>
      </c>
      <c r="F1452" t="s">
        <v>40</v>
      </c>
      <c r="G1452">
        <v>601</v>
      </c>
      <c r="H1452" t="s">
        <v>41</v>
      </c>
      <c r="I1452">
        <v>7</v>
      </c>
      <c r="J1452">
        <v>4</v>
      </c>
      <c r="K1452" t="s">
        <v>51</v>
      </c>
      <c r="L1452">
        <v>1</v>
      </c>
      <c r="M1452">
        <v>1360</v>
      </c>
      <c r="N1452">
        <v>3</v>
      </c>
      <c r="O1452" t="s">
        <v>52</v>
      </c>
      <c r="P1452">
        <v>53</v>
      </c>
      <c r="Q1452">
        <v>2</v>
      </c>
      <c r="R1452">
        <v>3</v>
      </c>
      <c r="S1452" t="s">
        <v>111</v>
      </c>
      <c r="T1452">
        <v>1</v>
      </c>
      <c r="U1452" t="s">
        <v>104</v>
      </c>
      <c r="V1452">
        <v>10008</v>
      </c>
      <c r="W1452" t="s">
        <v>252</v>
      </c>
      <c r="X1452">
        <v>12023</v>
      </c>
      <c r="Y1452">
        <v>7</v>
      </c>
      <c r="Z1452" t="s">
        <v>47</v>
      </c>
      <c r="AA1452" t="s">
        <v>39</v>
      </c>
      <c r="AB1452">
        <v>14</v>
      </c>
      <c r="AC1452">
        <v>3</v>
      </c>
      <c r="AD1452">
        <v>4</v>
      </c>
      <c r="AE1452">
        <v>80</v>
      </c>
      <c r="AF1452">
        <v>0</v>
      </c>
      <c r="AG1452">
        <v>31</v>
      </c>
      <c r="AH1452">
        <v>0</v>
      </c>
      <c r="AI1452">
        <v>2</v>
      </c>
      <c r="AJ1452">
        <v>10</v>
      </c>
      <c r="AK1452">
        <v>9</v>
      </c>
      <c r="AL1452">
        <v>5</v>
      </c>
    </row>
    <row r="1453" spans="1:38" x14ac:dyDescent="0.3">
      <c r="A1453" t="s">
        <v>1524</v>
      </c>
      <c r="B1453">
        <v>58</v>
      </c>
      <c r="C1453" t="s">
        <v>1496</v>
      </c>
      <c r="D1453" t="s">
        <v>48</v>
      </c>
      <c r="E1453">
        <f t="shared" si="22"/>
        <v>0</v>
      </c>
      <c r="F1453" t="s">
        <v>40</v>
      </c>
      <c r="G1453">
        <v>1055</v>
      </c>
      <c r="H1453" t="s">
        <v>41</v>
      </c>
      <c r="I1453">
        <v>1</v>
      </c>
      <c r="J1453">
        <v>3</v>
      </c>
      <c r="K1453" t="s">
        <v>51</v>
      </c>
      <c r="L1453">
        <v>1</v>
      </c>
      <c r="M1453">
        <v>1423</v>
      </c>
      <c r="N1453">
        <v>4</v>
      </c>
      <c r="O1453" t="s">
        <v>52</v>
      </c>
      <c r="P1453">
        <v>76</v>
      </c>
      <c r="Q1453">
        <v>3</v>
      </c>
      <c r="R1453">
        <v>5</v>
      </c>
      <c r="S1453" t="s">
        <v>251</v>
      </c>
      <c r="T1453">
        <v>1</v>
      </c>
      <c r="U1453" t="s">
        <v>104</v>
      </c>
      <c r="V1453">
        <v>19701</v>
      </c>
      <c r="W1453" t="s">
        <v>366</v>
      </c>
      <c r="X1453">
        <v>22456</v>
      </c>
      <c r="Y1453">
        <v>3</v>
      </c>
      <c r="Z1453" t="s">
        <v>47</v>
      </c>
      <c r="AA1453" t="s">
        <v>39</v>
      </c>
      <c r="AB1453">
        <v>21</v>
      </c>
      <c r="AC1453">
        <v>4</v>
      </c>
      <c r="AD1453">
        <v>3</v>
      </c>
      <c r="AE1453">
        <v>80</v>
      </c>
      <c r="AF1453">
        <v>1</v>
      </c>
      <c r="AG1453">
        <v>32</v>
      </c>
      <c r="AH1453">
        <v>3</v>
      </c>
      <c r="AI1453">
        <v>3</v>
      </c>
      <c r="AJ1453">
        <v>9</v>
      </c>
      <c r="AK1453">
        <v>8</v>
      </c>
      <c r="AL1453">
        <v>1</v>
      </c>
    </row>
    <row r="1454" spans="1:38" x14ac:dyDescent="0.3">
      <c r="A1454" t="s">
        <v>1525</v>
      </c>
      <c r="B1454">
        <v>58</v>
      </c>
      <c r="C1454" t="s">
        <v>1496</v>
      </c>
      <c r="D1454" t="s">
        <v>48</v>
      </c>
      <c r="E1454">
        <f t="shared" si="22"/>
        <v>0</v>
      </c>
      <c r="F1454" t="s">
        <v>58</v>
      </c>
      <c r="G1454">
        <v>350</v>
      </c>
      <c r="H1454" t="s">
        <v>50</v>
      </c>
      <c r="I1454">
        <v>2</v>
      </c>
      <c r="J1454">
        <v>3</v>
      </c>
      <c r="K1454" t="s">
        <v>51</v>
      </c>
      <c r="L1454">
        <v>1</v>
      </c>
      <c r="M1454">
        <v>1824</v>
      </c>
      <c r="N1454">
        <v>2</v>
      </c>
      <c r="O1454" t="s">
        <v>43</v>
      </c>
      <c r="P1454">
        <v>52</v>
      </c>
      <c r="Q1454">
        <v>3</v>
      </c>
      <c r="R1454">
        <v>4</v>
      </c>
      <c r="S1454" t="s">
        <v>440</v>
      </c>
      <c r="T1454">
        <v>2</v>
      </c>
      <c r="U1454" t="s">
        <v>101</v>
      </c>
      <c r="V1454">
        <v>16291</v>
      </c>
      <c r="W1454" t="s">
        <v>366</v>
      </c>
      <c r="X1454">
        <v>22577</v>
      </c>
      <c r="Y1454">
        <v>4</v>
      </c>
      <c r="Z1454" t="s">
        <v>47</v>
      </c>
      <c r="AA1454" t="s">
        <v>48</v>
      </c>
      <c r="AB1454">
        <v>22</v>
      </c>
      <c r="AC1454">
        <v>4</v>
      </c>
      <c r="AD1454">
        <v>4</v>
      </c>
      <c r="AE1454">
        <v>80</v>
      </c>
      <c r="AF1454">
        <v>1</v>
      </c>
      <c r="AG1454">
        <v>37</v>
      </c>
      <c r="AH1454">
        <v>0</v>
      </c>
      <c r="AI1454">
        <v>2</v>
      </c>
      <c r="AJ1454">
        <v>16</v>
      </c>
      <c r="AK1454">
        <v>9</v>
      </c>
      <c r="AL1454">
        <v>14</v>
      </c>
    </row>
    <row r="1455" spans="1:38" x14ac:dyDescent="0.3">
      <c r="A1455" t="s">
        <v>1526</v>
      </c>
      <c r="B1455">
        <v>58</v>
      </c>
      <c r="C1455" t="s">
        <v>1496</v>
      </c>
      <c r="D1455" t="s">
        <v>48</v>
      </c>
      <c r="E1455">
        <f t="shared" si="22"/>
        <v>0</v>
      </c>
      <c r="F1455" t="s">
        <v>55</v>
      </c>
      <c r="G1455">
        <v>1216</v>
      </c>
      <c r="H1455" t="s">
        <v>41</v>
      </c>
      <c r="I1455">
        <v>15</v>
      </c>
      <c r="J1455">
        <v>4</v>
      </c>
      <c r="K1455" t="s">
        <v>42</v>
      </c>
      <c r="L1455">
        <v>1</v>
      </c>
      <c r="M1455">
        <v>1837</v>
      </c>
      <c r="N1455">
        <v>1</v>
      </c>
      <c r="O1455" t="s">
        <v>43</v>
      </c>
      <c r="P1455">
        <v>87</v>
      </c>
      <c r="Q1455">
        <v>3</v>
      </c>
      <c r="R1455">
        <v>4</v>
      </c>
      <c r="S1455" t="s">
        <v>251</v>
      </c>
      <c r="T1455">
        <v>3</v>
      </c>
      <c r="U1455" t="s">
        <v>104</v>
      </c>
      <c r="V1455">
        <v>15787</v>
      </c>
      <c r="W1455" t="s">
        <v>366</v>
      </c>
      <c r="X1455">
        <v>21624</v>
      </c>
      <c r="Y1455">
        <v>2</v>
      </c>
      <c r="Z1455" t="s">
        <v>47</v>
      </c>
      <c r="AA1455" t="s">
        <v>39</v>
      </c>
      <c r="AB1455">
        <v>14</v>
      </c>
      <c r="AC1455">
        <v>3</v>
      </c>
      <c r="AD1455">
        <v>2</v>
      </c>
      <c r="AE1455">
        <v>80</v>
      </c>
      <c r="AF1455">
        <v>0</v>
      </c>
      <c r="AG1455">
        <v>23</v>
      </c>
      <c r="AH1455">
        <v>3</v>
      </c>
      <c r="AI1455">
        <v>3</v>
      </c>
      <c r="AJ1455">
        <v>2</v>
      </c>
      <c r="AK1455">
        <v>2</v>
      </c>
      <c r="AL1455">
        <v>2</v>
      </c>
    </row>
    <row r="1456" spans="1:38" x14ac:dyDescent="0.3">
      <c r="A1456" t="s">
        <v>1527</v>
      </c>
      <c r="B1456">
        <v>58</v>
      </c>
      <c r="C1456" t="s">
        <v>1496</v>
      </c>
      <c r="D1456" t="s">
        <v>48</v>
      </c>
      <c r="E1456">
        <f t="shared" si="22"/>
        <v>0</v>
      </c>
      <c r="F1456" t="s">
        <v>40</v>
      </c>
      <c r="G1456">
        <v>605</v>
      </c>
      <c r="H1456" t="s">
        <v>50</v>
      </c>
      <c r="I1456">
        <v>21</v>
      </c>
      <c r="J1456">
        <v>3</v>
      </c>
      <c r="K1456" t="s">
        <v>42</v>
      </c>
      <c r="L1456">
        <v>1</v>
      </c>
      <c r="M1456">
        <v>1938</v>
      </c>
      <c r="N1456">
        <v>4</v>
      </c>
      <c r="O1456" t="s">
        <v>52</v>
      </c>
      <c r="P1456">
        <v>72</v>
      </c>
      <c r="Q1456">
        <v>3</v>
      </c>
      <c r="R1456">
        <v>4</v>
      </c>
      <c r="S1456" t="s">
        <v>440</v>
      </c>
      <c r="T1456">
        <v>4</v>
      </c>
      <c r="U1456" t="s">
        <v>104</v>
      </c>
      <c r="V1456">
        <v>17875</v>
      </c>
      <c r="W1456" t="s">
        <v>366</v>
      </c>
      <c r="X1456">
        <v>11761</v>
      </c>
      <c r="Y1456">
        <v>4</v>
      </c>
      <c r="Z1456" t="s">
        <v>47</v>
      </c>
      <c r="AA1456" t="s">
        <v>39</v>
      </c>
      <c r="AB1456">
        <v>13</v>
      </c>
      <c r="AC1456">
        <v>3</v>
      </c>
      <c r="AD1456">
        <v>3</v>
      </c>
      <c r="AE1456">
        <v>80</v>
      </c>
      <c r="AF1456">
        <v>1</v>
      </c>
      <c r="AG1456">
        <v>29</v>
      </c>
      <c r="AH1456">
        <v>2</v>
      </c>
      <c r="AI1456">
        <v>2</v>
      </c>
      <c r="AJ1456">
        <v>1</v>
      </c>
      <c r="AK1456">
        <v>0</v>
      </c>
      <c r="AL1456">
        <v>0</v>
      </c>
    </row>
    <row r="1457" spans="1:38" x14ac:dyDescent="0.3">
      <c r="A1457" t="s">
        <v>1528</v>
      </c>
      <c r="B1457">
        <v>59</v>
      </c>
      <c r="C1457" t="s">
        <v>1496</v>
      </c>
      <c r="D1457" t="s">
        <v>48</v>
      </c>
      <c r="E1457">
        <f t="shared" si="22"/>
        <v>0</v>
      </c>
      <c r="F1457" t="s">
        <v>40</v>
      </c>
      <c r="G1457">
        <v>1324</v>
      </c>
      <c r="H1457" t="s">
        <v>41</v>
      </c>
      <c r="I1457">
        <v>3</v>
      </c>
      <c r="J1457">
        <v>3</v>
      </c>
      <c r="K1457" t="s">
        <v>51</v>
      </c>
      <c r="L1457">
        <v>1</v>
      </c>
      <c r="M1457">
        <v>10</v>
      </c>
      <c r="N1457">
        <v>3</v>
      </c>
      <c r="O1457" t="s">
        <v>52</v>
      </c>
      <c r="P1457">
        <v>81</v>
      </c>
      <c r="Q1457">
        <v>4</v>
      </c>
      <c r="R1457">
        <v>1</v>
      </c>
      <c r="S1457" t="s">
        <v>44</v>
      </c>
      <c r="T1457">
        <v>1</v>
      </c>
      <c r="U1457" t="s">
        <v>104</v>
      </c>
      <c r="V1457">
        <v>2670</v>
      </c>
      <c r="W1457" t="s">
        <v>46</v>
      </c>
      <c r="X1457">
        <v>9964</v>
      </c>
      <c r="Y1457">
        <v>4</v>
      </c>
      <c r="Z1457" t="s">
        <v>47</v>
      </c>
      <c r="AA1457" t="s">
        <v>39</v>
      </c>
      <c r="AB1457">
        <v>20</v>
      </c>
      <c r="AC1457">
        <v>4</v>
      </c>
      <c r="AD1457">
        <v>1</v>
      </c>
      <c r="AE1457">
        <v>80</v>
      </c>
      <c r="AF1457">
        <v>3</v>
      </c>
      <c r="AG1457">
        <v>12</v>
      </c>
      <c r="AH1457">
        <v>3</v>
      </c>
      <c r="AI1457">
        <v>2</v>
      </c>
      <c r="AJ1457">
        <v>1</v>
      </c>
      <c r="AK1457">
        <v>0</v>
      </c>
      <c r="AL1457">
        <v>0</v>
      </c>
    </row>
    <row r="1458" spans="1:38" x14ac:dyDescent="0.3">
      <c r="A1458" t="s">
        <v>1529</v>
      </c>
      <c r="B1458">
        <v>59</v>
      </c>
      <c r="C1458" t="s">
        <v>1496</v>
      </c>
      <c r="D1458" t="s">
        <v>48</v>
      </c>
      <c r="E1458">
        <f t="shared" si="22"/>
        <v>0</v>
      </c>
      <c r="F1458" t="s">
        <v>40</v>
      </c>
      <c r="G1458">
        <v>1435</v>
      </c>
      <c r="H1458" t="s">
        <v>50</v>
      </c>
      <c r="I1458">
        <v>25</v>
      </c>
      <c r="J1458">
        <v>3</v>
      </c>
      <c r="K1458" t="s">
        <v>42</v>
      </c>
      <c r="L1458">
        <v>1</v>
      </c>
      <c r="M1458">
        <v>81</v>
      </c>
      <c r="N1458">
        <v>1</v>
      </c>
      <c r="O1458" t="s">
        <v>52</v>
      </c>
      <c r="P1458">
        <v>99</v>
      </c>
      <c r="Q1458">
        <v>3</v>
      </c>
      <c r="R1458">
        <v>3</v>
      </c>
      <c r="S1458" t="s">
        <v>136</v>
      </c>
      <c r="T1458">
        <v>1</v>
      </c>
      <c r="U1458" t="s">
        <v>45</v>
      </c>
      <c r="V1458">
        <v>7637</v>
      </c>
      <c r="W1458" t="s">
        <v>162</v>
      </c>
      <c r="X1458">
        <v>2354</v>
      </c>
      <c r="Y1458">
        <v>7</v>
      </c>
      <c r="Z1458" t="s">
        <v>47</v>
      </c>
      <c r="AA1458" t="s">
        <v>48</v>
      </c>
      <c r="AB1458">
        <v>11</v>
      </c>
      <c r="AC1458">
        <v>3</v>
      </c>
      <c r="AD1458">
        <v>4</v>
      </c>
      <c r="AE1458">
        <v>80</v>
      </c>
      <c r="AF1458">
        <v>0</v>
      </c>
      <c r="AG1458">
        <v>28</v>
      </c>
      <c r="AH1458">
        <v>3</v>
      </c>
      <c r="AI1458">
        <v>2</v>
      </c>
      <c r="AJ1458">
        <v>21</v>
      </c>
      <c r="AK1458">
        <v>16</v>
      </c>
      <c r="AL1458">
        <v>7</v>
      </c>
    </row>
    <row r="1459" spans="1:38" x14ac:dyDescent="0.3">
      <c r="A1459" t="s">
        <v>1530</v>
      </c>
      <c r="B1459">
        <v>59</v>
      </c>
      <c r="C1459" t="s">
        <v>1496</v>
      </c>
      <c r="D1459" t="s">
        <v>48</v>
      </c>
      <c r="E1459">
        <f t="shared" si="22"/>
        <v>0</v>
      </c>
      <c r="F1459" t="s">
        <v>55</v>
      </c>
      <c r="G1459">
        <v>1225</v>
      </c>
      <c r="H1459" t="s">
        <v>50</v>
      </c>
      <c r="I1459">
        <v>1</v>
      </c>
      <c r="J1459">
        <v>1</v>
      </c>
      <c r="K1459" t="s">
        <v>42</v>
      </c>
      <c r="L1459">
        <v>1</v>
      </c>
      <c r="M1459">
        <v>91</v>
      </c>
      <c r="N1459">
        <v>1</v>
      </c>
      <c r="O1459" t="s">
        <v>52</v>
      </c>
      <c r="P1459">
        <v>57</v>
      </c>
      <c r="Q1459">
        <v>2</v>
      </c>
      <c r="R1459">
        <v>2</v>
      </c>
      <c r="S1459" t="s">
        <v>136</v>
      </c>
      <c r="T1459">
        <v>3</v>
      </c>
      <c r="U1459" t="s">
        <v>45</v>
      </c>
      <c r="V1459">
        <v>5473</v>
      </c>
      <c r="W1459" t="s">
        <v>162</v>
      </c>
      <c r="X1459">
        <v>24668</v>
      </c>
      <c r="Y1459">
        <v>7</v>
      </c>
      <c r="Z1459" t="s">
        <v>47</v>
      </c>
      <c r="AA1459" t="s">
        <v>48</v>
      </c>
      <c r="AB1459">
        <v>11</v>
      </c>
      <c r="AC1459">
        <v>3</v>
      </c>
      <c r="AD1459">
        <v>4</v>
      </c>
      <c r="AE1459">
        <v>80</v>
      </c>
      <c r="AF1459">
        <v>0</v>
      </c>
      <c r="AG1459">
        <v>20</v>
      </c>
      <c r="AH1459">
        <v>2</v>
      </c>
      <c r="AI1459">
        <v>2</v>
      </c>
      <c r="AJ1459">
        <v>4</v>
      </c>
      <c r="AK1459">
        <v>3</v>
      </c>
      <c r="AL1459">
        <v>1</v>
      </c>
    </row>
    <row r="1460" spans="1:38" x14ac:dyDescent="0.3">
      <c r="A1460" t="s">
        <v>1531</v>
      </c>
      <c r="B1460">
        <v>59</v>
      </c>
      <c r="C1460" t="s">
        <v>1496</v>
      </c>
      <c r="D1460" t="s">
        <v>48</v>
      </c>
      <c r="E1460">
        <f t="shared" si="22"/>
        <v>0</v>
      </c>
      <c r="F1460" t="s">
        <v>58</v>
      </c>
      <c r="G1460">
        <v>1420</v>
      </c>
      <c r="H1460" t="s">
        <v>70</v>
      </c>
      <c r="I1460">
        <v>2</v>
      </c>
      <c r="J1460">
        <v>4</v>
      </c>
      <c r="K1460" t="s">
        <v>70</v>
      </c>
      <c r="L1460">
        <v>1</v>
      </c>
      <c r="M1460">
        <v>140</v>
      </c>
      <c r="N1460">
        <v>3</v>
      </c>
      <c r="O1460" t="s">
        <v>52</v>
      </c>
      <c r="P1460">
        <v>32</v>
      </c>
      <c r="Q1460">
        <v>2</v>
      </c>
      <c r="R1460">
        <v>5</v>
      </c>
      <c r="S1460" t="s">
        <v>440</v>
      </c>
      <c r="T1460">
        <v>4</v>
      </c>
      <c r="U1460" t="s">
        <v>104</v>
      </c>
      <c r="V1460">
        <v>18844</v>
      </c>
      <c r="W1460" t="s">
        <v>366</v>
      </c>
      <c r="X1460">
        <v>21922</v>
      </c>
      <c r="Y1460">
        <v>9</v>
      </c>
      <c r="Z1460" t="s">
        <v>47</v>
      </c>
      <c r="AA1460" t="s">
        <v>48</v>
      </c>
      <c r="AB1460">
        <v>21</v>
      </c>
      <c r="AC1460">
        <v>4</v>
      </c>
      <c r="AD1460">
        <v>4</v>
      </c>
      <c r="AE1460">
        <v>80</v>
      </c>
      <c r="AF1460">
        <v>1</v>
      </c>
      <c r="AG1460">
        <v>30</v>
      </c>
      <c r="AH1460">
        <v>3</v>
      </c>
      <c r="AI1460">
        <v>3</v>
      </c>
      <c r="AJ1460">
        <v>3</v>
      </c>
      <c r="AK1460">
        <v>2</v>
      </c>
      <c r="AL1460">
        <v>2</v>
      </c>
    </row>
    <row r="1461" spans="1:38" x14ac:dyDescent="0.3">
      <c r="A1461" t="s">
        <v>1532</v>
      </c>
      <c r="B1461">
        <v>59</v>
      </c>
      <c r="C1461" t="s">
        <v>1496</v>
      </c>
      <c r="D1461" t="s">
        <v>48</v>
      </c>
      <c r="E1461">
        <f t="shared" si="22"/>
        <v>0</v>
      </c>
      <c r="F1461" t="s">
        <v>40</v>
      </c>
      <c r="G1461">
        <v>142</v>
      </c>
      <c r="H1461" t="s">
        <v>41</v>
      </c>
      <c r="I1461">
        <v>3</v>
      </c>
      <c r="J1461">
        <v>3</v>
      </c>
      <c r="K1461" t="s">
        <v>42</v>
      </c>
      <c r="L1461">
        <v>1</v>
      </c>
      <c r="M1461">
        <v>309</v>
      </c>
      <c r="N1461">
        <v>3</v>
      </c>
      <c r="O1461" t="s">
        <v>43</v>
      </c>
      <c r="P1461">
        <v>70</v>
      </c>
      <c r="Q1461">
        <v>2</v>
      </c>
      <c r="R1461">
        <v>1</v>
      </c>
      <c r="S1461" t="s">
        <v>59</v>
      </c>
      <c r="T1461">
        <v>4</v>
      </c>
      <c r="U1461" t="s">
        <v>104</v>
      </c>
      <c r="V1461">
        <v>2177</v>
      </c>
      <c r="W1461" t="s">
        <v>46</v>
      </c>
      <c r="X1461">
        <v>8456</v>
      </c>
      <c r="Y1461">
        <v>3</v>
      </c>
      <c r="Z1461" t="s">
        <v>47</v>
      </c>
      <c r="AA1461" t="s">
        <v>48</v>
      </c>
      <c r="AB1461">
        <v>17</v>
      </c>
      <c r="AC1461">
        <v>3</v>
      </c>
      <c r="AD1461">
        <v>1</v>
      </c>
      <c r="AE1461">
        <v>80</v>
      </c>
      <c r="AF1461">
        <v>1</v>
      </c>
      <c r="AG1461">
        <v>7</v>
      </c>
      <c r="AH1461">
        <v>6</v>
      </c>
      <c r="AI1461">
        <v>3</v>
      </c>
      <c r="AJ1461">
        <v>1</v>
      </c>
      <c r="AK1461">
        <v>0</v>
      </c>
      <c r="AL1461">
        <v>0</v>
      </c>
    </row>
    <row r="1462" spans="1:38" x14ac:dyDescent="0.3">
      <c r="A1462" t="s">
        <v>1533</v>
      </c>
      <c r="B1462">
        <v>59</v>
      </c>
      <c r="C1462" t="s">
        <v>1496</v>
      </c>
      <c r="D1462" t="s">
        <v>48</v>
      </c>
      <c r="E1462">
        <f t="shared" si="22"/>
        <v>0</v>
      </c>
      <c r="F1462" t="s">
        <v>40</v>
      </c>
      <c r="G1462">
        <v>818</v>
      </c>
      <c r="H1462" t="s">
        <v>70</v>
      </c>
      <c r="I1462">
        <v>6</v>
      </c>
      <c r="J1462">
        <v>2</v>
      </c>
      <c r="K1462" t="s">
        <v>51</v>
      </c>
      <c r="L1462">
        <v>1</v>
      </c>
      <c r="M1462">
        <v>321</v>
      </c>
      <c r="N1462">
        <v>2</v>
      </c>
      <c r="O1462" t="s">
        <v>43</v>
      </c>
      <c r="P1462">
        <v>52</v>
      </c>
      <c r="Q1462">
        <v>3</v>
      </c>
      <c r="R1462">
        <v>1</v>
      </c>
      <c r="S1462" t="s">
        <v>70</v>
      </c>
      <c r="T1462">
        <v>3</v>
      </c>
      <c r="U1462" t="s">
        <v>104</v>
      </c>
      <c r="V1462">
        <v>2267</v>
      </c>
      <c r="W1462" t="s">
        <v>46</v>
      </c>
      <c r="X1462">
        <v>25657</v>
      </c>
      <c r="Y1462">
        <v>8</v>
      </c>
      <c r="Z1462" t="s">
        <v>47</v>
      </c>
      <c r="AA1462" t="s">
        <v>48</v>
      </c>
      <c r="AB1462">
        <v>17</v>
      </c>
      <c r="AC1462">
        <v>3</v>
      </c>
      <c r="AD1462">
        <v>4</v>
      </c>
      <c r="AE1462">
        <v>80</v>
      </c>
      <c r="AF1462">
        <v>0</v>
      </c>
      <c r="AG1462">
        <v>7</v>
      </c>
      <c r="AH1462">
        <v>2</v>
      </c>
      <c r="AI1462">
        <v>2</v>
      </c>
      <c r="AJ1462">
        <v>2</v>
      </c>
      <c r="AK1462">
        <v>2</v>
      </c>
      <c r="AL1462">
        <v>2</v>
      </c>
    </row>
    <row r="1463" spans="1:38" x14ac:dyDescent="0.3">
      <c r="A1463" t="s">
        <v>1534</v>
      </c>
      <c r="B1463">
        <v>59</v>
      </c>
      <c r="C1463" t="s">
        <v>1496</v>
      </c>
      <c r="D1463" t="s">
        <v>48</v>
      </c>
      <c r="E1463">
        <f t="shared" si="22"/>
        <v>0</v>
      </c>
      <c r="F1463" t="s">
        <v>40</v>
      </c>
      <c r="G1463">
        <v>715</v>
      </c>
      <c r="H1463" t="s">
        <v>41</v>
      </c>
      <c r="I1463">
        <v>2</v>
      </c>
      <c r="J1463">
        <v>3</v>
      </c>
      <c r="K1463" t="s">
        <v>42</v>
      </c>
      <c r="L1463">
        <v>1</v>
      </c>
      <c r="M1463">
        <v>1032</v>
      </c>
      <c r="N1463">
        <v>3</v>
      </c>
      <c r="O1463" t="s">
        <v>52</v>
      </c>
      <c r="P1463">
        <v>69</v>
      </c>
      <c r="Q1463">
        <v>2</v>
      </c>
      <c r="R1463">
        <v>4</v>
      </c>
      <c r="S1463" t="s">
        <v>111</v>
      </c>
      <c r="T1463">
        <v>4</v>
      </c>
      <c r="U1463" t="s">
        <v>45</v>
      </c>
      <c r="V1463">
        <v>13726</v>
      </c>
      <c r="W1463" t="s">
        <v>252</v>
      </c>
      <c r="X1463">
        <v>21829</v>
      </c>
      <c r="Y1463">
        <v>3</v>
      </c>
      <c r="Z1463" t="s">
        <v>47</v>
      </c>
      <c r="AA1463" t="s">
        <v>39</v>
      </c>
      <c r="AB1463">
        <v>13</v>
      </c>
      <c r="AC1463">
        <v>3</v>
      </c>
      <c r="AD1463">
        <v>1</v>
      </c>
      <c r="AE1463">
        <v>80</v>
      </c>
      <c r="AF1463">
        <v>0</v>
      </c>
      <c r="AG1463">
        <v>30</v>
      </c>
      <c r="AH1463">
        <v>4</v>
      </c>
      <c r="AI1463">
        <v>3</v>
      </c>
      <c r="AJ1463">
        <v>5</v>
      </c>
      <c r="AK1463">
        <v>3</v>
      </c>
      <c r="AL1463">
        <v>4</v>
      </c>
    </row>
    <row r="1464" spans="1:38" x14ac:dyDescent="0.3">
      <c r="A1464" t="s">
        <v>1535</v>
      </c>
      <c r="B1464">
        <v>59</v>
      </c>
      <c r="C1464" t="s">
        <v>1496</v>
      </c>
      <c r="D1464" t="s">
        <v>48</v>
      </c>
      <c r="E1464">
        <f t="shared" si="22"/>
        <v>0</v>
      </c>
      <c r="F1464" t="s">
        <v>40</v>
      </c>
      <c r="G1464">
        <v>1089</v>
      </c>
      <c r="H1464" t="s">
        <v>50</v>
      </c>
      <c r="I1464">
        <v>1</v>
      </c>
      <c r="J1464">
        <v>2</v>
      </c>
      <c r="K1464" t="s">
        <v>67</v>
      </c>
      <c r="L1464">
        <v>1</v>
      </c>
      <c r="M1464">
        <v>1048</v>
      </c>
      <c r="N1464">
        <v>2</v>
      </c>
      <c r="O1464" t="s">
        <v>43</v>
      </c>
      <c r="P1464">
        <v>66</v>
      </c>
      <c r="Q1464">
        <v>3</v>
      </c>
      <c r="R1464">
        <v>3</v>
      </c>
      <c r="S1464" t="s">
        <v>440</v>
      </c>
      <c r="T1464">
        <v>4</v>
      </c>
      <c r="U1464" t="s">
        <v>104</v>
      </c>
      <c r="V1464">
        <v>11904</v>
      </c>
      <c r="W1464" t="s">
        <v>252</v>
      </c>
      <c r="X1464">
        <v>11038</v>
      </c>
      <c r="Y1464">
        <v>3</v>
      </c>
      <c r="Z1464" t="s">
        <v>47</v>
      </c>
      <c r="AA1464" t="s">
        <v>39</v>
      </c>
      <c r="AB1464">
        <v>14</v>
      </c>
      <c r="AC1464">
        <v>3</v>
      </c>
      <c r="AD1464">
        <v>3</v>
      </c>
      <c r="AE1464">
        <v>80</v>
      </c>
      <c r="AF1464">
        <v>1</v>
      </c>
      <c r="AG1464">
        <v>14</v>
      </c>
      <c r="AH1464">
        <v>1</v>
      </c>
      <c r="AI1464">
        <v>1</v>
      </c>
      <c r="AJ1464">
        <v>6</v>
      </c>
      <c r="AK1464">
        <v>4</v>
      </c>
      <c r="AL1464">
        <v>0</v>
      </c>
    </row>
    <row r="1465" spans="1:38" x14ac:dyDescent="0.3">
      <c r="A1465" t="s">
        <v>1536</v>
      </c>
      <c r="B1465">
        <v>59</v>
      </c>
      <c r="C1465" t="s">
        <v>1496</v>
      </c>
      <c r="D1465" t="s">
        <v>48</v>
      </c>
      <c r="E1465">
        <f t="shared" si="22"/>
        <v>0</v>
      </c>
      <c r="F1465" t="s">
        <v>40</v>
      </c>
      <c r="G1465">
        <v>326</v>
      </c>
      <c r="H1465" t="s">
        <v>50</v>
      </c>
      <c r="I1465">
        <v>3</v>
      </c>
      <c r="J1465">
        <v>3</v>
      </c>
      <c r="K1465" t="s">
        <v>42</v>
      </c>
      <c r="L1465">
        <v>1</v>
      </c>
      <c r="M1465">
        <v>1254</v>
      </c>
      <c r="N1465">
        <v>3</v>
      </c>
      <c r="O1465" t="s">
        <v>52</v>
      </c>
      <c r="P1465">
        <v>48</v>
      </c>
      <c r="Q1465">
        <v>2</v>
      </c>
      <c r="R1465">
        <v>2</v>
      </c>
      <c r="S1465" t="s">
        <v>136</v>
      </c>
      <c r="T1465">
        <v>4</v>
      </c>
      <c r="U1465" t="s">
        <v>45</v>
      </c>
      <c r="V1465">
        <v>5171</v>
      </c>
      <c r="W1465" t="s">
        <v>162</v>
      </c>
      <c r="X1465">
        <v>16490</v>
      </c>
      <c r="Y1465">
        <v>5</v>
      </c>
      <c r="Z1465" t="s">
        <v>47</v>
      </c>
      <c r="AA1465" t="s">
        <v>48</v>
      </c>
      <c r="AB1465">
        <v>17</v>
      </c>
      <c r="AC1465">
        <v>3</v>
      </c>
      <c r="AD1465">
        <v>4</v>
      </c>
      <c r="AE1465">
        <v>80</v>
      </c>
      <c r="AF1465">
        <v>0</v>
      </c>
      <c r="AG1465">
        <v>13</v>
      </c>
      <c r="AH1465">
        <v>2</v>
      </c>
      <c r="AI1465">
        <v>3</v>
      </c>
      <c r="AJ1465">
        <v>6</v>
      </c>
      <c r="AK1465">
        <v>1</v>
      </c>
      <c r="AL1465">
        <v>0</v>
      </c>
    </row>
    <row r="1466" spans="1:38" x14ac:dyDescent="0.3">
      <c r="A1466" t="s">
        <v>1537</v>
      </c>
      <c r="B1466">
        <v>59</v>
      </c>
      <c r="C1466" t="s">
        <v>1496</v>
      </c>
      <c r="D1466" t="s">
        <v>48</v>
      </c>
      <c r="E1466">
        <f t="shared" si="22"/>
        <v>0</v>
      </c>
      <c r="F1466" t="s">
        <v>40</v>
      </c>
      <c r="G1466">
        <v>1429</v>
      </c>
      <c r="H1466" t="s">
        <v>41</v>
      </c>
      <c r="I1466">
        <v>18</v>
      </c>
      <c r="J1466">
        <v>4</v>
      </c>
      <c r="K1466" t="s">
        <v>51</v>
      </c>
      <c r="L1466">
        <v>1</v>
      </c>
      <c r="M1466">
        <v>1283</v>
      </c>
      <c r="N1466">
        <v>4</v>
      </c>
      <c r="O1466" t="s">
        <v>43</v>
      </c>
      <c r="P1466">
        <v>67</v>
      </c>
      <c r="Q1466">
        <v>3</v>
      </c>
      <c r="R1466">
        <v>3</v>
      </c>
      <c r="S1466" t="s">
        <v>111</v>
      </c>
      <c r="T1466">
        <v>4</v>
      </c>
      <c r="U1466" t="s">
        <v>45</v>
      </c>
      <c r="V1466">
        <v>10512</v>
      </c>
      <c r="W1466" t="s">
        <v>252</v>
      </c>
      <c r="X1466">
        <v>20002</v>
      </c>
      <c r="Y1466">
        <v>6</v>
      </c>
      <c r="Z1466" t="s">
        <v>47</v>
      </c>
      <c r="AA1466" t="s">
        <v>48</v>
      </c>
      <c r="AB1466">
        <v>12</v>
      </c>
      <c r="AC1466">
        <v>3</v>
      </c>
      <c r="AD1466">
        <v>4</v>
      </c>
      <c r="AE1466">
        <v>80</v>
      </c>
      <c r="AF1466">
        <v>0</v>
      </c>
      <c r="AG1466">
        <v>25</v>
      </c>
      <c r="AH1466">
        <v>6</v>
      </c>
      <c r="AI1466">
        <v>2</v>
      </c>
      <c r="AJ1466">
        <v>9</v>
      </c>
      <c r="AK1466">
        <v>7</v>
      </c>
      <c r="AL1466">
        <v>5</v>
      </c>
    </row>
    <row r="1467" spans="1:38" x14ac:dyDescent="0.3">
      <c r="A1467" t="s">
        <v>1538</v>
      </c>
      <c r="B1467">
        <v>60</v>
      </c>
      <c r="C1467" t="s">
        <v>1496</v>
      </c>
      <c r="D1467" t="s">
        <v>48</v>
      </c>
      <c r="E1467">
        <f t="shared" si="22"/>
        <v>0</v>
      </c>
      <c r="F1467" t="s">
        <v>40</v>
      </c>
      <c r="G1467">
        <v>422</v>
      </c>
      <c r="H1467" t="s">
        <v>41</v>
      </c>
      <c r="I1467">
        <v>7</v>
      </c>
      <c r="J1467">
        <v>3</v>
      </c>
      <c r="K1467" t="s">
        <v>42</v>
      </c>
      <c r="L1467">
        <v>1</v>
      </c>
      <c r="M1467">
        <v>549</v>
      </c>
      <c r="N1467">
        <v>1</v>
      </c>
      <c r="O1467" t="s">
        <v>52</v>
      </c>
      <c r="P1467">
        <v>41</v>
      </c>
      <c r="Q1467">
        <v>3</v>
      </c>
      <c r="R1467">
        <v>5</v>
      </c>
      <c r="S1467" t="s">
        <v>440</v>
      </c>
      <c r="T1467">
        <v>1</v>
      </c>
      <c r="U1467" t="s">
        <v>104</v>
      </c>
      <c r="V1467">
        <v>19566</v>
      </c>
      <c r="W1467" t="s">
        <v>366</v>
      </c>
      <c r="X1467">
        <v>3854</v>
      </c>
      <c r="Y1467">
        <v>5</v>
      </c>
      <c r="Z1467" t="s">
        <v>47</v>
      </c>
      <c r="AA1467" t="s">
        <v>48</v>
      </c>
      <c r="AB1467">
        <v>11</v>
      </c>
      <c r="AC1467">
        <v>3</v>
      </c>
      <c r="AD1467">
        <v>4</v>
      </c>
      <c r="AE1467">
        <v>80</v>
      </c>
      <c r="AF1467">
        <v>0</v>
      </c>
      <c r="AG1467">
        <v>33</v>
      </c>
      <c r="AH1467">
        <v>5</v>
      </c>
      <c r="AI1467">
        <v>1</v>
      </c>
      <c r="AJ1467">
        <v>29</v>
      </c>
      <c r="AK1467">
        <v>8</v>
      </c>
      <c r="AL1467">
        <v>11</v>
      </c>
    </row>
    <row r="1468" spans="1:38" x14ac:dyDescent="0.3">
      <c r="A1468" t="s">
        <v>1539</v>
      </c>
      <c r="B1468">
        <v>60</v>
      </c>
      <c r="C1468" t="s">
        <v>1496</v>
      </c>
      <c r="D1468" t="s">
        <v>48</v>
      </c>
      <c r="E1468">
        <f t="shared" si="22"/>
        <v>0</v>
      </c>
      <c r="F1468" t="s">
        <v>55</v>
      </c>
      <c r="G1468">
        <v>1499</v>
      </c>
      <c r="H1468" t="s">
        <v>50</v>
      </c>
      <c r="I1468">
        <v>28</v>
      </c>
      <c r="J1468">
        <v>3</v>
      </c>
      <c r="K1468" t="s">
        <v>56</v>
      </c>
      <c r="L1468">
        <v>1</v>
      </c>
      <c r="M1468">
        <v>573</v>
      </c>
      <c r="N1468">
        <v>3</v>
      </c>
      <c r="O1468" t="s">
        <v>52</v>
      </c>
      <c r="P1468">
        <v>80</v>
      </c>
      <c r="Q1468">
        <v>2</v>
      </c>
      <c r="R1468">
        <v>3</v>
      </c>
      <c r="S1468" t="s">
        <v>136</v>
      </c>
      <c r="T1468">
        <v>1</v>
      </c>
      <c r="U1468" t="s">
        <v>104</v>
      </c>
      <c r="V1468">
        <v>10266</v>
      </c>
      <c r="W1468" t="s">
        <v>252</v>
      </c>
      <c r="X1468">
        <v>2845</v>
      </c>
      <c r="Y1468">
        <v>4</v>
      </c>
      <c r="Z1468" t="s">
        <v>47</v>
      </c>
      <c r="AA1468" t="s">
        <v>48</v>
      </c>
      <c r="AB1468">
        <v>19</v>
      </c>
      <c r="AC1468">
        <v>3</v>
      </c>
      <c r="AD1468">
        <v>4</v>
      </c>
      <c r="AE1468">
        <v>80</v>
      </c>
      <c r="AF1468">
        <v>0</v>
      </c>
      <c r="AG1468">
        <v>22</v>
      </c>
      <c r="AH1468">
        <v>5</v>
      </c>
      <c r="AI1468">
        <v>4</v>
      </c>
      <c r="AJ1468">
        <v>18</v>
      </c>
      <c r="AK1468">
        <v>13</v>
      </c>
      <c r="AL1468">
        <v>13</v>
      </c>
    </row>
    <row r="1469" spans="1:38" x14ac:dyDescent="0.3">
      <c r="A1469" t="s">
        <v>1540</v>
      </c>
      <c r="B1469">
        <v>60</v>
      </c>
      <c r="C1469" t="s">
        <v>1496</v>
      </c>
      <c r="D1469" t="s">
        <v>48</v>
      </c>
      <c r="E1469">
        <f t="shared" si="22"/>
        <v>0</v>
      </c>
      <c r="F1469" t="s">
        <v>40</v>
      </c>
      <c r="G1469">
        <v>1179</v>
      </c>
      <c r="H1469" t="s">
        <v>50</v>
      </c>
      <c r="I1469">
        <v>16</v>
      </c>
      <c r="J1469">
        <v>4</v>
      </c>
      <c r="K1469" t="s">
        <v>56</v>
      </c>
      <c r="L1469">
        <v>1</v>
      </c>
      <c r="M1469">
        <v>732</v>
      </c>
      <c r="N1469">
        <v>1</v>
      </c>
      <c r="O1469" t="s">
        <v>43</v>
      </c>
      <c r="P1469">
        <v>84</v>
      </c>
      <c r="Q1469">
        <v>3</v>
      </c>
      <c r="R1469">
        <v>2</v>
      </c>
      <c r="S1469" t="s">
        <v>136</v>
      </c>
      <c r="T1469">
        <v>1</v>
      </c>
      <c r="U1469" t="s">
        <v>45</v>
      </c>
      <c r="V1469">
        <v>5405</v>
      </c>
      <c r="W1469" t="s">
        <v>162</v>
      </c>
      <c r="X1469">
        <v>11924</v>
      </c>
      <c r="Y1469">
        <v>8</v>
      </c>
      <c r="Z1469" t="s">
        <v>47</v>
      </c>
      <c r="AA1469" t="s">
        <v>48</v>
      </c>
      <c r="AB1469">
        <v>14</v>
      </c>
      <c r="AC1469">
        <v>3</v>
      </c>
      <c r="AD1469">
        <v>4</v>
      </c>
      <c r="AE1469">
        <v>80</v>
      </c>
      <c r="AF1469">
        <v>0</v>
      </c>
      <c r="AG1469">
        <v>10</v>
      </c>
      <c r="AH1469">
        <v>1</v>
      </c>
      <c r="AI1469">
        <v>3</v>
      </c>
      <c r="AJ1469">
        <v>2</v>
      </c>
      <c r="AK1469">
        <v>2</v>
      </c>
      <c r="AL1469">
        <v>2</v>
      </c>
    </row>
    <row r="1470" spans="1:38" x14ac:dyDescent="0.3">
      <c r="A1470" t="s">
        <v>1541</v>
      </c>
      <c r="B1470">
        <v>60</v>
      </c>
      <c r="C1470" t="s">
        <v>1496</v>
      </c>
      <c r="D1470" t="s">
        <v>48</v>
      </c>
      <c r="E1470">
        <f t="shared" si="22"/>
        <v>0</v>
      </c>
      <c r="F1470" t="s">
        <v>40</v>
      </c>
      <c r="G1470">
        <v>696</v>
      </c>
      <c r="H1470" t="s">
        <v>50</v>
      </c>
      <c r="I1470">
        <v>7</v>
      </c>
      <c r="J1470">
        <v>4</v>
      </c>
      <c r="K1470" t="s">
        <v>56</v>
      </c>
      <c r="L1470">
        <v>1</v>
      </c>
      <c r="M1470">
        <v>1233</v>
      </c>
      <c r="N1470">
        <v>2</v>
      </c>
      <c r="O1470" t="s">
        <v>43</v>
      </c>
      <c r="P1470">
        <v>52</v>
      </c>
      <c r="Q1470">
        <v>4</v>
      </c>
      <c r="R1470">
        <v>2</v>
      </c>
      <c r="S1470" t="s">
        <v>136</v>
      </c>
      <c r="T1470">
        <v>4</v>
      </c>
      <c r="U1470" t="s">
        <v>101</v>
      </c>
      <c r="V1470">
        <v>5220</v>
      </c>
      <c r="W1470" t="s">
        <v>162</v>
      </c>
      <c r="X1470">
        <v>10893</v>
      </c>
      <c r="Y1470">
        <v>0</v>
      </c>
      <c r="Z1470" t="s">
        <v>47</v>
      </c>
      <c r="AA1470" t="s">
        <v>39</v>
      </c>
      <c r="AB1470">
        <v>18</v>
      </c>
      <c r="AC1470">
        <v>3</v>
      </c>
      <c r="AD1470">
        <v>2</v>
      </c>
      <c r="AE1470">
        <v>80</v>
      </c>
      <c r="AF1470">
        <v>1</v>
      </c>
      <c r="AG1470">
        <v>12</v>
      </c>
      <c r="AH1470">
        <v>3</v>
      </c>
      <c r="AI1470">
        <v>3</v>
      </c>
      <c r="AJ1470">
        <v>11</v>
      </c>
      <c r="AK1470">
        <v>7</v>
      </c>
      <c r="AL1470">
        <v>1</v>
      </c>
    </row>
    <row r="1471" spans="1:38" x14ac:dyDescent="0.3">
      <c r="A1471" t="s">
        <v>1542</v>
      </c>
      <c r="B1471">
        <v>60</v>
      </c>
      <c r="C1471" t="s">
        <v>1496</v>
      </c>
      <c r="D1471" t="s">
        <v>48</v>
      </c>
      <c r="E1471">
        <f t="shared" si="22"/>
        <v>0</v>
      </c>
      <c r="F1471" t="s">
        <v>40</v>
      </c>
      <c r="G1471">
        <v>370</v>
      </c>
      <c r="H1471" t="s">
        <v>41</v>
      </c>
      <c r="I1471">
        <v>1</v>
      </c>
      <c r="J1471">
        <v>4</v>
      </c>
      <c r="K1471" t="s">
        <v>51</v>
      </c>
      <c r="L1471">
        <v>1</v>
      </c>
      <c r="M1471">
        <v>1697</v>
      </c>
      <c r="N1471">
        <v>3</v>
      </c>
      <c r="O1471" t="s">
        <v>43</v>
      </c>
      <c r="P1471">
        <v>92</v>
      </c>
      <c r="Q1471">
        <v>1</v>
      </c>
      <c r="R1471">
        <v>3</v>
      </c>
      <c r="S1471" t="s">
        <v>160</v>
      </c>
      <c r="T1471">
        <v>4</v>
      </c>
      <c r="U1471" t="s">
        <v>101</v>
      </c>
      <c r="V1471">
        <v>10883</v>
      </c>
      <c r="W1471" t="s">
        <v>252</v>
      </c>
      <c r="X1471">
        <v>20467</v>
      </c>
      <c r="Y1471">
        <v>3</v>
      </c>
      <c r="Z1471" t="s">
        <v>47</v>
      </c>
      <c r="AA1471" t="s">
        <v>48</v>
      </c>
      <c r="AB1471">
        <v>20</v>
      </c>
      <c r="AC1471">
        <v>4</v>
      </c>
      <c r="AD1471">
        <v>3</v>
      </c>
      <c r="AE1471">
        <v>80</v>
      </c>
      <c r="AF1471">
        <v>1</v>
      </c>
      <c r="AG1471">
        <v>19</v>
      </c>
      <c r="AH1471">
        <v>2</v>
      </c>
      <c r="AI1471">
        <v>4</v>
      </c>
      <c r="AJ1471">
        <v>1</v>
      </c>
      <c r="AK1471">
        <v>0</v>
      </c>
      <c r="AL1471">
        <v>0</v>
      </c>
    </row>
  </sheetData>
  <autoFilter ref="A1:AL1471" xr:uid="{C50B0294-0559-44FB-8D4B-FBFBB19837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6034-0F5A-4FA8-95CA-D8DE2BE51688}">
  <dimension ref="A1:L65"/>
  <sheetViews>
    <sheetView showGridLines="0" workbookViewId="0">
      <selection activeCell="K27" sqref="K27"/>
    </sheetView>
  </sheetViews>
  <sheetFormatPr defaultRowHeight="14.4" x14ac:dyDescent="0.3"/>
  <cols>
    <col min="1" max="1" width="15.6640625" bestFit="1" customWidth="1"/>
    <col min="2" max="2" width="20.21875" bestFit="1" customWidth="1"/>
    <col min="3" max="5" width="4.5546875" bestFit="1" customWidth="1"/>
    <col min="6" max="6" width="12.5546875" bestFit="1" customWidth="1"/>
    <col min="7" max="8" width="23.44140625" bestFit="1" customWidth="1"/>
    <col min="9" max="9" width="12.5546875" bestFit="1" customWidth="1"/>
    <col min="10" max="10" width="23.5546875" bestFit="1" customWidth="1"/>
    <col min="11" max="11" width="23.44140625" bestFit="1" customWidth="1"/>
    <col min="12" max="12" width="23.33203125" bestFit="1" customWidth="1"/>
    <col min="13" max="13" width="20.88671875" bestFit="1" customWidth="1"/>
    <col min="14" max="14" width="13.77734375" bestFit="1" customWidth="1"/>
    <col min="15" max="16" width="16.109375" bestFit="1" customWidth="1"/>
    <col min="17" max="17" width="19.88671875" bestFit="1" customWidth="1"/>
    <col min="18" max="18" width="18.44140625" bestFit="1" customWidth="1"/>
    <col min="19" max="19" width="10.77734375" bestFit="1" customWidth="1"/>
  </cols>
  <sheetData>
    <row r="1" spans="1:12" x14ac:dyDescent="0.3">
      <c r="A1" s="3" t="s">
        <v>1547</v>
      </c>
      <c r="B1">
        <f>GETPIVOTDATA("EmpID",$A$3)</f>
        <v>1470</v>
      </c>
      <c r="C1" s="3" t="s">
        <v>1544</v>
      </c>
      <c r="D1">
        <f>GETPIVOTDATA("Attrition Count",$C$3)</f>
        <v>237</v>
      </c>
      <c r="G1" s="3" t="s">
        <v>1549</v>
      </c>
      <c r="H1" s="4">
        <f>GETPIVOTDATA("Age",$G$3)</f>
        <v>36.923809523809524</v>
      </c>
      <c r="I1" s="3" t="s">
        <v>1552</v>
      </c>
      <c r="J1" s="5">
        <f>GETPIVOTDATA("MonthlyIncome",$I$3)</f>
        <v>6502.931292517007</v>
      </c>
      <c r="K1" s="3" t="s">
        <v>1553</v>
      </c>
      <c r="L1" s="4">
        <f>GETPIVOTDATA("YearsAtCompany",$K$3)</f>
        <v>7.0081632653061225</v>
      </c>
    </row>
    <row r="3" spans="1:12" x14ac:dyDescent="0.3">
      <c r="A3" t="s">
        <v>1543</v>
      </c>
      <c r="C3" t="s">
        <v>1545</v>
      </c>
      <c r="E3" s="3" t="s">
        <v>1546</v>
      </c>
      <c r="G3" t="s">
        <v>1548</v>
      </c>
      <c r="I3" t="s">
        <v>1550</v>
      </c>
      <c r="K3" t="s">
        <v>1551</v>
      </c>
    </row>
    <row r="4" spans="1:12" x14ac:dyDescent="0.3">
      <c r="A4">
        <v>1470</v>
      </c>
      <c r="C4">
        <v>237</v>
      </c>
      <c r="E4" s="2">
        <f>GETPIVOTDATA("Attrition Count",$C$3)/GETPIVOTDATA("EmpID",$A$3)</f>
        <v>0.16122448979591836</v>
      </c>
      <c r="G4" s="4">
        <v>36.923809523809524</v>
      </c>
      <c r="I4" s="5">
        <v>6502.931292517007</v>
      </c>
      <c r="K4" s="4">
        <v>7.0081632653061225</v>
      </c>
    </row>
    <row r="7" spans="1:12" x14ac:dyDescent="0.3">
      <c r="A7" s="10" t="s">
        <v>1563</v>
      </c>
      <c r="D7" s="10" t="s">
        <v>1564</v>
      </c>
      <c r="G7" s="10" t="s">
        <v>1565</v>
      </c>
      <c r="J7" s="10" t="s">
        <v>1566</v>
      </c>
    </row>
    <row r="9" spans="1:12" x14ac:dyDescent="0.3">
      <c r="A9" s="1" t="s">
        <v>1554</v>
      </c>
      <c r="B9" t="s">
        <v>1545</v>
      </c>
      <c r="D9" s="1" t="s">
        <v>1554</v>
      </c>
      <c r="E9" t="s">
        <v>1545</v>
      </c>
      <c r="G9" s="1" t="s">
        <v>1554</v>
      </c>
      <c r="H9" t="s">
        <v>1567</v>
      </c>
      <c r="J9" s="1" t="s">
        <v>1554</v>
      </c>
      <c r="K9" t="s">
        <v>1567</v>
      </c>
    </row>
    <row r="10" spans="1:12" x14ac:dyDescent="0.3">
      <c r="A10" s="6" t="s">
        <v>70</v>
      </c>
      <c r="B10">
        <v>12</v>
      </c>
      <c r="D10" s="6" t="s">
        <v>251</v>
      </c>
      <c r="E10">
        <v>2</v>
      </c>
      <c r="G10" s="6" t="s">
        <v>38</v>
      </c>
      <c r="H10" s="12">
        <v>0.35772357723577236</v>
      </c>
      <c r="J10" s="6" t="s">
        <v>52</v>
      </c>
      <c r="K10" s="13">
        <v>0.14795918367346939</v>
      </c>
    </row>
    <row r="11" spans="1:12" x14ac:dyDescent="0.3">
      <c r="A11" s="6" t="s">
        <v>50</v>
      </c>
      <c r="B11">
        <v>92</v>
      </c>
      <c r="D11" s="6" t="s">
        <v>440</v>
      </c>
      <c r="E11">
        <v>5</v>
      </c>
      <c r="G11" s="6" t="s">
        <v>189</v>
      </c>
      <c r="H11" s="12">
        <v>0.19141914191419143</v>
      </c>
      <c r="J11" s="6" t="s">
        <v>43</v>
      </c>
      <c r="K11" s="13">
        <v>0.17006802721088435</v>
      </c>
    </row>
    <row r="12" spans="1:12" x14ac:dyDescent="0.3">
      <c r="A12" s="6" t="s">
        <v>41</v>
      </c>
      <c r="B12">
        <v>133</v>
      </c>
      <c r="D12" s="6" t="s">
        <v>160</v>
      </c>
      <c r="E12">
        <v>9</v>
      </c>
      <c r="G12" s="6" t="s">
        <v>1496</v>
      </c>
      <c r="H12" s="12">
        <v>0.1702127659574468</v>
      </c>
      <c r="J12" s="6" t="s">
        <v>1555</v>
      </c>
      <c r="K12" s="13">
        <v>0.16122448979591836</v>
      </c>
    </row>
    <row r="13" spans="1:12" x14ac:dyDescent="0.3">
      <c r="A13" s="6" t="s">
        <v>1555</v>
      </c>
      <c r="B13">
        <v>237</v>
      </c>
      <c r="D13" s="6" t="s">
        <v>111</v>
      </c>
      <c r="E13">
        <v>10</v>
      </c>
      <c r="G13" s="6" t="s">
        <v>1269</v>
      </c>
      <c r="H13" s="12">
        <v>0.11504424778761062</v>
      </c>
    </row>
    <row r="14" spans="1:12" x14ac:dyDescent="0.3">
      <c r="D14" s="6" t="s">
        <v>70</v>
      </c>
      <c r="E14">
        <v>12</v>
      </c>
      <c r="G14" s="6" t="s">
        <v>800</v>
      </c>
      <c r="H14" s="12">
        <v>9.1880341880341887E-2</v>
      </c>
    </row>
    <row r="15" spans="1:12" x14ac:dyDescent="0.3">
      <c r="D15" s="6" t="s">
        <v>53</v>
      </c>
      <c r="E15">
        <v>33</v>
      </c>
      <c r="G15" s="6" t="s">
        <v>1555</v>
      </c>
      <c r="H15" s="12">
        <v>0.16122448979591836</v>
      </c>
    </row>
    <row r="16" spans="1:12" x14ac:dyDescent="0.3">
      <c r="D16" s="6" t="s">
        <v>59</v>
      </c>
      <c r="E16">
        <v>47</v>
      </c>
    </row>
    <row r="17" spans="1:10" x14ac:dyDescent="0.3">
      <c r="D17" s="6" t="s">
        <v>136</v>
      </c>
      <c r="E17">
        <v>57</v>
      </c>
    </row>
    <row r="18" spans="1:10" x14ac:dyDescent="0.3">
      <c r="D18" s="6" t="s">
        <v>44</v>
      </c>
      <c r="E18">
        <v>62</v>
      </c>
    </row>
    <row r="19" spans="1:10" x14ac:dyDescent="0.3">
      <c r="D19" s="6" t="s">
        <v>1555</v>
      </c>
      <c r="E19">
        <v>237</v>
      </c>
    </row>
    <row r="20" spans="1:10" x14ac:dyDescent="0.3">
      <c r="I20" s="3" t="s">
        <v>1569</v>
      </c>
    </row>
    <row r="21" spans="1:10" x14ac:dyDescent="0.3">
      <c r="A21" s="3" t="s">
        <v>1557</v>
      </c>
    </row>
    <row r="22" spans="1:10" x14ac:dyDescent="0.3">
      <c r="I22" s="1" t="s">
        <v>1554</v>
      </c>
      <c r="J22" t="s">
        <v>1545</v>
      </c>
    </row>
    <row r="23" spans="1:10" x14ac:dyDescent="0.3">
      <c r="A23" s="1" t="s">
        <v>1567</v>
      </c>
      <c r="B23" s="1" t="s">
        <v>1556</v>
      </c>
      <c r="I23" s="6" t="s">
        <v>366</v>
      </c>
      <c r="J23">
        <v>5</v>
      </c>
    </row>
    <row r="24" spans="1:10" x14ac:dyDescent="0.3">
      <c r="A24" s="1" t="s">
        <v>1554</v>
      </c>
      <c r="B24">
        <v>1</v>
      </c>
      <c r="C24">
        <v>2</v>
      </c>
      <c r="D24">
        <v>3</v>
      </c>
      <c r="E24">
        <v>4</v>
      </c>
      <c r="F24" t="s">
        <v>1555</v>
      </c>
      <c r="I24" s="6" t="s">
        <v>252</v>
      </c>
      <c r="J24">
        <v>20</v>
      </c>
    </row>
    <row r="25" spans="1:10" x14ac:dyDescent="0.3">
      <c r="A25" s="6" t="s">
        <v>70</v>
      </c>
      <c r="B25" s="13">
        <v>0.45454545454545453</v>
      </c>
      <c r="C25" s="13">
        <v>0.1</v>
      </c>
      <c r="D25" s="13">
        <v>0.2</v>
      </c>
      <c r="E25" s="13">
        <v>0.11764705882352941</v>
      </c>
      <c r="F25" s="13">
        <v>0.19047619047619047</v>
      </c>
      <c r="I25" s="6" t="s">
        <v>162</v>
      </c>
      <c r="J25">
        <v>49</v>
      </c>
    </row>
    <row r="26" spans="1:10" x14ac:dyDescent="0.3">
      <c r="A26" s="6" t="s">
        <v>41</v>
      </c>
      <c r="B26" s="13">
        <v>0.19791666666666666</v>
      </c>
      <c r="C26" s="13">
        <v>0.13793103448275862</v>
      </c>
      <c r="D26" s="13">
        <v>0.14333333333333334</v>
      </c>
      <c r="E26" s="13">
        <v>9.4915254237288138E-2</v>
      </c>
      <c r="F26" s="13">
        <v>0.13839750260145681</v>
      </c>
      <c r="I26" s="6" t="s">
        <v>46</v>
      </c>
      <c r="J26">
        <v>163</v>
      </c>
    </row>
    <row r="27" spans="1:10" x14ac:dyDescent="0.3">
      <c r="A27" s="6" t="s">
        <v>50</v>
      </c>
      <c r="B27" s="13">
        <v>0.26744186046511625</v>
      </c>
      <c r="C27" s="13">
        <v>0.23255813953488372</v>
      </c>
      <c r="D27" s="13">
        <v>0.2125984251968504</v>
      </c>
      <c r="E27" s="13">
        <v>0.14965986394557823</v>
      </c>
      <c r="F27" s="13">
        <v>0.20627802690582961</v>
      </c>
      <c r="I27" s="6" t="s">
        <v>1555</v>
      </c>
      <c r="J27">
        <v>237</v>
      </c>
    </row>
    <row r="28" spans="1:10" x14ac:dyDescent="0.3">
      <c r="A28" s="6" t="s">
        <v>1555</v>
      </c>
      <c r="B28" s="13">
        <v>0.22837370242214533</v>
      </c>
      <c r="C28" s="13">
        <v>0.16428571428571428</v>
      </c>
      <c r="D28" s="13">
        <v>0.16515837104072398</v>
      </c>
      <c r="E28" s="13">
        <v>0.11328976034858387</v>
      </c>
      <c r="F28" s="13">
        <v>0.16122448979591836</v>
      </c>
    </row>
    <row r="32" spans="1:10" x14ac:dyDescent="0.3">
      <c r="A32" s="3" t="s">
        <v>1559</v>
      </c>
    </row>
    <row r="33" spans="1:10" x14ac:dyDescent="0.3">
      <c r="A33" s="1" t="s">
        <v>1554</v>
      </c>
      <c r="B33" t="s">
        <v>1567</v>
      </c>
      <c r="F33" s="3" t="s">
        <v>1560</v>
      </c>
    </row>
    <row r="34" spans="1:10" x14ac:dyDescent="0.3">
      <c r="A34" s="6" t="s">
        <v>48</v>
      </c>
      <c r="B34" s="12">
        <v>0.10436432637571158</v>
      </c>
    </row>
    <row r="35" spans="1:10" x14ac:dyDescent="0.3">
      <c r="A35" s="6" t="s">
        <v>39</v>
      </c>
      <c r="B35" s="12">
        <v>0.30528846153846156</v>
      </c>
      <c r="F35" s="1" t="s">
        <v>1554</v>
      </c>
      <c r="G35" t="s">
        <v>1567</v>
      </c>
      <c r="I35" s="7" t="s">
        <v>1558</v>
      </c>
    </row>
    <row r="36" spans="1:10" x14ac:dyDescent="0.3">
      <c r="A36" s="6" t="s">
        <v>1555</v>
      </c>
      <c r="B36" s="12">
        <v>0.16122448979591836</v>
      </c>
      <c r="F36" s="6">
        <v>1</v>
      </c>
      <c r="G36" s="13">
        <v>0.125</v>
      </c>
    </row>
    <row r="37" spans="1:10" x14ac:dyDescent="0.3">
      <c r="F37" s="6">
        <v>2</v>
      </c>
      <c r="G37" s="13">
        <v>0.13270142180094788</v>
      </c>
      <c r="I37" s="1" t="s">
        <v>1554</v>
      </c>
      <c r="J37" t="s">
        <v>1568</v>
      </c>
    </row>
    <row r="38" spans="1:10" x14ac:dyDescent="0.3">
      <c r="F38" s="6">
        <v>3</v>
      </c>
      <c r="G38" s="13">
        <v>0.16666666666666666</v>
      </c>
      <c r="I38" s="6">
        <v>2</v>
      </c>
      <c r="J38" s="13">
        <v>2.8372093023255816</v>
      </c>
    </row>
    <row r="39" spans="1:10" x14ac:dyDescent="0.3">
      <c r="A39" s="7" t="s">
        <v>1561</v>
      </c>
      <c r="B39" s="3" t="s">
        <v>3</v>
      </c>
      <c r="F39" s="6">
        <v>4</v>
      </c>
      <c r="G39" s="13">
        <v>0.140625</v>
      </c>
      <c r="I39" s="6">
        <v>4</v>
      </c>
      <c r="J39" s="13">
        <v>2.7450980392156863</v>
      </c>
    </row>
    <row r="40" spans="1:10" x14ac:dyDescent="0.3">
      <c r="A40" s="6" t="str">
        <f>A34</f>
        <v>No</v>
      </c>
      <c r="B40" s="2">
        <f>GETPIVOTDATA("Attrition Count",$A$33,"OverTime","No")</f>
        <v>0.10436432637571158</v>
      </c>
      <c r="F40" s="6">
        <v>5</v>
      </c>
      <c r="G40" s="13">
        <v>0.15384615384615385</v>
      </c>
      <c r="I40" s="6">
        <v>3</v>
      </c>
      <c r="J40" s="13">
        <v>2.6909294512877939</v>
      </c>
    </row>
    <row r="41" spans="1:10" x14ac:dyDescent="0.3">
      <c r="A41" s="6" t="str">
        <f>A35</f>
        <v>Yes</v>
      </c>
      <c r="B41" s="2">
        <f>GETPIVOTDATA("Attrition Count",$A$33,"OverTime","Yes")</f>
        <v>0.30528846153846156</v>
      </c>
      <c r="F41" s="6">
        <v>6</v>
      </c>
      <c r="G41" s="13">
        <v>0.11864406779661017</v>
      </c>
      <c r="I41" s="6">
        <v>1</v>
      </c>
      <c r="J41" s="13">
        <v>2.65</v>
      </c>
    </row>
    <row r="42" spans="1:10" x14ac:dyDescent="0.3">
      <c r="F42" s="6">
        <v>7</v>
      </c>
      <c r="G42" s="13">
        <v>0.13095238095238096</v>
      </c>
      <c r="I42" s="6" t="s">
        <v>1555</v>
      </c>
      <c r="J42" s="13">
        <v>2.7285714285714286</v>
      </c>
    </row>
    <row r="43" spans="1:10" x14ac:dyDescent="0.3">
      <c r="A43" s="3" t="s">
        <v>1562</v>
      </c>
      <c r="F43" s="6">
        <v>8</v>
      </c>
      <c r="G43" s="13">
        <v>0.125</v>
      </c>
    </row>
    <row r="44" spans="1:10" x14ac:dyDescent="0.3">
      <c r="A44" s="1" t="s">
        <v>1554</v>
      </c>
      <c r="B44" t="s">
        <v>1545</v>
      </c>
      <c r="F44" s="6">
        <v>9</v>
      </c>
      <c r="G44" s="13">
        <v>0.21176470588235294</v>
      </c>
    </row>
    <row r="45" spans="1:10" x14ac:dyDescent="0.3">
      <c r="A45" s="6" t="s">
        <v>42</v>
      </c>
      <c r="B45">
        <v>89</v>
      </c>
      <c r="F45" s="6">
        <v>10</v>
      </c>
      <c r="G45" s="13">
        <v>0.12790697674418605</v>
      </c>
    </row>
    <row r="46" spans="1:10" x14ac:dyDescent="0.3">
      <c r="A46" s="6" t="s">
        <v>51</v>
      </c>
      <c r="B46">
        <v>63</v>
      </c>
      <c r="F46" s="6">
        <v>11</v>
      </c>
      <c r="G46" s="13">
        <v>0.13793103448275862</v>
      </c>
    </row>
    <row r="47" spans="1:10" x14ac:dyDescent="0.3">
      <c r="A47" s="6" t="s">
        <v>56</v>
      </c>
      <c r="B47">
        <v>35</v>
      </c>
      <c r="F47" s="6">
        <v>12</v>
      </c>
      <c r="G47" s="13">
        <v>0.3</v>
      </c>
    </row>
    <row r="48" spans="1:10" x14ac:dyDescent="0.3">
      <c r="A48" s="6" t="s">
        <v>67</v>
      </c>
      <c r="B48">
        <v>32</v>
      </c>
      <c r="F48" s="6">
        <v>13</v>
      </c>
      <c r="G48" s="13">
        <v>0.31578947368421051</v>
      </c>
    </row>
    <row r="49" spans="1:7" x14ac:dyDescent="0.3">
      <c r="A49" s="6" t="s">
        <v>72</v>
      </c>
      <c r="B49">
        <v>11</v>
      </c>
      <c r="F49" s="6">
        <v>14</v>
      </c>
      <c r="G49" s="13">
        <v>0.19047619047619047</v>
      </c>
    </row>
    <row r="50" spans="1:7" x14ac:dyDescent="0.3">
      <c r="A50" s="6" t="s">
        <v>70</v>
      </c>
      <c r="B50">
        <v>7</v>
      </c>
      <c r="F50" s="6">
        <v>15</v>
      </c>
      <c r="G50" s="13">
        <v>0.19230769230769232</v>
      </c>
    </row>
    <row r="51" spans="1:7" x14ac:dyDescent="0.3">
      <c r="A51" s="6" t="s">
        <v>1555</v>
      </c>
      <c r="B51">
        <v>237</v>
      </c>
      <c r="F51" s="6">
        <v>16</v>
      </c>
      <c r="G51" s="13">
        <v>0.21875</v>
      </c>
    </row>
    <row r="52" spans="1:7" x14ac:dyDescent="0.3">
      <c r="F52" s="6">
        <v>17</v>
      </c>
      <c r="G52" s="13">
        <v>0.25</v>
      </c>
    </row>
    <row r="53" spans="1:7" x14ac:dyDescent="0.3">
      <c r="F53" s="6">
        <v>18</v>
      </c>
      <c r="G53" s="13">
        <v>0.15384615384615385</v>
      </c>
    </row>
    <row r="54" spans="1:7" x14ac:dyDescent="0.3">
      <c r="F54" s="6">
        <v>19</v>
      </c>
      <c r="G54" s="13">
        <v>0.13636363636363635</v>
      </c>
    </row>
    <row r="55" spans="1:7" x14ac:dyDescent="0.3">
      <c r="F55" s="6">
        <v>20</v>
      </c>
      <c r="G55" s="13">
        <v>0.16</v>
      </c>
    </row>
    <row r="56" spans="1:7" x14ac:dyDescent="0.3">
      <c r="F56" s="6">
        <v>21</v>
      </c>
      <c r="G56" s="13">
        <v>0.16666666666666666</v>
      </c>
    </row>
    <row r="57" spans="1:7" x14ac:dyDescent="0.3">
      <c r="F57" s="6">
        <v>22</v>
      </c>
      <c r="G57" s="13">
        <v>0.31578947368421051</v>
      </c>
    </row>
    <row r="58" spans="1:7" x14ac:dyDescent="0.3">
      <c r="F58" s="6">
        <v>23</v>
      </c>
      <c r="G58" s="13">
        <v>0.18518518518518517</v>
      </c>
    </row>
    <row r="59" spans="1:7" x14ac:dyDescent="0.3">
      <c r="F59" s="6">
        <v>24</v>
      </c>
      <c r="G59" s="13">
        <v>0.42857142857142855</v>
      </c>
    </row>
    <row r="60" spans="1:7" x14ac:dyDescent="0.3">
      <c r="F60" s="6">
        <v>25</v>
      </c>
      <c r="G60" s="13">
        <v>0.24</v>
      </c>
    </row>
    <row r="61" spans="1:7" x14ac:dyDescent="0.3">
      <c r="F61" s="6">
        <v>26</v>
      </c>
      <c r="G61" s="13">
        <v>0.12</v>
      </c>
    </row>
    <row r="62" spans="1:7" x14ac:dyDescent="0.3">
      <c r="F62" s="6">
        <v>27</v>
      </c>
      <c r="G62" s="13">
        <v>0.25</v>
      </c>
    </row>
    <row r="63" spans="1:7" x14ac:dyDescent="0.3">
      <c r="F63" s="6">
        <v>28</v>
      </c>
      <c r="G63" s="13">
        <v>8.6956521739130432E-2</v>
      </c>
    </row>
    <row r="64" spans="1:7" x14ac:dyDescent="0.3">
      <c r="F64" s="6">
        <v>29</v>
      </c>
      <c r="G64" s="13">
        <v>0.18518518518518517</v>
      </c>
    </row>
    <row r="65" spans="6:7" x14ac:dyDescent="0.3">
      <c r="F65" s="6" t="s">
        <v>1555</v>
      </c>
      <c r="G65" s="13">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8161-F0C6-49F8-A420-ABEBE533F521}">
  <dimension ref="A1:B1"/>
  <sheetViews>
    <sheetView showGridLines="0" tabSelected="1" zoomScale="103" zoomScaleNormal="100" workbookViewId="0">
      <selection activeCell="H36" sqref="H36"/>
    </sheetView>
  </sheetViews>
  <sheetFormatPr defaultRowHeight="14.4" x14ac:dyDescent="0.3"/>
  <cols>
    <col min="1" max="1" width="6.44140625" style="9" customWidth="1"/>
    <col min="2" max="2" width="10.5546875" style="9" customWidth="1"/>
    <col min="3"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BDF7-D176-43CB-9E97-F0E4A2FAF5DB}">
  <dimension ref="A1:F24"/>
  <sheetViews>
    <sheetView showGridLines="0" workbookViewId="0">
      <selection activeCell="G24" sqref="G24"/>
    </sheetView>
  </sheetViews>
  <sheetFormatPr defaultRowHeight="14.4" x14ac:dyDescent="0.3"/>
  <sheetData>
    <row r="1" spans="1:6" s="15" customFormat="1" ht="17.399999999999999" customHeight="1" x14ac:dyDescent="0.4">
      <c r="A1" s="16" t="s">
        <v>1579</v>
      </c>
      <c r="B1" s="17"/>
    </row>
    <row r="2" spans="1:6" s="15" customFormat="1" x14ac:dyDescent="0.3"/>
    <row r="3" spans="1:6" s="15" customFormat="1" ht="15.6" customHeight="1" x14ac:dyDescent="0.3">
      <c r="A3" s="14" t="s">
        <v>1570</v>
      </c>
      <c r="B3" s="14"/>
      <c r="C3" s="14"/>
      <c r="D3" s="14"/>
      <c r="E3" s="14"/>
      <c r="F3" s="14"/>
    </row>
    <row r="4" spans="1:6" s="15" customFormat="1" ht="15.6" customHeight="1" x14ac:dyDescent="0.3">
      <c r="A4" s="14"/>
      <c r="B4" s="14"/>
      <c r="C4" s="14"/>
      <c r="D4" s="14"/>
      <c r="E4" s="14"/>
      <c r="F4" s="14"/>
    </row>
    <row r="5" spans="1:6" s="15" customFormat="1" ht="15.6" customHeight="1" x14ac:dyDescent="0.3">
      <c r="A5" s="14" t="s">
        <v>1571</v>
      </c>
      <c r="B5" s="14"/>
      <c r="C5" s="14"/>
      <c r="D5" s="14"/>
      <c r="E5" s="14"/>
      <c r="F5" s="14"/>
    </row>
    <row r="6" spans="1:6" s="15" customFormat="1" ht="15.6" customHeight="1" x14ac:dyDescent="0.3">
      <c r="A6" s="14"/>
      <c r="B6" s="14"/>
      <c r="C6" s="14"/>
      <c r="D6" s="14"/>
      <c r="E6" s="14"/>
      <c r="F6" s="14"/>
    </row>
    <row r="7" spans="1:6" s="15" customFormat="1" ht="15.6" customHeight="1" x14ac:dyDescent="0.3">
      <c r="A7" s="14" t="s">
        <v>1572</v>
      </c>
      <c r="B7" s="14"/>
      <c r="C7" s="14"/>
      <c r="D7" s="14"/>
      <c r="E7" s="14"/>
      <c r="F7" s="14"/>
    </row>
    <row r="8" spans="1:6" s="15" customFormat="1" ht="15.6" customHeight="1" x14ac:dyDescent="0.3">
      <c r="A8" s="14"/>
      <c r="B8" s="14"/>
      <c r="C8" s="14"/>
      <c r="D8" s="14"/>
      <c r="E8" s="14"/>
      <c r="F8" s="14"/>
    </row>
    <row r="9" spans="1:6" s="15" customFormat="1" ht="15.6" customHeight="1" x14ac:dyDescent="0.3">
      <c r="A9" s="14" t="s">
        <v>1573</v>
      </c>
      <c r="B9" s="14"/>
      <c r="C9" s="14"/>
      <c r="D9" s="14"/>
      <c r="E9" s="14"/>
      <c r="F9" s="14"/>
    </row>
    <row r="10" spans="1:6" s="15" customFormat="1" ht="15.6" customHeight="1" x14ac:dyDescent="0.3">
      <c r="A10" s="14"/>
      <c r="B10" s="14"/>
      <c r="C10" s="14"/>
      <c r="D10" s="14"/>
      <c r="E10" s="14"/>
      <c r="F10" s="14"/>
    </row>
    <row r="11" spans="1:6" s="15" customFormat="1" ht="15.6" customHeight="1" x14ac:dyDescent="0.3">
      <c r="A11" s="14" t="s">
        <v>1574</v>
      </c>
      <c r="B11" s="14"/>
      <c r="C11" s="14"/>
      <c r="D11" s="14"/>
      <c r="E11" s="14"/>
      <c r="F11" s="14"/>
    </row>
    <row r="12" spans="1:6" s="15" customFormat="1" ht="15.6" customHeight="1" x14ac:dyDescent="0.3">
      <c r="A12" s="14"/>
      <c r="B12" s="14"/>
      <c r="C12" s="14"/>
      <c r="D12" s="14"/>
      <c r="E12" s="14"/>
      <c r="F12" s="14"/>
    </row>
    <row r="13" spans="1:6" s="15" customFormat="1" ht="15.6" customHeight="1" x14ac:dyDescent="0.3">
      <c r="A13" s="14" t="s">
        <v>1575</v>
      </c>
      <c r="B13" s="14"/>
      <c r="C13" s="14"/>
      <c r="D13" s="14"/>
      <c r="E13" s="14"/>
      <c r="F13" s="14"/>
    </row>
    <row r="14" spans="1:6" s="15" customFormat="1" ht="15.6" customHeight="1" x14ac:dyDescent="0.3">
      <c r="A14" s="14"/>
      <c r="B14" s="14"/>
      <c r="C14" s="14"/>
      <c r="D14" s="14"/>
      <c r="E14" s="14"/>
      <c r="F14" s="14"/>
    </row>
    <row r="15" spans="1:6" s="15" customFormat="1" ht="15.6" customHeight="1" x14ac:dyDescent="0.3">
      <c r="A15" s="14" t="s">
        <v>1576</v>
      </c>
      <c r="B15" s="14"/>
      <c r="C15" s="14"/>
      <c r="D15" s="14"/>
      <c r="E15" s="14"/>
      <c r="F15" s="14"/>
    </row>
    <row r="16" spans="1:6" s="15" customFormat="1" ht="15.6" customHeight="1" x14ac:dyDescent="0.3">
      <c r="A16" s="14"/>
      <c r="B16" s="14"/>
      <c r="C16" s="14"/>
      <c r="D16" s="14"/>
      <c r="E16" s="14"/>
      <c r="F16" s="14"/>
    </row>
    <row r="17" spans="1:6" s="15" customFormat="1" ht="15.6" customHeight="1" x14ac:dyDescent="0.3">
      <c r="A17" s="14" t="s">
        <v>1580</v>
      </c>
      <c r="B17" s="14"/>
      <c r="C17" s="14"/>
      <c r="D17" s="14"/>
      <c r="E17" s="14"/>
      <c r="F17" s="14"/>
    </row>
    <row r="18" spans="1:6" s="15" customFormat="1" ht="15.6" customHeight="1" x14ac:dyDescent="0.3">
      <c r="A18" s="14"/>
      <c r="B18" s="14"/>
      <c r="C18" s="14"/>
      <c r="D18" s="14"/>
      <c r="E18" s="14"/>
      <c r="F18" s="14"/>
    </row>
    <row r="19" spans="1:6" s="15" customFormat="1" ht="15.6" customHeight="1" x14ac:dyDescent="0.3">
      <c r="A19" s="14" t="s">
        <v>1577</v>
      </c>
      <c r="B19" s="14"/>
      <c r="C19" s="14"/>
      <c r="D19" s="14"/>
      <c r="E19" s="14"/>
      <c r="F19" s="14"/>
    </row>
    <row r="20" spans="1:6" s="15" customFormat="1" ht="15.6" customHeight="1" x14ac:dyDescent="0.3">
      <c r="A20" s="14"/>
      <c r="B20" s="14"/>
      <c r="C20" s="14"/>
      <c r="D20" s="14"/>
      <c r="E20" s="14"/>
      <c r="F20" s="14"/>
    </row>
    <row r="21" spans="1:6" s="15" customFormat="1" ht="15.6" customHeight="1" x14ac:dyDescent="0.3">
      <c r="A21" s="14" t="s">
        <v>1578</v>
      </c>
      <c r="B21" s="14"/>
      <c r="C21" s="14"/>
      <c r="D21" s="14"/>
      <c r="E21" s="14"/>
      <c r="F21" s="14"/>
    </row>
    <row r="22" spans="1:6" s="15" customFormat="1" ht="15.6" customHeight="1" x14ac:dyDescent="0.3">
      <c r="A22" s="14"/>
      <c r="B22" s="14"/>
      <c r="C22" s="14"/>
      <c r="D22" s="14"/>
      <c r="E22" s="14"/>
      <c r="F22" s="14"/>
    </row>
    <row r="23" spans="1:6" s="15" customFormat="1" ht="15.6" customHeight="1" x14ac:dyDescent="0.3">
      <c r="A23" s="18" t="s">
        <v>1581</v>
      </c>
      <c r="B23" s="14"/>
      <c r="C23" s="14"/>
      <c r="D23" s="14"/>
      <c r="E23" s="14"/>
      <c r="F23" s="14"/>
    </row>
    <row r="24" spans="1:6" s="15"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Moe Myat Thwe</cp:lastModifiedBy>
  <dcterms:created xsi:type="dcterms:W3CDTF">2025-10-31T11:23:13Z</dcterms:created>
  <dcterms:modified xsi:type="dcterms:W3CDTF">2025-11-02T06:06:22Z</dcterms:modified>
</cp:coreProperties>
</file>